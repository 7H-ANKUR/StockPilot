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5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hidePivotFieldList="1" defaultThemeVersion="166925"/>
  <xr:revisionPtr revIDLastSave="0" documentId="8_{284ED6AF-F93E-4687-8054-E3490B9F11B7}" xr6:coauthVersionLast="47" xr6:coauthVersionMax="47" xr10:uidLastSave="{00000000-0000-0000-0000-000000000000}"/>
  <bookViews>
    <workbookView xWindow="240" yWindow="105" windowWidth="14805" windowHeight="8010" firstSheet="5" xr2:uid="{00000000-000D-0000-FFFF-FFFF00000000}"/>
  </bookViews>
  <sheets>
    <sheet name="Dashboard" sheetId="9" r:id="rId1"/>
    <sheet name="List of Orders" sheetId="2" r:id="rId2"/>
    <sheet name="Sales Target" sheetId="3" r:id="rId3"/>
    <sheet name="Trend Analysis" sheetId="8" r:id="rId4"/>
    <sheet name="Order Details" sheetId="1" r:id="rId5"/>
    <sheet name="Geography Analysis" sheetId="6" r:id="rId6"/>
    <sheet name="Customer Analysis" sheetId="7" r:id="rId7"/>
    <sheet name="Performance analysis" sheetId="4" r:id="rId8"/>
    <sheet name="Profitability Analysis" sheetId="5" r:id="rId9"/>
  </sheets>
  <calcPr calcId="191028"/>
  <pivotCaches>
    <pivotCache cacheId="40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5" l="1"/>
  <c r="B2" i="9"/>
  <c r="E2" i="9" a="1"/>
  <c r="E2" i="9"/>
  <c r="C2" i="9"/>
  <c r="E4" i="7"/>
  <c r="D15" i="6"/>
  <c r="D16" i="6"/>
  <c r="D17" i="6"/>
  <c r="D18" i="6"/>
  <c r="D19" i="6"/>
  <c r="D20" i="6"/>
  <c r="D21" i="6"/>
  <c r="D22" i="6"/>
  <c r="D23" i="6"/>
  <c r="D5" i="6"/>
  <c r="D6" i="6"/>
  <c r="D7" i="6"/>
  <c r="D8" i="6"/>
  <c r="D9" i="6"/>
  <c r="D10" i="6"/>
  <c r="D11" i="6"/>
  <c r="D12" i="6"/>
  <c r="D13" i="6"/>
  <c r="D14" i="6"/>
  <c r="D4" i="6"/>
  <c r="E9" i="5"/>
  <c r="E10" i="5"/>
  <c r="E11" i="5"/>
  <c r="E12" i="5"/>
  <c r="E13" i="5"/>
  <c r="E14" i="5"/>
  <c r="E15" i="5"/>
  <c r="E16" i="5"/>
  <c r="E18" i="5"/>
  <c r="E19" i="5"/>
  <c r="E20" i="5"/>
  <c r="E21" i="5"/>
  <c r="E22" i="5"/>
  <c r="E23" i="5"/>
  <c r="E24" i="5"/>
  <c r="E25" i="5"/>
  <c r="E26" i="5"/>
  <c r="E27" i="5"/>
  <c r="E28" i="5"/>
  <c r="E8" i="5"/>
  <c r="D3" i="5"/>
  <c r="D4" i="5"/>
  <c r="D5" i="5"/>
  <c r="D2" i="5"/>
  <c r="O4" i="4"/>
  <c r="O5" i="4"/>
  <c r="O6" i="4"/>
  <c r="O7" i="4"/>
  <c r="O8" i="4"/>
  <c r="O9" i="4"/>
  <c r="O10" i="4"/>
  <c r="O11" i="4"/>
  <c r="O12" i="4"/>
  <c r="O13" i="4"/>
  <c r="O14" i="4"/>
  <c r="O3" i="4"/>
  <c r="N4" i="4"/>
  <c r="N5" i="4"/>
  <c r="N6" i="4"/>
  <c r="N7" i="4"/>
  <c r="N8" i="4"/>
  <c r="N9" i="4"/>
  <c r="N10" i="4"/>
  <c r="N11" i="4"/>
  <c r="N12" i="4"/>
  <c r="N13" i="4"/>
  <c r="N14" i="4"/>
  <c r="N3" i="4"/>
  <c r="M4" i="4"/>
  <c r="M5" i="4"/>
  <c r="M6" i="4"/>
  <c r="M7" i="4"/>
  <c r="M8" i="4"/>
  <c r="M9" i="4"/>
  <c r="M10" i="4"/>
  <c r="M11" i="4"/>
  <c r="M12" i="4"/>
  <c r="M13" i="4"/>
  <c r="M14" i="4"/>
  <c r="M3" i="4"/>
  <c r="J3" i="4"/>
  <c r="J4" i="4"/>
  <c r="J5" i="4"/>
  <c r="J6" i="4"/>
  <c r="J7" i="4"/>
  <c r="J8" i="4"/>
  <c r="J9" i="4"/>
  <c r="J10" i="4"/>
  <c r="J11" i="4"/>
  <c r="J12" i="4"/>
  <c r="J13" i="4"/>
  <c r="J2" i="4"/>
  <c r="I2" i="4"/>
  <c r="I3" i="4"/>
  <c r="I4" i="4"/>
  <c r="I5" i="4"/>
  <c r="I6" i="4"/>
  <c r="I7" i="4"/>
  <c r="I8" i="4"/>
  <c r="I9" i="4"/>
  <c r="I10" i="4"/>
  <c r="I11" i="4"/>
  <c r="I12" i="4"/>
  <c r="I13" i="4"/>
  <c r="H2" i="4"/>
  <c r="H3" i="4"/>
  <c r="H4" i="4"/>
  <c r="H5" i="4"/>
  <c r="H6" i="4"/>
  <c r="H7" i="4"/>
  <c r="H8" i="4"/>
  <c r="H9" i="4"/>
  <c r="H10" i="4"/>
  <c r="H11" i="4"/>
  <c r="H12" i="4"/>
  <c r="H13" i="4"/>
  <c r="H8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C2" i="2"/>
  <c r="C108" i="2"/>
  <c r="H323" i="1" s="1"/>
  <c r="N323" i="1" s="1"/>
  <c r="C45" i="2"/>
  <c r="H102" i="1" s="1"/>
  <c r="N102" i="1" s="1"/>
  <c r="C3" i="2"/>
  <c r="C4" i="2"/>
  <c r="C5" i="2"/>
  <c r="C6" i="2"/>
  <c r="H21" i="1" s="1"/>
  <c r="N21" i="1" s="1"/>
  <c r="C7" i="2"/>
  <c r="H22" i="1" s="1"/>
  <c r="N22" i="1" s="1"/>
  <c r="C8" i="2"/>
  <c r="H23" i="1" s="1"/>
  <c r="N23" i="1" s="1"/>
  <c r="C9" i="2"/>
  <c r="C10" i="2"/>
  <c r="C11" i="2"/>
  <c r="C12" i="2"/>
  <c r="H36" i="1" s="1"/>
  <c r="N36" i="1" s="1"/>
  <c r="C13" i="2"/>
  <c r="H37" i="1" s="1"/>
  <c r="N37" i="1" s="1"/>
  <c r="C14" i="2"/>
  <c r="H38" i="1" s="1"/>
  <c r="N38" i="1" s="1"/>
  <c r="C15" i="2"/>
  <c r="C16" i="2"/>
  <c r="H41" i="1" s="1"/>
  <c r="N41" i="1" s="1"/>
  <c r="C17" i="2"/>
  <c r="C18" i="2"/>
  <c r="H46" i="1" s="1"/>
  <c r="N46" i="1" s="1"/>
  <c r="C19" i="2"/>
  <c r="C20" i="2"/>
  <c r="H49" i="1" s="1"/>
  <c r="N49" i="1" s="1"/>
  <c r="C21" i="2"/>
  <c r="H50" i="1" s="1"/>
  <c r="N50" i="1" s="1"/>
  <c r="C22" i="2"/>
  <c r="C23" i="2"/>
  <c r="H54" i="1" s="1"/>
  <c r="N54" i="1" s="1"/>
  <c r="C24" i="2"/>
  <c r="C25" i="2"/>
  <c r="H59" i="1" s="1"/>
  <c r="N59" i="1" s="1"/>
  <c r="C26" i="2"/>
  <c r="C27" i="2"/>
  <c r="C28" i="2"/>
  <c r="H65" i="1" s="1"/>
  <c r="N65" i="1" s="1"/>
  <c r="C29" i="2"/>
  <c r="C30" i="2"/>
  <c r="H69" i="1" s="1"/>
  <c r="N69" i="1" s="1"/>
  <c r="C31" i="2"/>
  <c r="C32" i="2"/>
  <c r="H76" i="1" s="1"/>
  <c r="N76" i="1" s="1"/>
  <c r="C33" i="2"/>
  <c r="H77" i="1" s="1"/>
  <c r="N77" i="1" s="1"/>
  <c r="C34" i="2"/>
  <c r="C35" i="2"/>
  <c r="H81" i="1" s="1"/>
  <c r="N81" i="1" s="1"/>
  <c r="C36" i="2"/>
  <c r="C37" i="2"/>
  <c r="H85" i="1" s="1"/>
  <c r="N85" i="1" s="1"/>
  <c r="C38" i="2"/>
  <c r="H86" i="1" s="1"/>
  <c r="N86" i="1" s="1"/>
  <c r="C39" i="2"/>
  <c r="C40" i="2"/>
  <c r="H91" i="1" s="1"/>
  <c r="N91" i="1" s="1"/>
  <c r="C41" i="2"/>
  <c r="C42" i="2"/>
  <c r="H95" i="1" s="1"/>
  <c r="N95" i="1" s="1"/>
  <c r="C43" i="2"/>
  <c r="H96" i="1" s="1"/>
  <c r="N96" i="1" s="1"/>
  <c r="C44" i="2"/>
  <c r="C46" i="2"/>
  <c r="C47" i="2"/>
  <c r="H107" i="1" s="1"/>
  <c r="N107" i="1" s="1"/>
  <c r="C48" i="2"/>
  <c r="H108" i="1" s="1"/>
  <c r="N108" i="1" s="1"/>
  <c r="C49" i="2"/>
  <c r="C50" i="2"/>
  <c r="H113" i="1" s="1"/>
  <c r="N113" i="1" s="1"/>
  <c r="C51" i="2"/>
  <c r="C52" i="2"/>
  <c r="C53" i="2"/>
  <c r="C54" i="2"/>
  <c r="C55" i="2"/>
  <c r="C56" i="2"/>
  <c r="C57" i="2"/>
  <c r="C58" i="2"/>
  <c r="C59" i="2"/>
  <c r="H182" i="1" s="1"/>
  <c r="N182" i="1" s="1"/>
  <c r="C60" i="2"/>
  <c r="H183" i="1" s="1"/>
  <c r="N183" i="1" s="1"/>
  <c r="C61" i="2"/>
  <c r="H184" i="1" s="1"/>
  <c r="N184" i="1" s="1"/>
  <c r="C62" i="2"/>
  <c r="C63" i="2"/>
  <c r="C64" i="2"/>
  <c r="H194" i="1" s="1"/>
  <c r="N194" i="1" s="1"/>
  <c r="C65" i="2"/>
  <c r="C66" i="2"/>
  <c r="H199" i="1" s="1"/>
  <c r="N199" i="1" s="1"/>
  <c r="C67" i="2"/>
  <c r="H200" i="1" s="1"/>
  <c r="N200" i="1" s="1"/>
  <c r="C68" i="2"/>
  <c r="C69" i="2"/>
  <c r="H206" i="1" s="1"/>
  <c r="N206" i="1" s="1"/>
  <c r="C70" i="2"/>
  <c r="H207" i="1" s="1"/>
  <c r="N207" i="1" s="1"/>
  <c r="C71" i="2"/>
  <c r="C72" i="2"/>
  <c r="H212" i="1" s="1"/>
  <c r="N212" i="1" s="1"/>
  <c r="C73" i="2"/>
  <c r="H213" i="1" s="1"/>
  <c r="N213" i="1" s="1"/>
  <c r="C74" i="2"/>
  <c r="C75" i="2"/>
  <c r="H219" i="1" s="1"/>
  <c r="N219" i="1" s="1"/>
  <c r="C76" i="2"/>
  <c r="H220" i="1" s="1"/>
  <c r="N220" i="1" s="1"/>
  <c r="C77" i="2"/>
  <c r="C78" i="2"/>
  <c r="H226" i="1" s="1"/>
  <c r="N226" i="1" s="1"/>
  <c r="C79" i="2"/>
  <c r="C80" i="2"/>
  <c r="H231" i="1" s="1"/>
  <c r="N231" i="1" s="1"/>
  <c r="C81" i="2"/>
  <c r="H232" i="1" s="1"/>
  <c r="N232" i="1" s="1"/>
  <c r="C82" i="2"/>
  <c r="C83" i="2"/>
  <c r="H239" i="1" s="1"/>
  <c r="N239" i="1" s="1"/>
  <c r="C84" i="2"/>
  <c r="C85" i="2"/>
  <c r="H245" i="1" s="1"/>
  <c r="N245" i="1" s="1"/>
  <c r="C86" i="2"/>
  <c r="C87" i="2"/>
  <c r="C88" i="2"/>
  <c r="C89" i="2"/>
  <c r="H258" i="1" s="1"/>
  <c r="N258" i="1" s="1"/>
  <c r="C90" i="2"/>
  <c r="C91" i="2"/>
  <c r="H262" i="1" s="1"/>
  <c r="N262" i="1" s="1"/>
  <c r="C92" i="2"/>
  <c r="C93" i="2"/>
  <c r="H266" i="1" s="1"/>
  <c r="N266" i="1" s="1"/>
  <c r="C94" i="2"/>
  <c r="C95" i="2"/>
  <c r="H274" i="1" s="1"/>
  <c r="N274" i="1" s="1"/>
  <c r="C96" i="2"/>
  <c r="H275" i="1" s="1"/>
  <c r="N275" i="1" s="1"/>
  <c r="C97" i="2"/>
  <c r="C98" i="2"/>
  <c r="C99" i="2"/>
  <c r="C100" i="2"/>
  <c r="C101" i="2"/>
  <c r="C102" i="2"/>
  <c r="C103" i="2"/>
  <c r="C104" i="2"/>
  <c r="C105" i="2"/>
  <c r="C106" i="2"/>
  <c r="H321" i="1" s="1"/>
  <c r="N321" i="1" s="1"/>
  <c r="C107" i="2"/>
  <c r="H322" i="1" s="1"/>
  <c r="N322" i="1" s="1"/>
  <c r="C109" i="2"/>
  <c r="C110" i="2"/>
  <c r="C111" i="2"/>
  <c r="C112" i="2"/>
  <c r="H336" i="1" s="1"/>
  <c r="N336" i="1" s="1"/>
  <c r="C113" i="2"/>
  <c r="H337" i="1" s="1"/>
  <c r="N337" i="1" s="1"/>
  <c r="C114" i="2"/>
  <c r="H338" i="1" s="1"/>
  <c r="N338" i="1" s="1"/>
  <c r="C115" i="2"/>
  <c r="C116" i="2"/>
  <c r="H341" i="1" s="1"/>
  <c r="N341" i="1" s="1"/>
  <c r="C117" i="2"/>
  <c r="H342" i="1" s="1"/>
  <c r="N342" i="1" s="1"/>
  <c r="C118" i="2"/>
  <c r="C119" i="2"/>
  <c r="C120" i="2"/>
  <c r="H349" i="1" s="1"/>
  <c r="N349" i="1" s="1"/>
  <c r="C121" i="2"/>
  <c r="H350" i="1" s="1"/>
  <c r="N350" i="1" s="1"/>
  <c r="C122" i="2"/>
  <c r="C123" i="2"/>
  <c r="H354" i="1" s="1"/>
  <c r="N354" i="1" s="1"/>
  <c r="C124" i="2"/>
  <c r="C125" i="2"/>
  <c r="H359" i="1" s="1"/>
  <c r="N359" i="1" s="1"/>
  <c r="C126" i="2"/>
  <c r="C127" i="2"/>
  <c r="H363" i="1" s="1"/>
  <c r="N363" i="1" s="1"/>
  <c r="C128" i="2"/>
  <c r="C129" i="2"/>
  <c r="C130" i="2"/>
  <c r="H369" i="1" s="1"/>
  <c r="N369" i="1" s="1"/>
  <c r="C131" i="2"/>
  <c r="C132" i="2"/>
  <c r="H376" i="1" s="1"/>
  <c r="N376" i="1" s="1"/>
  <c r="C133" i="2"/>
  <c r="H377" i="1" s="1"/>
  <c r="N377" i="1" s="1"/>
  <c r="C134" i="2"/>
  <c r="C135" i="2"/>
  <c r="H381" i="1" s="1"/>
  <c r="N381" i="1" s="1"/>
  <c r="C136" i="2"/>
  <c r="C137" i="2"/>
  <c r="H385" i="1" s="1"/>
  <c r="N385" i="1" s="1"/>
  <c r="C138" i="2"/>
  <c r="H386" i="1" s="1"/>
  <c r="N386" i="1" s="1"/>
  <c r="C139" i="2"/>
  <c r="C140" i="2"/>
  <c r="H391" i="1" s="1"/>
  <c r="N391" i="1" s="1"/>
  <c r="C141" i="2"/>
  <c r="C142" i="2"/>
  <c r="H395" i="1" s="1"/>
  <c r="N395" i="1" s="1"/>
  <c r="C143" i="2"/>
  <c r="H396" i="1" s="1"/>
  <c r="N396" i="1" s="1"/>
  <c r="C144" i="2"/>
  <c r="C145" i="2"/>
  <c r="H402" i="1" s="1"/>
  <c r="N402" i="1" s="1"/>
  <c r="C146" i="2"/>
  <c r="C147" i="2"/>
  <c r="H407" i="1" s="1"/>
  <c r="N407" i="1" s="1"/>
  <c r="C148" i="2"/>
  <c r="H408" i="1" s="1"/>
  <c r="N408" i="1" s="1"/>
  <c r="C149" i="2"/>
  <c r="C150" i="2"/>
  <c r="H413" i="1" s="1"/>
  <c r="N413" i="1" s="1"/>
  <c r="C151" i="2"/>
  <c r="C152" i="2"/>
  <c r="C153" i="2"/>
  <c r="C154" i="2"/>
  <c r="C155" i="2"/>
  <c r="C156" i="2"/>
  <c r="C157" i="2"/>
  <c r="C158" i="2"/>
  <c r="C159" i="2"/>
  <c r="H482" i="1" s="1"/>
  <c r="N482" i="1" s="1"/>
  <c r="C160" i="2"/>
  <c r="H483" i="1" s="1"/>
  <c r="N483" i="1" s="1"/>
  <c r="C161" i="2"/>
  <c r="H484" i="1" s="1"/>
  <c r="N484" i="1" s="1"/>
  <c r="C162" i="2"/>
  <c r="C163" i="2"/>
  <c r="C164" i="2"/>
  <c r="H494" i="1" s="1"/>
  <c r="N494" i="1" s="1"/>
  <c r="C165" i="2"/>
  <c r="C166" i="2"/>
  <c r="H499" i="1" s="1"/>
  <c r="N499" i="1" s="1"/>
  <c r="C167" i="2"/>
  <c r="H500" i="1" s="1"/>
  <c r="N500" i="1" s="1"/>
  <c r="C168" i="2"/>
  <c r="C169" i="2"/>
  <c r="H506" i="1" s="1"/>
  <c r="N506" i="1" s="1"/>
  <c r="C170" i="2"/>
  <c r="H507" i="1" s="1"/>
  <c r="N507" i="1" s="1"/>
  <c r="C171" i="2"/>
  <c r="C172" i="2"/>
  <c r="H512" i="1" s="1"/>
  <c r="N512" i="1" s="1"/>
  <c r="C173" i="2"/>
  <c r="H513" i="1" s="1"/>
  <c r="N513" i="1" s="1"/>
  <c r="C174" i="2"/>
  <c r="C175" i="2"/>
  <c r="H519" i="1" s="1"/>
  <c r="N519" i="1" s="1"/>
  <c r="C176" i="2"/>
  <c r="H520" i="1" s="1"/>
  <c r="N520" i="1" s="1"/>
  <c r="C177" i="2"/>
  <c r="H521" i="1" s="1"/>
  <c r="N521" i="1" s="1"/>
  <c r="C178" i="2"/>
  <c r="C179" i="2"/>
  <c r="C180" i="2"/>
  <c r="H531" i="1" s="1"/>
  <c r="N531" i="1" s="1"/>
  <c r="C181" i="2"/>
  <c r="H532" i="1" s="1"/>
  <c r="N532" i="1" s="1"/>
  <c r="C182" i="2"/>
  <c r="C183" i="2"/>
  <c r="H539" i="1" s="1"/>
  <c r="N539" i="1" s="1"/>
  <c r="C184" i="2"/>
  <c r="C185" i="2"/>
  <c r="H545" i="1" s="1"/>
  <c r="N545" i="1" s="1"/>
  <c r="C186" i="2"/>
  <c r="C187" i="2"/>
  <c r="C188" i="2"/>
  <c r="C189" i="2"/>
  <c r="H558" i="1" s="1"/>
  <c r="N558" i="1" s="1"/>
  <c r="C190" i="2"/>
  <c r="C191" i="2"/>
  <c r="H562" i="1" s="1"/>
  <c r="N562" i="1" s="1"/>
  <c r="C192" i="2"/>
  <c r="C193" i="2"/>
  <c r="H566" i="1" s="1"/>
  <c r="N566" i="1" s="1"/>
  <c r="C194" i="2"/>
  <c r="C195" i="2"/>
  <c r="H574" i="1" s="1"/>
  <c r="N574" i="1" s="1"/>
  <c r="C196" i="2"/>
  <c r="H575" i="1" s="1"/>
  <c r="N575" i="1" s="1"/>
  <c r="C197" i="2"/>
  <c r="C198" i="2"/>
  <c r="C199" i="2"/>
  <c r="C200" i="2"/>
  <c r="C201" i="2"/>
  <c r="C202" i="2"/>
  <c r="C203" i="2"/>
  <c r="C204" i="2"/>
  <c r="C205" i="2"/>
  <c r="C206" i="2"/>
  <c r="H621" i="1" s="1"/>
  <c r="N621" i="1" s="1"/>
  <c r="C207" i="2"/>
  <c r="H622" i="1" s="1"/>
  <c r="N622" i="1" s="1"/>
  <c r="C208" i="2"/>
  <c r="H623" i="1" s="1"/>
  <c r="N623" i="1" s="1"/>
  <c r="C209" i="2"/>
  <c r="C210" i="2"/>
  <c r="C211" i="2"/>
  <c r="C212" i="2"/>
  <c r="H636" i="1" s="1"/>
  <c r="N636" i="1" s="1"/>
  <c r="C213" i="2"/>
  <c r="H637" i="1" s="1"/>
  <c r="N637" i="1" s="1"/>
  <c r="C214" i="2"/>
  <c r="H638" i="1" s="1"/>
  <c r="N638" i="1" s="1"/>
  <c r="C215" i="2"/>
  <c r="C216" i="2"/>
  <c r="H641" i="1" s="1"/>
  <c r="N641" i="1" s="1"/>
  <c r="C217" i="2"/>
  <c r="H642" i="1" s="1"/>
  <c r="N642" i="1" s="1"/>
  <c r="C218" i="2"/>
  <c r="H643" i="1" s="1"/>
  <c r="N643" i="1" s="1"/>
  <c r="C219" i="2"/>
  <c r="C220" i="2"/>
  <c r="H649" i="1" s="1"/>
  <c r="N649" i="1" s="1"/>
  <c r="C221" i="2"/>
  <c r="H650" i="1" s="1"/>
  <c r="N650" i="1" s="1"/>
  <c r="C222" i="2"/>
  <c r="C223" i="2"/>
  <c r="H654" i="1" s="1"/>
  <c r="N654" i="1" s="1"/>
  <c r="C224" i="2"/>
  <c r="C225" i="2"/>
  <c r="H659" i="1" s="1"/>
  <c r="N659" i="1" s="1"/>
  <c r="C226" i="2"/>
  <c r="C227" i="2"/>
  <c r="H663" i="1" s="1"/>
  <c r="N663" i="1" s="1"/>
  <c r="C228" i="2"/>
  <c r="H664" i="1" s="1"/>
  <c r="N664" i="1" s="1"/>
  <c r="C229" i="2"/>
  <c r="C230" i="2"/>
  <c r="H669" i="1" s="1"/>
  <c r="N669" i="1" s="1"/>
  <c r="C231" i="2"/>
  <c r="C232" i="2"/>
  <c r="H676" i="1" s="1"/>
  <c r="N676" i="1" s="1"/>
  <c r="C233" i="2"/>
  <c r="H677" i="1" s="1"/>
  <c r="N677" i="1" s="1"/>
  <c r="C234" i="2"/>
  <c r="C235" i="2"/>
  <c r="H681" i="1" s="1"/>
  <c r="N681" i="1" s="1"/>
  <c r="C236" i="2"/>
  <c r="C237" i="2"/>
  <c r="H685" i="1" s="1"/>
  <c r="N685" i="1" s="1"/>
  <c r="C238" i="2"/>
  <c r="H686" i="1" s="1"/>
  <c r="N686" i="1" s="1"/>
  <c r="C239" i="2"/>
  <c r="C240" i="2"/>
  <c r="H691" i="1" s="1"/>
  <c r="N691" i="1" s="1"/>
  <c r="C241" i="2"/>
  <c r="C242" i="2"/>
  <c r="H695" i="1" s="1"/>
  <c r="N695" i="1" s="1"/>
  <c r="C243" i="2"/>
  <c r="H696" i="1" s="1"/>
  <c r="N696" i="1" s="1"/>
  <c r="C244" i="2"/>
  <c r="C245" i="2"/>
  <c r="H702" i="1" s="1"/>
  <c r="N702" i="1" s="1"/>
  <c r="C246" i="2"/>
  <c r="C247" i="2"/>
  <c r="H707" i="1" s="1"/>
  <c r="N707" i="1" s="1"/>
  <c r="C248" i="2"/>
  <c r="C249" i="2"/>
  <c r="C250" i="2"/>
  <c r="H713" i="1" s="1"/>
  <c r="N713" i="1" s="1"/>
  <c r="C251" i="2"/>
  <c r="C252" i="2"/>
  <c r="C253" i="2"/>
  <c r="C254" i="2"/>
  <c r="C255" i="2"/>
  <c r="C256" i="2"/>
  <c r="C257" i="2"/>
  <c r="C258" i="2"/>
  <c r="C259" i="2"/>
  <c r="C260" i="2"/>
  <c r="H783" i="1" s="1"/>
  <c r="N783" i="1" s="1"/>
  <c r="C261" i="2"/>
  <c r="H784" i="1" s="1"/>
  <c r="N784" i="1" s="1"/>
  <c r="C262" i="2"/>
  <c r="C263" i="2"/>
  <c r="C264" i="2"/>
  <c r="H794" i="1" s="1"/>
  <c r="N794" i="1" s="1"/>
  <c r="C265" i="2"/>
  <c r="C266" i="2"/>
  <c r="H799" i="1" s="1"/>
  <c r="N799" i="1" s="1"/>
  <c r="C267" i="2"/>
  <c r="H800" i="1" s="1"/>
  <c r="N800" i="1" s="1"/>
  <c r="C268" i="2"/>
  <c r="C269" i="2"/>
  <c r="C270" i="2"/>
  <c r="H807" i="1" s="1"/>
  <c r="N807" i="1" s="1"/>
  <c r="C271" i="2"/>
  <c r="C272" i="2"/>
  <c r="H812" i="1" s="1"/>
  <c r="N812" i="1" s="1"/>
  <c r="C273" i="2"/>
  <c r="H813" i="1" s="1"/>
  <c r="N813" i="1" s="1"/>
  <c r="C274" i="2"/>
  <c r="C275" i="2"/>
  <c r="H819" i="1" s="1"/>
  <c r="N819" i="1" s="1"/>
  <c r="C276" i="2"/>
  <c r="H820" i="1" s="1"/>
  <c r="N820" i="1" s="1"/>
  <c r="C277" i="2"/>
  <c r="H821" i="1" s="1"/>
  <c r="N821" i="1" s="1"/>
  <c r="C278" i="2"/>
  <c r="C279" i="2"/>
  <c r="C280" i="2"/>
  <c r="H831" i="1" s="1"/>
  <c r="N831" i="1" s="1"/>
  <c r="C281" i="2"/>
  <c r="H832" i="1" s="1"/>
  <c r="N832" i="1" s="1"/>
  <c r="C282" i="2"/>
  <c r="C283" i="2"/>
  <c r="H839" i="1" s="1"/>
  <c r="N839" i="1" s="1"/>
  <c r="C284" i="2"/>
  <c r="C285" i="2"/>
  <c r="H845" i="1" s="1"/>
  <c r="N845" i="1" s="1"/>
  <c r="C286" i="2"/>
  <c r="C287" i="2"/>
  <c r="C288" i="2"/>
  <c r="C289" i="2"/>
  <c r="C290" i="2"/>
  <c r="C291" i="2"/>
  <c r="H862" i="1" s="1"/>
  <c r="N862" i="1" s="1"/>
  <c r="C292" i="2"/>
  <c r="C293" i="2"/>
  <c r="H866" i="1" s="1"/>
  <c r="N866" i="1" s="1"/>
  <c r="C294" i="2"/>
  <c r="C295" i="2"/>
  <c r="H874" i="1" s="1"/>
  <c r="N874" i="1" s="1"/>
  <c r="C296" i="2"/>
  <c r="H875" i="1" s="1"/>
  <c r="N875" i="1" s="1"/>
  <c r="C297" i="2"/>
  <c r="C298" i="2"/>
  <c r="C299" i="2"/>
  <c r="C300" i="2"/>
  <c r="C301" i="2"/>
  <c r="C302" i="2"/>
  <c r="C303" i="2"/>
  <c r="C304" i="2"/>
  <c r="C305" i="2"/>
  <c r="C306" i="2"/>
  <c r="H921" i="1" s="1"/>
  <c r="N921" i="1" s="1"/>
  <c r="C307" i="2"/>
  <c r="H922" i="1" s="1"/>
  <c r="N922" i="1" s="1"/>
  <c r="C308" i="2"/>
  <c r="H923" i="1" s="1"/>
  <c r="N923" i="1" s="1"/>
  <c r="C309" i="2"/>
  <c r="H924" i="1" s="1"/>
  <c r="N924" i="1" s="1"/>
  <c r="C310" i="2"/>
  <c r="C311" i="2"/>
  <c r="C312" i="2"/>
  <c r="H936" i="1" s="1"/>
  <c r="N936" i="1" s="1"/>
  <c r="C313" i="2"/>
  <c r="H937" i="1" s="1"/>
  <c r="N937" i="1" s="1"/>
  <c r="C314" i="2"/>
  <c r="H938" i="1" s="1"/>
  <c r="N938" i="1" s="1"/>
  <c r="C315" i="2"/>
  <c r="C316" i="2"/>
  <c r="H941" i="1" s="1"/>
  <c r="N941" i="1" s="1"/>
  <c r="C317" i="2"/>
  <c r="H942" i="1" s="1"/>
  <c r="N942" i="1" s="1"/>
  <c r="C318" i="2"/>
  <c r="H943" i="1" s="1"/>
  <c r="N943" i="1" s="1"/>
  <c r="C319" i="2"/>
  <c r="H944" i="1" s="1"/>
  <c r="N944" i="1" s="1"/>
  <c r="C320" i="2"/>
  <c r="C321" i="2"/>
  <c r="H950" i="1" s="1"/>
  <c r="N950" i="1" s="1"/>
  <c r="C322" i="2"/>
  <c r="C323" i="2"/>
  <c r="H954" i="1" s="1"/>
  <c r="N954" i="1" s="1"/>
  <c r="C324" i="2"/>
  <c r="C325" i="2"/>
  <c r="H959" i="1" s="1"/>
  <c r="N959" i="1" s="1"/>
  <c r="C326" i="2"/>
  <c r="C327" i="2"/>
  <c r="H963" i="1" s="1"/>
  <c r="N963" i="1" s="1"/>
  <c r="C328" i="2"/>
  <c r="H964" i="1" s="1"/>
  <c r="N964" i="1" s="1"/>
  <c r="C329" i="2"/>
  <c r="C330" i="2"/>
  <c r="C331" i="2"/>
  <c r="C332" i="2"/>
  <c r="H976" i="1" s="1"/>
  <c r="N976" i="1" s="1"/>
  <c r="C333" i="2"/>
  <c r="H977" i="1" s="1"/>
  <c r="N977" i="1" s="1"/>
  <c r="C334" i="2"/>
  <c r="C335" i="2"/>
  <c r="H981" i="1" s="1"/>
  <c r="N981" i="1" s="1"/>
  <c r="C336" i="2"/>
  <c r="C337" i="2"/>
  <c r="H985" i="1" s="1"/>
  <c r="N985" i="1" s="1"/>
  <c r="C338" i="2"/>
  <c r="H986" i="1" s="1"/>
  <c r="N986" i="1" s="1"/>
  <c r="C339" i="2"/>
  <c r="C340" i="2"/>
  <c r="C341" i="2"/>
  <c r="C342" i="2"/>
  <c r="H995" i="1" s="1"/>
  <c r="N995" i="1" s="1"/>
  <c r="C343" i="2"/>
  <c r="H996" i="1" s="1"/>
  <c r="N996" i="1" s="1"/>
  <c r="C344" i="2"/>
  <c r="C345" i="2"/>
  <c r="H1002" i="1" s="1"/>
  <c r="N1002" i="1" s="1"/>
  <c r="C346" i="2"/>
  <c r="C347" i="2"/>
  <c r="H1007" i="1" s="1"/>
  <c r="N1007" i="1" s="1"/>
  <c r="C348" i="2"/>
  <c r="C349" i="2"/>
  <c r="H1010" i="1" s="1"/>
  <c r="N1010" i="1" s="1"/>
  <c r="C350" i="2"/>
  <c r="C351" i="2"/>
  <c r="C352" i="2"/>
  <c r="C353" i="2"/>
  <c r="C354" i="2"/>
  <c r="C355" i="2"/>
  <c r="C356" i="2"/>
  <c r="C357" i="2"/>
  <c r="C358" i="2"/>
  <c r="C359" i="2"/>
  <c r="C360" i="2"/>
  <c r="C361" i="2"/>
  <c r="H1084" i="1" s="1"/>
  <c r="N1084" i="1" s="1"/>
  <c r="C362" i="2"/>
  <c r="C363" i="2"/>
  <c r="C364" i="2"/>
  <c r="H1094" i="1" s="1"/>
  <c r="N1094" i="1" s="1"/>
  <c r="C365" i="2"/>
  <c r="C366" i="2"/>
  <c r="H1099" i="1" s="1"/>
  <c r="N1099" i="1" s="1"/>
  <c r="C367" i="2"/>
  <c r="H1100" i="1" s="1"/>
  <c r="N1100" i="1" s="1"/>
  <c r="C368" i="2"/>
  <c r="C369" i="2"/>
  <c r="H1104" i="1" s="1"/>
  <c r="N1104" i="1" s="1"/>
  <c r="C370" i="2"/>
  <c r="C371" i="2"/>
  <c r="C372" i="2"/>
  <c r="H1112" i="1" s="1"/>
  <c r="N1112" i="1" s="1"/>
  <c r="C373" i="2"/>
  <c r="H1113" i="1" s="1"/>
  <c r="N1113" i="1" s="1"/>
  <c r="C374" i="2"/>
  <c r="C375" i="2"/>
  <c r="H1119" i="1" s="1"/>
  <c r="N1119" i="1" s="1"/>
  <c r="C376" i="2"/>
  <c r="H1120" i="1" s="1"/>
  <c r="N1120" i="1" s="1"/>
  <c r="C377" i="2"/>
  <c r="H1121" i="1" s="1"/>
  <c r="N1121" i="1" s="1"/>
  <c r="C378" i="2"/>
  <c r="C379" i="2"/>
  <c r="C380" i="2"/>
  <c r="C381" i="2"/>
  <c r="H1132" i="1" s="1"/>
  <c r="N1132" i="1" s="1"/>
  <c r="C382" i="2"/>
  <c r="C383" i="2"/>
  <c r="H1139" i="1" s="1"/>
  <c r="N1139" i="1" s="1"/>
  <c r="C384" i="2"/>
  <c r="C385" i="2"/>
  <c r="H1145" i="1" s="1"/>
  <c r="N1145" i="1" s="1"/>
  <c r="C386" i="2"/>
  <c r="C387" i="2"/>
  <c r="C388" i="2"/>
  <c r="C389" i="2"/>
  <c r="H1156" i="1" s="1"/>
  <c r="N1156" i="1" s="1"/>
  <c r="C390" i="2"/>
  <c r="C391" i="2"/>
  <c r="H1162" i="1" s="1"/>
  <c r="N1162" i="1" s="1"/>
  <c r="C392" i="2"/>
  <c r="C393" i="2"/>
  <c r="H1166" i="1" s="1"/>
  <c r="N1166" i="1" s="1"/>
  <c r="C394" i="2"/>
  <c r="C395" i="2"/>
  <c r="H1174" i="1" s="1"/>
  <c r="N1174" i="1" s="1"/>
  <c r="C396" i="2"/>
  <c r="H1175" i="1" s="1"/>
  <c r="N1175" i="1" s="1"/>
  <c r="C397" i="2"/>
  <c r="C398" i="2"/>
  <c r="C399" i="2"/>
  <c r="H1187" i="1" s="1"/>
  <c r="N1187" i="1" s="1"/>
  <c r="C400" i="2"/>
  <c r="C401" i="2"/>
  <c r="C402" i="2"/>
  <c r="C403" i="2"/>
  <c r="C404" i="2"/>
  <c r="C405" i="2"/>
  <c r="C406" i="2"/>
  <c r="H1221" i="1" s="1"/>
  <c r="N1221" i="1" s="1"/>
  <c r="C407" i="2"/>
  <c r="H1222" i="1" s="1"/>
  <c r="N1222" i="1" s="1"/>
  <c r="C408" i="2"/>
  <c r="H1223" i="1" s="1"/>
  <c r="N1223" i="1" s="1"/>
  <c r="C409" i="2"/>
  <c r="C410" i="2"/>
  <c r="C411" i="2"/>
  <c r="C412" i="2"/>
  <c r="H1236" i="1" s="1"/>
  <c r="N1236" i="1" s="1"/>
  <c r="C413" i="2"/>
  <c r="H1237" i="1" s="1"/>
  <c r="N1237" i="1" s="1"/>
  <c r="C414" i="2"/>
  <c r="H1238" i="1" s="1"/>
  <c r="N1238" i="1" s="1"/>
  <c r="C415" i="2"/>
  <c r="C416" i="2"/>
  <c r="H1241" i="1" s="1"/>
  <c r="N1241" i="1" s="1"/>
  <c r="C417" i="2"/>
  <c r="C418" i="2"/>
  <c r="H1246" i="1" s="1"/>
  <c r="N1246" i="1" s="1"/>
  <c r="C419" i="2"/>
  <c r="C420" i="2"/>
  <c r="H1249" i="1" s="1"/>
  <c r="N1249" i="1" s="1"/>
  <c r="C421" i="2"/>
  <c r="H1250" i="1" s="1"/>
  <c r="N1250" i="1" s="1"/>
  <c r="C422" i="2"/>
  <c r="C423" i="2"/>
  <c r="H1254" i="1" s="1"/>
  <c r="N1254" i="1" s="1"/>
  <c r="C424" i="2"/>
  <c r="C425" i="2"/>
  <c r="H1259" i="1" s="1"/>
  <c r="N1259" i="1" s="1"/>
  <c r="C426" i="2"/>
  <c r="C427" i="2"/>
  <c r="C428" i="2"/>
  <c r="H1265" i="1" s="1"/>
  <c r="N1265" i="1" s="1"/>
  <c r="C429" i="2"/>
  <c r="C430" i="2"/>
  <c r="H1269" i="1" s="1"/>
  <c r="N1269" i="1" s="1"/>
  <c r="C431" i="2"/>
  <c r="C432" i="2"/>
  <c r="H1276" i="1" s="1"/>
  <c r="N1276" i="1" s="1"/>
  <c r="C433" i="2"/>
  <c r="H1277" i="1" s="1"/>
  <c r="N1277" i="1" s="1"/>
  <c r="C434" i="2"/>
  <c r="C435" i="2"/>
  <c r="H1281" i="1" s="1"/>
  <c r="N1281" i="1" s="1"/>
  <c r="C436" i="2"/>
  <c r="C437" i="2"/>
  <c r="H1285" i="1" s="1"/>
  <c r="N1285" i="1" s="1"/>
  <c r="C438" i="2"/>
  <c r="H1286" i="1" s="1"/>
  <c r="N1286" i="1" s="1"/>
  <c r="C439" i="2"/>
  <c r="C440" i="2"/>
  <c r="H1291" i="1" s="1"/>
  <c r="N1291" i="1" s="1"/>
  <c r="C441" i="2"/>
  <c r="C442" i="2"/>
  <c r="H1295" i="1" s="1"/>
  <c r="N1295" i="1" s="1"/>
  <c r="C443" i="2"/>
  <c r="H1296" i="1" s="1"/>
  <c r="N1296" i="1" s="1"/>
  <c r="C444" i="2"/>
  <c r="C445" i="2"/>
  <c r="H1302" i="1" s="1"/>
  <c r="N1302" i="1" s="1"/>
  <c r="C446" i="2"/>
  <c r="C447" i="2"/>
  <c r="H1307" i="1" s="1"/>
  <c r="N1307" i="1" s="1"/>
  <c r="C448" i="2"/>
  <c r="H1308" i="1" s="1"/>
  <c r="N1308" i="1" s="1"/>
  <c r="C449" i="2"/>
  <c r="C450" i="2"/>
  <c r="H1313" i="1" s="1"/>
  <c r="N1313" i="1" s="1"/>
  <c r="C451" i="2"/>
  <c r="C452" i="2"/>
  <c r="C453" i="2"/>
  <c r="C454" i="2"/>
  <c r="C455" i="2"/>
  <c r="C456" i="2"/>
  <c r="C457" i="2"/>
  <c r="C458" i="2"/>
  <c r="C459" i="2"/>
  <c r="H1382" i="1" s="1"/>
  <c r="N1382" i="1" s="1"/>
  <c r="C460" i="2"/>
  <c r="H1383" i="1" s="1"/>
  <c r="N1383" i="1" s="1"/>
  <c r="C461" i="2"/>
  <c r="H1384" i="1" s="1"/>
  <c r="N1384" i="1" s="1"/>
  <c r="C462" i="2"/>
  <c r="C463" i="2"/>
  <c r="C464" i="2"/>
  <c r="H1394" i="1" s="1"/>
  <c r="N1394" i="1" s="1"/>
  <c r="C465" i="2"/>
  <c r="C466" i="2"/>
  <c r="H1399" i="1" s="1"/>
  <c r="N1399" i="1" s="1"/>
  <c r="C467" i="2"/>
  <c r="H1400" i="1" s="1"/>
  <c r="N1400" i="1" s="1"/>
  <c r="C468" i="2"/>
  <c r="C469" i="2"/>
  <c r="H1406" i="1" s="1"/>
  <c r="N1406" i="1" s="1"/>
  <c r="C470" i="2"/>
  <c r="H1407" i="1" s="1"/>
  <c r="N1407" i="1" s="1"/>
  <c r="C471" i="2"/>
  <c r="C472" i="2"/>
  <c r="H1412" i="1" s="1"/>
  <c r="N1412" i="1" s="1"/>
  <c r="C473" i="2"/>
  <c r="H1413" i="1" s="1"/>
  <c r="N1413" i="1" s="1"/>
  <c r="C474" i="2"/>
  <c r="C475" i="2"/>
  <c r="H1419" i="1" s="1"/>
  <c r="N1419" i="1" s="1"/>
  <c r="C476" i="2"/>
  <c r="H1420" i="1" s="1"/>
  <c r="N1420" i="1" s="1"/>
  <c r="C477" i="2"/>
  <c r="C478" i="2"/>
  <c r="H1426" i="1" s="1"/>
  <c r="N1426" i="1" s="1"/>
  <c r="C479" i="2"/>
  <c r="C480" i="2"/>
  <c r="H1431" i="1" s="1"/>
  <c r="N1431" i="1" s="1"/>
  <c r="C481" i="2"/>
  <c r="H1432" i="1" s="1"/>
  <c r="N1432" i="1" s="1"/>
  <c r="C482" i="2"/>
  <c r="C483" i="2"/>
  <c r="H1439" i="1" s="1"/>
  <c r="N1439" i="1" s="1"/>
  <c r="C484" i="2"/>
  <c r="C485" i="2"/>
  <c r="H1445" i="1" s="1"/>
  <c r="N1445" i="1" s="1"/>
  <c r="C486" i="2"/>
  <c r="C487" i="2"/>
  <c r="C488" i="2"/>
  <c r="C489" i="2"/>
  <c r="H1458" i="1" s="1"/>
  <c r="N1458" i="1" s="1"/>
  <c r="C490" i="2"/>
  <c r="C491" i="2"/>
  <c r="H1462" i="1" s="1"/>
  <c r="N1462" i="1" s="1"/>
  <c r="C492" i="2"/>
  <c r="C493" i="2"/>
  <c r="H1466" i="1" s="1"/>
  <c r="N1466" i="1" s="1"/>
  <c r="C494" i="2"/>
  <c r="C495" i="2"/>
  <c r="H1474" i="1" s="1"/>
  <c r="N1474" i="1" s="1"/>
  <c r="C496" i="2"/>
  <c r="H1475" i="1" s="1"/>
  <c r="N1475" i="1" s="1"/>
  <c r="C497" i="2"/>
  <c r="C498" i="2"/>
  <c r="C499" i="2"/>
  <c r="C500" i="2"/>
  <c r="C501" i="2"/>
  <c r="D2" i="9" l="1"/>
  <c r="K1475" i="1"/>
  <c r="M1475" i="1"/>
  <c r="K1474" i="1"/>
  <c r="M1474" i="1"/>
  <c r="K1466" i="1"/>
  <c r="M1466" i="1"/>
  <c r="K1462" i="1"/>
  <c r="M1462" i="1"/>
  <c r="K1458" i="1"/>
  <c r="M1458" i="1"/>
  <c r="K1445" i="1"/>
  <c r="M1445" i="1"/>
  <c r="K1439" i="1"/>
  <c r="M1439" i="1"/>
  <c r="K1432" i="1"/>
  <c r="M1432" i="1"/>
  <c r="K1431" i="1"/>
  <c r="M1431" i="1"/>
  <c r="K1426" i="1"/>
  <c r="M1426" i="1"/>
  <c r="K1420" i="1"/>
  <c r="M1420" i="1"/>
  <c r="K1419" i="1"/>
  <c r="M1419" i="1"/>
  <c r="K1413" i="1"/>
  <c r="M1413" i="1"/>
  <c r="K1412" i="1"/>
  <c r="M1412" i="1"/>
  <c r="K1407" i="1"/>
  <c r="M1407" i="1"/>
  <c r="K1406" i="1"/>
  <c r="M1406" i="1"/>
  <c r="K1400" i="1"/>
  <c r="M1400" i="1"/>
  <c r="K1399" i="1"/>
  <c r="M1399" i="1"/>
  <c r="K1394" i="1"/>
  <c r="M1394" i="1"/>
  <c r="K1384" i="1"/>
  <c r="M1384" i="1"/>
  <c r="K1383" i="1"/>
  <c r="M1383" i="1"/>
  <c r="K1382" i="1"/>
  <c r="M1382" i="1"/>
  <c r="K1313" i="1"/>
  <c r="M1313" i="1"/>
  <c r="K1308" i="1"/>
  <c r="M1308" i="1"/>
  <c r="K1307" i="1"/>
  <c r="M1307" i="1"/>
  <c r="K1302" i="1"/>
  <c r="M1302" i="1"/>
  <c r="K1296" i="1"/>
  <c r="M1296" i="1"/>
  <c r="K1295" i="1"/>
  <c r="M1295" i="1"/>
  <c r="K1291" i="1"/>
  <c r="M1291" i="1"/>
  <c r="K1286" i="1"/>
  <c r="M1286" i="1"/>
  <c r="K1285" i="1"/>
  <c r="M1285" i="1"/>
  <c r="K1281" i="1"/>
  <c r="M1281" i="1"/>
  <c r="K1277" i="1"/>
  <c r="M1277" i="1"/>
  <c r="K1276" i="1"/>
  <c r="M1276" i="1"/>
  <c r="K1269" i="1"/>
  <c r="M1269" i="1"/>
  <c r="K1265" i="1"/>
  <c r="M1265" i="1"/>
  <c r="K1259" i="1"/>
  <c r="M1259" i="1"/>
  <c r="K1254" i="1"/>
  <c r="M1254" i="1"/>
  <c r="K1250" i="1"/>
  <c r="M1250" i="1"/>
  <c r="K1249" i="1"/>
  <c r="M1249" i="1"/>
  <c r="K1246" i="1"/>
  <c r="M1246" i="1"/>
  <c r="K1241" i="1"/>
  <c r="M1241" i="1"/>
  <c r="K1238" i="1"/>
  <c r="M1238" i="1"/>
  <c r="K1237" i="1"/>
  <c r="M1237" i="1"/>
  <c r="K1236" i="1"/>
  <c r="M1236" i="1"/>
  <c r="K1223" i="1"/>
  <c r="M1223" i="1"/>
  <c r="K1222" i="1"/>
  <c r="M1222" i="1"/>
  <c r="K1221" i="1"/>
  <c r="M1221" i="1"/>
  <c r="K1187" i="1"/>
  <c r="M1187" i="1"/>
  <c r="K1175" i="1"/>
  <c r="M1175" i="1"/>
  <c r="K1174" i="1"/>
  <c r="M1174" i="1"/>
  <c r="K1166" i="1"/>
  <c r="M1166" i="1"/>
  <c r="K1162" i="1"/>
  <c r="M1162" i="1"/>
  <c r="K1156" i="1"/>
  <c r="M1156" i="1"/>
  <c r="K1145" i="1"/>
  <c r="M1145" i="1"/>
  <c r="K1139" i="1"/>
  <c r="M1139" i="1"/>
  <c r="K1132" i="1"/>
  <c r="M1132" i="1"/>
  <c r="K1121" i="1"/>
  <c r="M1121" i="1"/>
  <c r="K1120" i="1"/>
  <c r="M1120" i="1"/>
  <c r="K1119" i="1"/>
  <c r="M1119" i="1"/>
  <c r="K1113" i="1"/>
  <c r="M1113" i="1"/>
  <c r="K1112" i="1"/>
  <c r="M1112" i="1"/>
  <c r="K1104" i="1"/>
  <c r="M1104" i="1"/>
  <c r="K1100" i="1"/>
  <c r="M1100" i="1"/>
  <c r="K1099" i="1"/>
  <c r="M1099" i="1"/>
  <c r="K1094" i="1"/>
  <c r="M1094" i="1"/>
  <c r="K1084" i="1"/>
  <c r="M1084" i="1"/>
  <c r="K1010" i="1"/>
  <c r="M1010" i="1"/>
  <c r="K1007" i="1"/>
  <c r="M1007" i="1"/>
  <c r="K1002" i="1"/>
  <c r="M1002" i="1"/>
  <c r="K996" i="1"/>
  <c r="M996" i="1"/>
  <c r="K995" i="1"/>
  <c r="M995" i="1"/>
  <c r="K986" i="1"/>
  <c r="M986" i="1"/>
  <c r="K985" i="1"/>
  <c r="M985" i="1"/>
  <c r="K981" i="1"/>
  <c r="M981" i="1"/>
  <c r="K977" i="1"/>
  <c r="M977" i="1"/>
  <c r="K976" i="1"/>
  <c r="M976" i="1"/>
  <c r="K964" i="1"/>
  <c r="M964" i="1"/>
  <c r="K963" i="1"/>
  <c r="M963" i="1"/>
  <c r="K959" i="1"/>
  <c r="M959" i="1"/>
  <c r="K954" i="1"/>
  <c r="M954" i="1"/>
  <c r="K950" i="1"/>
  <c r="M950" i="1"/>
  <c r="K944" i="1"/>
  <c r="M944" i="1"/>
  <c r="K943" i="1"/>
  <c r="M943" i="1"/>
  <c r="K942" i="1"/>
  <c r="M942" i="1"/>
  <c r="K941" i="1"/>
  <c r="M941" i="1"/>
  <c r="K938" i="1"/>
  <c r="M938" i="1"/>
  <c r="K937" i="1"/>
  <c r="M937" i="1"/>
  <c r="K936" i="1"/>
  <c r="M936" i="1"/>
  <c r="K924" i="1"/>
  <c r="M924" i="1"/>
  <c r="K923" i="1"/>
  <c r="M923" i="1"/>
  <c r="K922" i="1"/>
  <c r="M922" i="1"/>
  <c r="K921" i="1"/>
  <c r="M921" i="1"/>
  <c r="K875" i="1"/>
  <c r="M875" i="1"/>
  <c r="K874" i="1"/>
  <c r="M874" i="1"/>
  <c r="K866" i="1"/>
  <c r="M866" i="1"/>
  <c r="K862" i="1"/>
  <c r="M862" i="1"/>
  <c r="K845" i="1"/>
  <c r="M845" i="1"/>
  <c r="K839" i="1"/>
  <c r="M839" i="1"/>
  <c r="K832" i="1"/>
  <c r="M832" i="1"/>
  <c r="K831" i="1"/>
  <c r="M831" i="1"/>
  <c r="K821" i="1"/>
  <c r="M821" i="1"/>
  <c r="K820" i="1"/>
  <c r="M820" i="1"/>
  <c r="K819" i="1"/>
  <c r="M819" i="1"/>
  <c r="K813" i="1"/>
  <c r="M813" i="1"/>
  <c r="K812" i="1"/>
  <c r="M812" i="1"/>
  <c r="K807" i="1"/>
  <c r="M807" i="1"/>
  <c r="K800" i="1"/>
  <c r="M800" i="1"/>
  <c r="K799" i="1"/>
  <c r="M799" i="1"/>
  <c r="K794" i="1"/>
  <c r="M794" i="1"/>
  <c r="K784" i="1"/>
  <c r="M784" i="1"/>
  <c r="K783" i="1"/>
  <c r="M783" i="1"/>
  <c r="K713" i="1"/>
  <c r="M713" i="1"/>
  <c r="K707" i="1"/>
  <c r="M707" i="1"/>
  <c r="K702" i="1"/>
  <c r="M702" i="1"/>
  <c r="K696" i="1"/>
  <c r="M696" i="1"/>
  <c r="K695" i="1"/>
  <c r="M695" i="1"/>
  <c r="K691" i="1"/>
  <c r="M691" i="1"/>
  <c r="K686" i="1"/>
  <c r="M686" i="1"/>
  <c r="K685" i="1"/>
  <c r="M685" i="1"/>
  <c r="K681" i="1"/>
  <c r="M681" i="1"/>
  <c r="K677" i="1"/>
  <c r="M677" i="1"/>
  <c r="K676" i="1"/>
  <c r="M676" i="1"/>
  <c r="K669" i="1"/>
  <c r="M669" i="1"/>
  <c r="K664" i="1"/>
  <c r="M664" i="1"/>
  <c r="K663" i="1"/>
  <c r="M663" i="1"/>
  <c r="K659" i="1"/>
  <c r="M659" i="1"/>
  <c r="K654" i="1"/>
  <c r="M654" i="1"/>
  <c r="K650" i="1"/>
  <c r="M650" i="1"/>
  <c r="K649" i="1"/>
  <c r="M649" i="1"/>
  <c r="K643" i="1"/>
  <c r="M643" i="1"/>
  <c r="K642" i="1"/>
  <c r="M642" i="1"/>
  <c r="K641" i="1"/>
  <c r="M641" i="1"/>
  <c r="K638" i="1"/>
  <c r="M638" i="1"/>
  <c r="K637" i="1"/>
  <c r="M637" i="1"/>
  <c r="K636" i="1"/>
  <c r="M636" i="1"/>
  <c r="K623" i="1"/>
  <c r="M623" i="1"/>
  <c r="K622" i="1"/>
  <c r="M622" i="1"/>
  <c r="K621" i="1"/>
  <c r="M621" i="1"/>
  <c r="K575" i="1"/>
  <c r="M575" i="1"/>
  <c r="K574" i="1"/>
  <c r="M574" i="1"/>
  <c r="K566" i="1"/>
  <c r="M566" i="1"/>
  <c r="K562" i="1"/>
  <c r="M562" i="1"/>
  <c r="K558" i="1"/>
  <c r="M558" i="1"/>
  <c r="K545" i="1"/>
  <c r="M545" i="1"/>
  <c r="K539" i="1"/>
  <c r="M539" i="1"/>
  <c r="K532" i="1"/>
  <c r="M532" i="1"/>
  <c r="K531" i="1"/>
  <c r="M531" i="1"/>
  <c r="K521" i="1"/>
  <c r="M521" i="1"/>
  <c r="K520" i="1"/>
  <c r="M520" i="1"/>
  <c r="K519" i="1"/>
  <c r="M519" i="1"/>
  <c r="K513" i="1"/>
  <c r="M513" i="1"/>
  <c r="K512" i="1"/>
  <c r="M512" i="1"/>
  <c r="K507" i="1"/>
  <c r="M507" i="1"/>
  <c r="K506" i="1"/>
  <c r="M506" i="1"/>
  <c r="K500" i="1"/>
  <c r="M500" i="1"/>
  <c r="K499" i="1"/>
  <c r="M499" i="1"/>
  <c r="K494" i="1"/>
  <c r="M494" i="1"/>
  <c r="K484" i="1"/>
  <c r="M484" i="1"/>
  <c r="K483" i="1"/>
  <c r="M483" i="1"/>
  <c r="K482" i="1"/>
  <c r="M482" i="1"/>
  <c r="K413" i="1"/>
  <c r="M413" i="1"/>
  <c r="K408" i="1"/>
  <c r="M408" i="1"/>
  <c r="K407" i="1"/>
  <c r="M407" i="1"/>
  <c r="K402" i="1"/>
  <c r="M402" i="1"/>
  <c r="K396" i="1"/>
  <c r="M396" i="1"/>
  <c r="K395" i="1"/>
  <c r="M395" i="1"/>
  <c r="K391" i="1"/>
  <c r="M391" i="1"/>
  <c r="K386" i="1"/>
  <c r="M386" i="1"/>
  <c r="K385" i="1"/>
  <c r="M385" i="1"/>
  <c r="K381" i="1"/>
  <c r="M381" i="1"/>
  <c r="K377" i="1"/>
  <c r="M377" i="1"/>
  <c r="K376" i="1"/>
  <c r="M376" i="1"/>
  <c r="K369" i="1"/>
  <c r="M369" i="1"/>
  <c r="K363" i="1"/>
  <c r="M363" i="1"/>
  <c r="K359" i="1"/>
  <c r="M359" i="1"/>
  <c r="K354" i="1"/>
  <c r="M354" i="1"/>
  <c r="K350" i="1"/>
  <c r="M350" i="1"/>
  <c r="K349" i="1"/>
  <c r="M349" i="1"/>
  <c r="K342" i="1"/>
  <c r="M342" i="1"/>
  <c r="K341" i="1"/>
  <c r="M341" i="1"/>
  <c r="K338" i="1"/>
  <c r="M338" i="1"/>
  <c r="K337" i="1"/>
  <c r="M337" i="1"/>
  <c r="K336" i="1"/>
  <c r="M336" i="1"/>
  <c r="K322" i="1"/>
  <c r="M322" i="1"/>
  <c r="K321" i="1"/>
  <c r="M321" i="1"/>
  <c r="K275" i="1"/>
  <c r="M275" i="1"/>
  <c r="K274" i="1"/>
  <c r="M274" i="1"/>
  <c r="K266" i="1"/>
  <c r="M266" i="1"/>
  <c r="K262" i="1"/>
  <c r="M262" i="1"/>
  <c r="K258" i="1"/>
  <c r="M258" i="1"/>
  <c r="K245" i="1"/>
  <c r="M245" i="1"/>
  <c r="K239" i="1"/>
  <c r="M239" i="1"/>
  <c r="K232" i="1"/>
  <c r="M232" i="1"/>
  <c r="K231" i="1"/>
  <c r="M231" i="1"/>
  <c r="K226" i="1"/>
  <c r="M226" i="1"/>
  <c r="K220" i="1"/>
  <c r="M220" i="1"/>
  <c r="K219" i="1"/>
  <c r="M219" i="1"/>
  <c r="K213" i="1"/>
  <c r="M213" i="1"/>
  <c r="K212" i="1"/>
  <c r="M212" i="1"/>
  <c r="K207" i="1"/>
  <c r="M207" i="1"/>
  <c r="K206" i="1"/>
  <c r="M206" i="1"/>
  <c r="K200" i="1"/>
  <c r="M200" i="1"/>
  <c r="K199" i="1"/>
  <c r="M199" i="1"/>
  <c r="K194" i="1"/>
  <c r="M194" i="1"/>
  <c r="K184" i="1"/>
  <c r="M184" i="1"/>
  <c r="K183" i="1"/>
  <c r="M183" i="1"/>
  <c r="K182" i="1"/>
  <c r="M182" i="1"/>
  <c r="K113" i="1"/>
  <c r="M113" i="1"/>
  <c r="K108" i="1"/>
  <c r="M108" i="1"/>
  <c r="K107" i="1"/>
  <c r="M107" i="1"/>
  <c r="K96" i="1"/>
  <c r="M96" i="1"/>
  <c r="K95" i="1"/>
  <c r="M95" i="1"/>
  <c r="K91" i="1"/>
  <c r="M91" i="1"/>
  <c r="K86" i="1"/>
  <c r="M86" i="1"/>
  <c r="K85" i="1"/>
  <c r="M85" i="1"/>
  <c r="K81" i="1"/>
  <c r="M81" i="1"/>
  <c r="K77" i="1"/>
  <c r="M77" i="1"/>
  <c r="K76" i="1"/>
  <c r="M76" i="1"/>
  <c r="K69" i="1"/>
  <c r="M69" i="1"/>
  <c r="K65" i="1"/>
  <c r="M65" i="1"/>
  <c r="K59" i="1"/>
  <c r="M59" i="1"/>
  <c r="K54" i="1"/>
  <c r="M54" i="1"/>
  <c r="K50" i="1"/>
  <c r="M50" i="1"/>
  <c r="K49" i="1"/>
  <c r="M49" i="1"/>
  <c r="K46" i="1"/>
  <c r="M46" i="1"/>
  <c r="K41" i="1"/>
  <c r="M41" i="1"/>
  <c r="K38" i="1"/>
  <c r="M38" i="1"/>
  <c r="K37" i="1"/>
  <c r="M37" i="1"/>
  <c r="K36" i="1"/>
  <c r="M36" i="1"/>
  <c r="K23" i="1"/>
  <c r="M23" i="1"/>
  <c r="K22" i="1"/>
  <c r="M22" i="1"/>
  <c r="K21" i="1"/>
  <c r="M21" i="1"/>
  <c r="K102" i="1"/>
  <c r="M102" i="1"/>
  <c r="K323" i="1"/>
  <c r="M323" i="1"/>
  <c r="H1499" i="1"/>
  <c r="N1499" i="1" s="1"/>
  <c r="H1500" i="1"/>
  <c r="N1500" i="1" s="1"/>
  <c r="H1501" i="1"/>
  <c r="N1501" i="1" s="1"/>
  <c r="H1495" i="1"/>
  <c r="N1495" i="1" s="1"/>
  <c r="H1496" i="1"/>
  <c r="N1496" i="1" s="1"/>
  <c r="H1497" i="1"/>
  <c r="N1497" i="1" s="1"/>
  <c r="H1498" i="1"/>
  <c r="N1498" i="1" s="1"/>
  <c r="H1489" i="1"/>
  <c r="N1489" i="1" s="1"/>
  <c r="H1490" i="1"/>
  <c r="N1490" i="1" s="1"/>
  <c r="H1491" i="1"/>
  <c r="N1491" i="1" s="1"/>
  <c r="H1492" i="1"/>
  <c r="N1492" i="1" s="1"/>
  <c r="H1493" i="1"/>
  <c r="N1493" i="1" s="1"/>
  <c r="H1494" i="1"/>
  <c r="N1494" i="1" s="1"/>
  <c r="H1482" i="1"/>
  <c r="N1482" i="1" s="1"/>
  <c r="H1483" i="1"/>
  <c r="N1483" i="1" s="1"/>
  <c r="H1484" i="1"/>
  <c r="N1484" i="1" s="1"/>
  <c r="H1485" i="1"/>
  <c r="N1485" i="1" s="1"/>
  <c r="H1486" i="1"/>
  <c r="N1486" i="1" s="1"/>
  <c r="H1487" i="1"/>
  <c r="N1487" i="1" s="1"/>
  <c r="H1488" i="1"/>
  <c r="N1488" i="1" s="1"/>
  <c r="H1476" i="1"/>
  <c r="N1476" i="1" s="1"/>
  <c r="H1477" i="1"/>
  <c r="N1477" i="1" s="1"/>
  <c r="H1478" i="1"/>
  <c r="N1478" i="1" s="1"/>
  <c r="H1479" i="1"/>
  <c r="N1479" i="1" s="1"/>
  <c r="H1480" i="1"/>
  <c r="N1480" i="1" s="1"/>
  <c r="H1481" i="1"/>
  <c r="N1481" i="1" s="1"/>
  <c r="H1467" i="1"/>
  <c r="N1467" i="1" s="1"/>
  <c r="H1468" i="1"/>
  <c r="N1468" i="1" s="1"/>
  <c r="H1469" i="1"/>
  <c r="N1469" i="1" s="1"/>
  <c r="H1470" i="1"/>
  <c r="N1470" i="1" s="1"/>
  <c r="H1471" i="1"/>
  <c r="N1471" i="1" s="1"/>
  <c r="H1472" i="1"/>
  <c r="N1472" i="1" s="1"/>
  <c r="H1473" i="1"/>
  <c r="N1473" i="1" s="1"/>
  <c r="H1463" i="1"/>
  <c r="N1463" i="1" s="1"/>
  <c r="H1464" i="1"/>
  <c r="N1464" i="1" s="1"/>
  <c r="H1465" i="1"/>
  <c r="N1465" i="1" s="1"/>
  <c r="H1459" i="1"/>
  <c r="N1459" i="1" s="1"/>
  <c r="H1460" i="1"/>
  <c r="N1460" i="1" s="1"/>
  <c r="H1461" i="1"/>
  <c r="N1461" i="1" s="1"/>
  <c r="H1453" i="1"/>
  <c r="N1453" i="1" s="1"/>
  <c r="H1454" i="1"/>
  <c r="N1454" i="1" s="1"/>
  <c r="H1455" i="1"/>
  <c r="N1455" i="1" s="1"/>
  <c r="H1456" i="1"/>
  <c r="N1456" i="1" s="1"/>
  <c r="H1457" i="1"/>
  <c r="N1457" i="1" s="1"/>
  <c r="H1450" i="1"/>
  <c r="N1450" i="1" s="1"/>
  <c r="H1451" i="1"/>
  <c r="N1451" i="1" s="1"/>
  <c r="H1452" i="1"/>
  <c r="N1452" i="1" s="1"/>
  <c r="H1446" i="1"/>
  <c r="N1446" i="1" s="1"/>
  <c r="H1447" i="1"/>
  <c r="N1447" i="1" s="1"/>
  <c r="H1448" i="1"/>
  <c r="N1448" i="1" s="1"/>
  <c r="H1449" i="1"/>
  <c r="N1449" i="1" s="1"/>
  <c r="H1440" i="1"/>
  <c r="N1440" i="1" s="1"/>
  <c r="H1441" i="1"/>
  <c r="N1441" i="1" s="1"/>
  <c r="H1442" i="1"/>
  <c r="N1442" i="1" s="1"/>
  <c r="H1443" i="1"/>
  <c r="N1443" i="1" s="1"/>
  <c r="H1444" i="1"/>
  <c r="N1444" i="1" s="1"/>
  <c r="H1433" i="1"/>
  <c r="N1433" i="1" s="1"/>
  <c r="H1434" i="1"/>
  <c r="N1434" i="1" s="1"/>
  <c r="H1435" i="1"/>
  <c r="N1435" i="1" s="1"/>
  <c r="H1436" i="1"/>
  <c r="N1436" i="1" s="1"/>
  <c r="H1437" i="1"/>
  <c r="N1437" i="1" s="1"/>
  <c r="H1438" i="1"/>
  <c r="N1438" i="1" s="1"/>
  <c r="H1427" i="1"/>
  <c r="N1427" i="1" s="1"/>
  <c r="H1428" i="1"/>
  <c r="N1428" i="1" s="1"/>
  <c r="H1429" i="1"/>
  <c r="N1429" i="1" s="1"/>
  <c r="H1430" i="1"/>
  <c r="N1430" i="1" s="1"/>
  <c r="H1421" i="1"/>
  <c r="N1421" i="1" s="1"/>
  <c r="H1422" i="1"/>
  <c r="N1422" i="1" s="1"/>
  <c r="H1423" i="1"/>
  <c r="N1423" i="1" s="1"/>
  <c r="H1424" i="1"/>
  <c r="N1424" i="1" s="1"/>
  <c r="H1425" i="1"/>
  <c r="N1425" i="1" s="1"/>
  <c r="H1414" i="1"/>
  <c r="N1414" i="1" s="1"/>
  <c r="H1415" i="1"/>
  <c r="N1415" i="1" s="1"/>
  <c r="H1416" i="1"/>
  <c r="N1416" i="1" s="1"/>
  <c r="H1417" i="1"/>
  <c r="N1417" i="1" s="1"/>
  <c r="H1418" i="1"/>
  <c r="N1418" i="1" s="1"/>
  <c r="H1408" i="1"/>
  <c r="N1408" i="1" s="1"/>
  <c r="H1409" i="1"/>
  <c r="N1409" i="1" s="1"/>
  <c r="H1410" i="1"/>
  <c r="N1410" i="1" s="1"/>
  <c r="H1411" i="1"/>
  <c r="N1411" i="1" s="1"/>
  <c r="H1401" i="1"/>
  <c r="N1401" i="1" s="1"/>
  <c r="H1402" i="1"/>
  <c r="N1402" i="1" s="1"/>
  <c r="H1403" i="1"/>
  <c r="N1403" i="1" s="1"/>
  <c r="H1404" i="1"/>
  <c r="N1404" i="1" s="1"/>
  <c r="H1405" i="1"/>
  <c r="N1405" i="1" s="1"/>
  <c r="H1395" i="1"/>
  <c r="N1395" i="1" s="1"/>
  <c r="H1396" i="1"/>
  <c r="N1396" i="1" s="1"/>
  <c r="H1397" i="1"/>
  <c r="N1397" i="1" s="1"/>
  <c r="H1398" i="1"/>
  <c r="N1398" i="1" s="1"/>
  <c r="H1391" i="1"/>
  <c r="N1391" i="1" s="1"/>
  <c r="H1392" i="1"/>
  <c r="N1392" i="1" s="1"/>
  <c r="H1393" i="1"/>
  <c r="N1393" i="1" s="1"/>
  <c r="H1385" i="1"/>
  <c r="N1385" i="1" s="1"/>
  <c r="H1386" i="1"/>
  <c r="N1386" i="1" s="1"/>
  <c r="H1387" i="1"/>
  <c r="N1387" i="1" s="1"/>
  <c r="H1388" i="1"/>
  <c r="N1388" i="1" s="1"/>
  <c r="H1389" i="1"/>
  <c r="N1389" i="1" s="1"/>
  <c r="H1390" i="1"/>
  <c r="N1390" i="1" s="1"/>
  <c r="H1378" i="1"/>
  <c r="N1378" i="1" s="1"/>
  <c r="H1379" i="1"/>
  <c r="N1379" i="1" s="1"/>
  <c r="H1380" i="1"/>
  <c r="N1380" i="1" s="1"/>
  <c r="H1381" i="1"/>
  <c r="N1381" i="1" s="1"/>
  <c r="H1366" i="1"/>
  <c r="N1366" i="1" s="1"/>
  <c r="H1367" i="1"/>
  <c r="N1367" i="1" s="1"/>
  <c r="H1368" i="1"/>
  <c r="N1368" i="1" s="1"/>
  <c r="H1369" i="1"/>
  <c r="N1369" i="1" s="1"/>
  <c r="H1370" i="1"/>
  <c r="N1370" i="1" s="1"/>
  <c r="H1371" i="1"/>
  <c r="N1371" i="1" s="1"/>
  <c r="H1372" i="1"/>
  <c r="N1372" i="1" s="1"/>
  <c r="H1373" i="1"/>
  <c r="N1373" i="1" s="1"/>
  <c r="H1374" i="1"/>
  <c r="N1374" i="1" s="1"/>
  <c r="H1375" i="1"/>
  <c r="N1375" i="1" s="1"/>
  <c r="H1376" i="1"/>
  <c r="N1376" i="1" s="1"/>
  <c r="H1377" i="1"/>
  <c r="N1377" i="1" s="1"/>
  <c r="H1357" i="1"/>
  <c r="N1357" i="1" s="1"/>
  <c r="H1358" i="1"/>
  <c r="N1358" i="1" s="1"/>
  <c r="H1359" i="1"/>
  <c r="N1359" i="1" s="1"/>
  <c r="H1360" i="1"/>
  <c r="N1360" i="1" s="1"/>
  <c r="H1361" i="1"/>
  <c r="N1361" i="1" s="1"/>
  <c r="H1362" i="1"/>
  <c r="N1362" i="1" s="1"/>
  <c r="H1363" i="1"/>
  <c r="N1363" i="1" s="1"/>
  <c r="H1364" i="1"/>
  <c r="N1364" i="1" s="1"/>
  <c r="H1365" i="1"/>
  <c r="N1365" i="1" s="1"/>
  <c r="H1349" i="1"/>
  <c r="N1349" i="1" s="1"/>
  <c r="H1350" i="1"/>
  <c r="N1350" i="1" s="1"/>
  <c r="H1351" i="1"/>
  <c r="N1351" i="1" s="1"/>
  <c r="H1352" i="1"/>
  <c r="N1352" i="1" s="1"/>
  <c r="H1353" i="1"/>
  <c r="N1353" i="1" s="1"/>
  <c r="H1354" i="1"/>
  <c r="N1354" i="1" s="1"/>
  <c r="H1355" i="1"/>
  <c r="N1355" i="1" s="1"/>
  <c r="H1356" i="1"/>
  <c r="N1356" i="1" s="1"/>
  <c r="H1340" i="1"/>
  <c r="N1340" i="1" s="1"/>
  <c r="H1341" i="1"/>
  <c r="N1341" i="1" s="1"/>
  <c r="H1342" i="1"/>
  <c r="N1342" i="1" s="1"/>
  <c r="H1343" i="1"/>
  <c r="N1343" i="1" s="1"/>
  <c r="H1344" i="1"/>
  <c r="N1344" i="1" s="1"/>
  <c r="H1345" i="1"/>
  <c r="N1345" i="1" s="1"/>
  <c r="H1346" i="1"/>
  <c r="N1346" i="1" s="1"/>
  <c r="H1347" i="1"/>
  <c r="N1347" i="1" s="1"/>
  <c r="H1348" i="1"/>
  <c r="N1348" i="1" s="1"/>
  <c r="H1333" i="1"/>
  <c r="N1333" i="1" s="1"/>
  <c r="H1334" i="1"/>
  <c r="N1334" i="1" s="1"/>
  <c r="H1335" i="1"/>
  <c r="N1335" i="1" s="1"/>
  <c r="H1336" i="1"/>
  <c r="N1336" i="1" s="1"/>
  <c r="H1337" i="1"/>
  <c r="N1337" i="1" s="1"/>
  <c r="H1338" i="1"/>
  <c r="N1338" i="1" s="1"/>
  <c r="H1339" i="1"/>
  <c r="N1339" i="1" s="1"/>
  <c r="H1323" i="1"/>
  <c r="N1323" i="1" s="1"/>
  <c r="H1324" i="1"/>
  <c r="N1324" i="1" s="1"/>
  <c r="H1325" i="1"/>
  <c r="N1325" i="1" s="1"/>
  <c r="H1326" i="1"/>
  <c r="N1326" i="1" s="1"/>
  <c r="H1327" i="1"/>
  <c r="N1327" i="1" s="1"/>
  <c r="H1328" i="1"/>
  <c r="N1328" i="1" s="1"/>
  <c r="H1329" i="1"/>
  <c r="N1329" i="1" s="1"/>
  <c r="H1330" i="1"/>
  <c r="N1330" i="1" s="1"/>
  <c r="H1331" i="1"/>
  <c r="N1331" i="1" s="1"/>
  <c r="H1332" i="1"/>
  <c r="N1332" i="1" s="1"/>
  <c r="H1314" i="1"/>
  <c r="N1314" i="1" s="1"/>
  <c r="H1315" i="1"/>
  <c r="N1315" i="1" s="1"/>
  <c r="H1316" i="1"/>
  <c r="N1316" i="1" s="1"/>
  <c r="H1317" i="1"/>
  <c r="N1317" i="1" s="1"/>
  <c r="H1318" i="1"/>
  <c r="N1318" i="1" s="1"/>
  <c r="H1319" i="1"/>
  <c r="N1319" i="1" s="1"/>
  <c r="H1320" i="1"/>
  <c r="N1320" i="1" s="1"/>
  <c r="H1321" i="1"/>
  <c r="N1321" i="1" s="1"/>
  <c r="H1322" i="1"/>
  <c r="N1322" i="1" s="1"/>
  <c r="H1309" i="1"/>
  <c r="N1309" i="1" s="1"/>
  <c r="H1310" i="1"/>
  <c r="N1310" i="1" s="1"/>
  <c r="H1311" i="1"/>
  <c r="N1311" i="1" s="1"/>
  <c r="H1312" i="1"/>
  <c r="N1312" i="1" s="1"/>
  <c r="H1303" i="1"/>
  <c r="N1303" i="1" s="1"/>
  <c r="H1304" i="1"/>
  <c r="N1304" i="1" s="1"/>
  <c r="H1305" i="1"/>
  <c r="N1305" i="1" s="1"/>
  <c r="H1306" i="1"/>
  <c r="N1306" i="1" s="1"/>
  <c r="H1297" i="1"/>
  <c r="N1297" i="1" s="1"/>
  <c r="H1298" i="1"/>
  <c r="N1298" i="1" s="1"/>
  <c r="H1299" i="1"/>
  <c r="N1299" i="1" s="1"/>
  <c r="H1300" i="1"/>
  <c r="N1300" i="1" s="1"/>
  <c r="H1301" i="1"/>
  <c r="N1301" i="1" s="1"/>
  <c r="H1292" i="1"/>
  <c r="N1292" i="1" s="1"/>
  <c r="H1293" i="1"/>
  <c r="N1293" i="1" s="1"/>
  <c r="H1294" i="1"/>
  <c r="N1294" i="1" s="1"/>
  <c r="H1287" i="1"/>
  <c r="N1287" i="1" s="1"/>
  <c r="H1288" i="1"/>
  <c r="N1288" i="1" s="1"/>
  <c r="H1289" i="1"/>
  <c r="N1289" i="1" s="1"/>
  <c r="H1290" i="1"/>
  <c r="N1290" i="1" s="1"/>
  <c r="H1282" i="1"/>
  <c r="N1282" i="1" s="1"/>
  <c r="H1283" i="1"/>
  <c r="N1283" i="1" s="1"/>
  <c r="H1284" i="1"/>
  <c r="N1284" i="1" s="1"/>
  <c r="H1278" i="1"/>
  <c r="N1278" i="1" s="1"/>
  <c r="H1279" i="1"/>
  <c r="N1279" i="1" s="1"/>
  <c r="H1280" i="1"/>
  <c r="N1280" i="1" s="1"/>
  <c r="H1270" i="1"/>
  <c r="N1270" i="1" s="1"/>
  <c r="H1271" i="1"/>
  <c r="N1271" i="1" s="1"/>
  <c r="H1272" i="1"/>
  <c r="N1272" i="1" s="1"/>
  <c r="H1273" i="1"/>
  <c r="N1273" i="1" s="1"/>
  <c r="H1274" i="1"/>
  <c r="N1274" i="1" s="1"/>
  <c r="H1275" i="1"/>
  <c r="N1275" i="1" s="1"/>
  <c r="H1266" i="1"/>
  <c r="N1266" i="1" s="1"/>
  <c r="H1267" i="1"/>
  <c r="N1267" i="1" s="1"/>
  <c r="H1268" i="1"/>
  <c r="N1268" i="1" s="1"/>
  <c r="H1263" i="1"/>
  <c r="N1263" i="1" s="1"/>
  <c r="H1264" i="1"/>
  <c r="N1264" i="1" s="1"/>
  <c r="H1260" i="1"/>
  <c r="N1260" i="1" s="1"/>
  <c r="H1261" i="1"/>
  <c r="N1261" i="1" s="1"/>
  <c r="H1262" i="1"/>
  <c r="N1262" i="1" s="1"/>
  <c r="H1255" i="1"/>
  <c r="N1255" i="1" s="1"/>
  <c r="H1256" i="1"/>
  <c r="N1256" i="1" s="1"/>
  <c r="H1257" i="1"/>
  <c r="N1257" i="1" s="1"/>
  <c r="H1258" i="1"/>
  <c r="N1258" i="1" s="1"/>
  <c r="H1251" i="1"/>
  <c r="N1251" i="1" s="1"/>
  <c r="H1252" i="1"/>
  <c r="N1252" i="1" s="1"/>
  <c r="H1253" i="1"/>
  <c r="N1253" i="1" s="1"/>
  <c r="H1247" i="1"/>
  <c r="N1247" i="1" s="1"/>
  <c r="H1248" i="1"/>
  <c r="N1248" i="1" s="1"/>
  <c r="H1242" i="1"/>
  <c r="N1242" i="1" s="1"/>
  <c r="H1243" i="1"/>
  <c r="N1243" i="1" s="1"/>
  <c r="H1244" i="1"/>
  <c r="N1244" i="1" s="1"/>
  <c r="H1245" i="1"/>
  <c r="N1245" i="1" s="1"/>
  <c r="H1239" i="1"/>
  <c r="N1239" i="1" s="1"/>
  <c r="H1240" i="1"/>
  <c r="N1240" i="1" s="1"/>
  <c r="H1230" i="1"/>
  <c r="N1230" i="1" s="1"/>
  <c r="H1231" i="1"/>
  <c r="N1231" i="1" s="1"/>
  <c r="H1232" i="1"/>
  <c r="N1232" i="1" s="1"/>
  <c r="H1233" i="1"/>
  <c r="N1233" i="1" s="1"/>
  <c r="H1234" i="1"/>
  <c r="N1234" i="1" s="1"/>
  <c r="H1235" i="1"/>
  <c r="N1235" i="1" s="1"/>
  <c r="H1228" i="1"/>
  <c r="N1228" i="1" s="1"/>
  <c r="H1229" i="1"/>
  <c r="N1229" i="1" s="1"/>
  <c r="H1224" i="1"/>
  <c r="N1224" i="1" s="1"/>
  <c r="H1225" i="1"/>
  <c r="N1225" i="1" s="1"/>
  <c r="H1226" i="1"/>
  <c r="N1226" i="1" s="1"/>
  <c r="H1227" i="1"/>
  <c r="N1227" i="1" s="1"/>
  <c r="H1219" i="1"/>
  <c r="N1219" i="1" s="1"/>
  <c r="H1220" i="1"/>
  <c r="N1220" i="1" s="1"/>
  <c r="H1211" i="1"/>
  <c r="N1211" i="1" s="1"/>
  <c r="H1212" i="1"/>
  <c r="N1212" i="1" s="1"/>
  <c r="H1213" i="1"/>
  <c r="N1213" i="1" s="1"/>
  <c r="H1214" i="1"/>
  <c r="N1214" i="1" s="1"/>
  <c r="H1215" i="1"/>
  <c r="N1215" i="1" s="1"/>
  <c r="H1216" i="1"/>
  <c r="N1216" i="1" s="1"/>
  <c r="H1217" i="1"/>
  <c r="N1217" i="1" s="1"/>
  <c r="H1218" i="1"/>
  <c r="N1218" i="1" s="1"/>
  <c r="H1206" i="1"/>
  <c r="N1206" i="1" s="1"/>
  <c r="H1207" i="1"/>
  <c r="N1207" i="1" s="1"/>
  <c r="H1208" i="1"/>
  <c r="N1208" i="1" s="1"/>
  <c r="H1209" i="1"/>
  <c r="N1209" i="1" s="1"/>
  <c r="H1210" i="1"/>
  <c r="N1210" i="1" s="1"/>
  <c r="H1202" i="1"/>
  <c r="N1202" i="1" s="1"/>
  <c r="H1203" i="1"/>
  <c r="N1203" i="1" s="1"/>
  <c r="H1204" i="1"/>
  <c r="N1204" i="1" s="1"/>
  <c r="H1205" i="1"/>
  <c r="N1205" i="1" s="1"/>
  <c r="H1199" i="1"/>
  <c r="N1199" i="1" s="1"/>
  <c r="H1200" i="1"/>
  <c r="N1200" i="1" s="1"/>
  <c r="H1201" i="1"/>
  <c r="N1201" i="1" s="1"/>
  <c r="H1188" i="1"/>
  <c r="N1188" i="1" s="1"/>
  <c r="H1189" i="1"/>
  <c r="N1189" i="1" s="1"/>
  <c r="H1190" i="1"/>
  <c r="N1190" i="1" s="1"/>
  <c r="H1191" i="1"/>
  <c r="N1191" i="1" s="1"/>
  <c r="H1192" i="1"/>
  <c r="N1192" i="1" s="1"/>
  <c r="H1193" i="1"/>
  <c r="N1193" i="1" s="1"/>
  <c r="H1194" i="1"/>
  <c r="N1194" i="1" s="1"/>
  <c r="H1195" i="1"/>
  <c r="N1195" i="1" s="1"/>
  <c r="H1196" i="1"/>
  <c r="N1196" i="1" s="1"/>
  <c r="H1197" i="1"/>
  <c r="N1197" i="1" s="1"/>
  <c r="H1198" i="1"/>
  <c r="N1198" i="1" s="1"/>
  <c r="H1183" i="1"/>
  <c r="N1183" i="1" s="1"/>
  <c r="H1184" i="1"/>
  <c r="N1184" i="1" s="1"/>
  <c r="H1185" i="1"/>
  <c r="N1185" i="1" s="1"/>
  <c r="H1186" i="1"/>
  <c r="N1186" i="1" s="1"/>
  <c r="H1176" i="1"/>
  <c r="N1176" i="1" s="1"/>
  <c r="H1177" i="1"/>
  <c r="N1177" i="1" s="1"/>
  <c r="H1178" i="1"/>
  <c r="N1178" i="1" s="1"/>
  <c r="H1179" i="1"/>
  <c r="N1179" i="1" s="1"/>
  <c r="H1180" i="1"/>
  <c r="N1180" i="1" s="1"/>
  <c r="H1181" i="1"/>
  <c r="N1181" i="1" s="1"/>
  <c r="H1182" i="1"/>
  <c r="N1182" i="1" s="1"/>
  <c r="H1167" i="1"/>
  <c r="N1167" i="1" s="1"/>
  <c r="H1168" i="1"/>
  <c r="N1168" i="1" s="1"/>
  <c r="H1169" i="1"/>
  <c r="N1169" i="1" s="1"/>
  <c r="H1170" i="1"/>
  <c r="N1170" i="1" s="1"/>
  <c r="H1171" i="1"/>
  <c r="N1171" i="1" s="1"/>
  <c r="H1172" i="1"/>
  <c r="N1172" i="1" s="1"/>
  <c r="H1173" i="1"/>
  <c r="N1173" i="1" s="1"/>
  <c r="H1163" i="1"/>
  <c r="N1163" i="1" s="1"/>
  <c r="H1164" i="1"/>
  <c r="N1164" i="1" s="1"/>
  <c r="H1165" i="1"/>
  <c r="N1165" i="1" s="1"/>
  <c r="H1157" i="1"/>
  <c r="N1157" i="1" s="1"/>
  <c r="H1158" i="1"/>
  <c r="N1158" i="1" s="1"/>
  <c r="H1159" i="1"/>
  <c r="N1159" i="1" s="1"/>
  <c r="H1160" i="1"/>
  <c r="N1160" i="1" s="1"/>
  <c r="H1161" i="1"/>
  <c r="N1161" i="1" s="1"/>
  <c r="H1154" i="1"/>
  <c r="N1154" i="1" s="1"/>
  <c r="H1155" i="1"/>
  <c r="N1155" i="1" s="1"/>
  <c r="H1150" i="1"/>
  <c r="N1150" i="1" s="1"/>
  <c r="H1151" i="1"/>
  <c r="N1151" i="1" s="1"/>
  <c r="H1152" i="1"/>
  <c r="N1152" i="1" s="1"/>
  <c r="H1153" i="1"/>
  <c r="N1153" i="1" s="1"/>
  <c r="H1146" i="1"/>
  <c r="N1146" i="1" s="1"/>
  <c r="H1147" i="1"/>
  <c r="N1147" i="1" s="1"/>
  <c r="H1148" i="1"/>
  <c r="N1148" i="1" s="1"/>
  <c r="H1149" i="1"/>
  <c r="N1149" i="1" s="1"/>
  <c r="H1140" i="1"/>
  <c r="N1140" i="1" s="1"/>
  <c r="H1141" i="1"/>
  <c r="N1141" i="1" s="1"/>
  <c r="H1142" i="1"/>
  <c r="N1142" i="1" s="1"/>
  <c r="H1143" i="1"/>
  <c r="N1143" i="1" s="1"/>
  <c r="H1144" i="1"/>
  <c r="N1144" i="1" s="1"/>
  <c r="H1133" i="1"/>
  <c r="N1133" i="1" s="1"/>
  <c r="H1134" i="1"/>
  <c r="N1134" i="1" s="1"/>
  <c r="H1135" i="1"/>
  <c r="N1135" i="1" s="1"/>
  <c r="H1136" i="1"/>
  <c r="N1136" i="1" s="1"/>
  <c r="H1137" i="1"/>
  <c r="N1137" i="1" s="1"/>
  <c r="H1138" i="1"/>
  <c r="N1138" i="1" s="1"/>
  <c r="H1127" i="1"/>
  <c r="N1127" i="1" s="1"/>
  <c r="H1128" i="1"/>
  <c r="N1128" i="1" s="1"/>
  <c r="H1129" i="1"/>
  <c r="N1129" i="1" s="1"/>
  <c r="H1130" i="1"/>
  <c r="N1130" i="1" s="1"/>
  <c r="H1131" i="1"/>
  <c r="N1131" i="1" s="1"/>
  <c r="H1125" i="1"/>
  <c r="N1125" i="1" s="1"/>
  <c r="H1126" i="1"/>
  <c r="N1126" i="1" s="1"/>
  <c r="H1122" i="1"/>
  <c r="N1122" i="1" s="1"/>
  <c r="H1123" i="1"/>
  <c r="N1123" i="1" s="1"/>
  <c r="H1124" i="1"/>
  <c r="N1124" i="1" s="1"/>
  <c r="H1114" i="1"/>
  <c r="N1114" i="1" s="1"/>
  <c r="H1115" i="1"/>
  <c r="N1115" i="1" s="1"/>
  <c r="H1116" i="1"/>
  <c r="N1116" i="1" s="1"/>
  <c r="H1117" i="1"/>
  <c r="N1117" i="1" s="1"/>
  <c r="H1118" i="1"/>
  <c r="N1118" i="1" s="1"/>
  <c r="H1108" i="1"/>
  <c r="N1108" i="1" s="1"/>
  <c r="H1109" i="1"/>
  <c r="N1109" i="1" s="1"/>
  <c r="H1110" i="1"/>
  <c r="N1110" i="1" s="1"/>
  <c r="H1111" i="1"/>
  <c r="N1111" i="1" s="1"/>
  <c r="H1105" i="1"/>
  <c r="N1105" i="1" s="1"/>
  <c r="H1106" i="1"/>
  <c r="N1106" i="1" s="1"/>
  <c r="H1107" i="1"/>
  <c r="N1107" i="1" s="1"/>
  <c r="H1101" i="1"/>
  <c r="N1101" i="1" s="1"/>
  <c r="H1102" i="1"/>
  <c r="N1102" i="1" s="1"/>
  <c r="H1103" i="1"/>
  <c r="N1103" i="1" s="1"/>
  <c r="H1095" i="1"/>
  <c r="N1095" i="1" s="1"/>
  <c r="H1096" i="1"/>
  <c r="N1096" i="1" s="1"/>
  <c r="H1097" i="1"/>
  <c r="N1097" i="1" s="1"/>
  <c r="H1098" i="1"/>
  <c r="N1098" i="1" s="1"/>
  <c r="H1091" i="1"/>
  <c r="N1091" i="1" s="1"/>
  <c r="H1092" i="1"/>
  <c r="N1092" i="1" s="1"/>
  <c r="H1093" i="1"/>
  <c r="N1093" i="1" s="1"/>
  <c r="H1085" i="1"/>
  <c r="N1085" i="1" s="1"/>
  <c r="H1086" i="1"/>
  <c r="N1086" i="1" s="1"/>
  <c r="H1087" i="1"/>
  <c r="N1087" i="1" s="1"/>
  <c r="H1088" i="1"/>
  <c r="N1088" i="1" s="1"/>
  <c r="H1089" i="1"/>
  <c r="N1089" i="1" s="1"/>
  <c r="H1090" i="1"/>
  <c r="N1090" i="1" s="1"/>
  <c r="H1076" i="1"/>
  <c r="N1076" i="1" s="1"/>
  <c r="H1077" i="1"/>
  <c r="N1077" i="1" s="1"/>
  <c r="H1078" i="1"/>
  <c r="N1078" i="1" s="1"/>
  <c r="H1079" i="1"/>
  <c r="N1079" i="1" s="1"/>
  <c r="H1080" i="1"/>
  <c r="N1080" i="1" s="1"/>
  <c r="H1081" i="1"/>
  <c r="N1081" i="1" s="1"/>
  <c r="H1082" i="1"/>
  <c r="N1082" i="1" s="1"/>
  <c r="H1083" i="1"/>
  <c r="N1083" i="1" s="1"/>
  <c r="H1074" i="1"/>
  <c r="N1074" i="1" s="1"/>
  <c r="H1075" i="1"/>
  <c r="N1075" i="1" s="1"/>
  <c r="H1071" i="1"/>
  <c r="N1071" i="1" s="1"/>
  <c r="H1072" i="1"/>
  <c r="N1072" i="1" s="1"/>
  <c r="H1073" i="1"/>
  <c r="N1073" i="1" s="1"/>
  <c r="H1066" i="1"/>
  <c r="N1066" i="1" s="1"/>
  <c r="H1067" i="1"/>
  <c r="N1067" i="1" s="1"/>
  <c r="H1068" i="1"/>
  <c r="N1068" i="1" s="1"/>
  <c r="H1069" i="1"/>
  <c r="N1069" i="1" s="1"/>
  <c r="H1070" i="1"/>
  <c r="N1070" i="1" s="1"/>
  <c r="H1057" i="1"/>
  <c r="N1057" i="1" s="1"/>
  <c r="H1058" i="1"/>
  <c r="N1058" i="1" s="1"/>
  <c r="H1059" i="1"/>
  <c r="N1059" i="1" s="1"/>
  <c r="H1060" i="1"/>
  <c r="N1060" i="1" s="1"/>
  <c r="H1061" i="1"/>
  <c r="N1061" i="1" s="1"/>
  <c r="H1062" i="1"/>
  <c r="N1062" i="1" s="1"/>
  <c r="H1063" i="1"/>
  <c r="N1063" i="1" s="1"/>
  <c r="H1064" i="1"/>
  <c r="N1064" i="1" s="1"/>
  <c r="H1065" i="1"/>
  <c r="N1065" i="1" s="1"/>
  <c r="H1049" i="1"/>
  <c r="N1049" i="1" s="1"/>
  <c r="H1050" i="1"/>
  <c r="N1050" i="1" s="1"/>
  <c r="H1051" i="1"/>
  <c r="N1051" i="1" s="1"/>
  <c r="H1052" i="1"/>
  <c r="N1052" i="1" s="1"/>
  <c r="H1053" i="1"/>
  <c r="N1053" i="1" s="1"/>
  <c r="H1054" i="1"/>
  <c r="N1054" i="1" s="1"/>
  <c r="H1055" i="1"/>
  <c r="N1055" i="1" s="1"/>
  <c r="H1056" i="1"/>
  <c r="N1056" i="1" s="1"/>
  <c r="H1040" i="1"/>
  <c r="N1040" i="1" s="1"/>
  <c r="H1041" i="1"/>
  <c r="N1041" i="1" s="1"/>
  <c r="H1042" i="1"/>
  <c r="N1042" i="1" s="1"/>
  <c r="H1043" i="1"/>
  <c r="N1043" i="1" s="1"/>
  <c r="H1044" i="1"/>
  <c r="N1044" i="1" s="1"/>
  <c r="H1045" i="1"/>
  <c r="N1045" i="1" s="1"/>
  <c r="H1046" i="1"/>
  <c r="N1046" i="1" s="1"/>
  <c r="H1047" i="1"/>
  <c r="N1047" i="1" s="1"/>
  <c r="H1048" i="1"/>
  <c r="N1048" i="1" s="1"/>
  <c r="H1033" i="1"/>
  <c r="N1033" i="1" s="1"/>
  <c r="H1034" i="1"/>
  <c r="N1034" i="1" s="1"/>
  <c r="H1035" i="1"/>
  <c r="N1035" i="1" s="1"/>
  <c r="H1036" i="1"/>
  <c r="N1036" i="1" s="1"/>
  <c r="H1037" i="1"/>
  <c r="N1037" i="1" s="1"/>
  <c r="H1038" i="1"/>
  <c r="N1038" i="1" s="1"/>
  <c r="H1039" i="1"/>
  <c r="N1039" i="1" s="1"/>
  <c r="H1023" i="1"/>
  <c r="N1023" i="1" s="1"/>
  <c r="H1024" i="1"/>
  <c r="N1024" i="1" s="1"/>
  <c r="H1025" i="1"/>
  <c r="N1025" i="1" s="1"/>
  <c r="H1026" i="1"/>
  <c r="N1026" i="1" s="1"/>
  <c r="H1027" i="1"/>
  <c r="N1027" i="1" s="1"/>
  <c r="H1028" i="1"/>
  <c r="N1028" i="1" s="1"/>
  <c r="H1029" i="1"/>
  <c r="N1029" i="1" s="1"/>
  <c r="H1030" i="1"/>
  <c r="N1030" i="1" s="1"/>
  <c r="H1031" i="1"/>
  <c r="N1031" i="1" s="1"/>
  <c r="H1032" i="1"/>
  <c r="N1032" i="1" s="1"/>
  <c r="H1014" i="1"/>
  <c r="N1014" i="1" s="1"/>
  <c r="H1015" i="1"/>
  <c r="N1015" i="1" s="1"/>
  <c r="H1016" i="1"/>
  <c r="N1016" i="1" s="1"/>
  <c r="H1017" i="1"/>
  <c r="N1017" i="1" s="1"/>
  <c r="H1018" i="1"/>
  <c r="N1018" i="1" s="1"/>
  <c r="H1019" i="1"/>
  <c r="N1019" i="1" s="1"/>
  <c r="H1020" i="1"/>
  <c r="N1020" i="1" s="1"/>
  <c r="H1021" i="1"/>
  <c r="N1021" i="1" s="1"/>
  <c r="H1022" i="1"/>
  <c r="N1022" i="1" s="1"/>
  <c r="H1011" i="1"/>
  <c r="N1011" i="1" s="1"/>
  <c r="H1012" i="1"/>
  <c r="N1012" i="1" s="1"/>
  <c r="H1013" i="1"/>
  <c r="N1013" i="1" s="1"/>
  <c r="H1008" i="1"/>
  <c r="N1008" i="1" s="1"/>
  <c r="H1009" i="1"/>
  <c r="N1009" i="1" s="1"/>
  <c r="H1003" i="1"/>
  <c r="N1003" i="1" s="1"/>
  <c r="H1004" i="1"/>
  <c r="N1004" i="1" s="1"/>
  <c r="H1005" i="1"/>
  <c r="N1005" i="1" s="1"/>
  <c r="H1006" i="1"/>
  <c r="N1006" i="1" s="1"/>
  <c r="H997" i="1"/>
  <c r="N997" i="1" s="1"/>
  <c r="H998" i="1"/>
  <c r="N998" i="1" s="1"/>
  <c r="H999" i="1"/>
  <c r="N999" i="1" s="1"/>
  <c r="H1000" i="1"/>
  <c r="N1000" i="1" s="1"/>
  <c r="H1001" i="1"/>
  <c r="N1001" i="1" s="1"/>
  <c r="H992" i="1"/>
  <c r="N992" i="1" s="1"/>
  <c r="H993" i="1"/>
  <c r="N993" i="1" s="1"/>
  <c r="H994" i="1"/>
  <c r="N994" i="1" s="1"/>
  <c r="H989" i="1"/>
  <c r="N989" i="1" s="1"/>
  <c r="H990" i="1"/>
  <c r="N990" i="1" s="1"/>
  <c r="H991" i="1"/>
  <c r="N991" i="1" s="1"/>
  <c r="H987" i="1"/>
  <c r="N987" i="1" s="1"/>
  <c r="H988" i="1"/>
  <c r="N988" i="1" s="1"/>
  <c r="H982" i="1"/>
  <c r="N982" i="1" s="1"/>
  <c r="H983" i="1"/>
  <c r="N983" i="1" s="1"/>
  <c r="H984" i="1"/>
  <c r="N984" i="1" s="1"/>
  <c r="H978" i="1"/>
  <c r="N978" i="1" s="1"/>
  <c r="H979" i="1"/>
  <c r="N979" i="1" s="1"/>
  <c r="H980" i="1"/>
  <c r="N980" i="1" s="1"/>
  <c r="H970" i="1"/>
  <c r="N970" i="1" s="1"/>
  <c r="H971" i="1"/>
  <c r="N971" i="1" s="1"/>
  <c r="H972" i="1"/>
  <c r="N972" i="1" s="1"/>
  <c r="H973" i="1"/>
  <c r="N973" i="1" s="1"/>
  <c r="H974" i="1"/>
  <c r="N974" i="1" s="1"/>
  <c r="H975" i="1"/>
  <c r="N975" i="1" s="1"/>
  <c r="H967" i="1"/>
  <c r="N967" i="1" s="1"/>
  <c r="H968" i="1"/>
  <c r="N968" i="1" s="1"/>
  <c r="H969" i="1"/>
  <c r="N969" i="1" s="1"/>
  <c r="H965" i="1"/>
  <c r="N965" i="1" s="1"/>
  <c r="H966" i="1"/>
  <c r="N966" i="1" s="1"/>
  <c r="H960" i="1"/>
  <c r="N960" i="1" s="1"/>
  <c r="H961" i="1"/>
  <c r="N961" i="1" s="1"/>
  <c r="H962" i="1"/>
  <c r="N962" i="1" s="1"/>
  <c r="H955" i="1"/>
  <c r="N955" i="1" s="1"/>
  <c r="H956" i="1"/>
  <c r="N956" i="1" s="1"/>
  <c r="H957" i="1"/>
  <c r="N957" i="1" s="1"/>
  <c r="H958" i="1"/>
  <c r="N958" i="1" s="1"/>
  <c r="H951" i="1"/>
  <c r="N951" i="1" s="1"/>
  <c r="H952" i="1"/>
  <c r="N952" i="1" s="1"/>
  <c r="H953" i="1"/>
  <c r="N953" i="1" s="1"/>
  <c r="H945" i="1"/>
  <c r="N945" i="1" s="1"/>
  <c r="H946" i="1"/>
  <c r="N946" i="1" s="1"/>
  <c r="H947" i="1"/>
  <c r="N947" i="1" s="1"/>
  <c r="H948" i="1"/>
  <c r="N948" i="1" s="1"/>
  <c r="H949" i="1"/>
  <c r="N949" i="1" s="1"/>
  <c r="H939" i="1"/>
  <c r="N939" i="1" s="1"/>
  <c r="H940" i="1"/>
  <c r="N940" i="1" s="1"/>
  <c r="H930" i="1"/>
  <c r="N930" i="1" s="1"/>
  <c r="H931" i="1"/>
  <c r="N931" i="1" s="1"/>
  <c r="H932" i="1"/>
  <c r="N932" i="1" s="1"/>
  <c r="H933" i="1"/>
  <c r="N933" i="1" s="1"/>
  <c r="H934" i="1"/>
  <c r="N934" i="1" s="1"/>
  <c r="H935" i="1"/>
  <c r="N935" i="1" s="1"/>
  <c r="H925" i="1"/>
  <c r="N925" i="1" s="1"/>
  <c r="H926" i="1"/>
  <c r="N926" i="1" s="1"/>
  <c r="H927" i="1"/>
  <c r="N927" i="1" s="1"/>
  <c r="H928" i="1"/>
  <c r="N928" i="1" s="1"/>
  <c r="H929" i="1"/>
  <c r="N929" i="1" s="1"/>
  <c r="H919" i="1"/>
  <c r="N919" i="1" s="1"/>
  <c r="H920" i="1"/>
  <c r="N920" i="1" s="1"/>
  <c r="H911" i="1"/>
  <c r="N911" i="1" s="1"/>
  <c r="H912" i="1"/>
  <c r="N912" i="1" s="1"/>
  <c r="H913" i="1"/>
  <c r="N913" i="1" s="1"/>
  <c r="H914" i="1"/>
  <c r="N914" i="1" s="1"/>
  <c r="H915" i="1"/>
  <c r="N915" i="1" s="1"/>
  <c r="H916" i="1"/>
  <c r="N916" i="1" s="1"/>
  <c r="H917" i="1"/>
  <c r="N917" i="1" s="1"/>
  <c r="H918" i="1"/>
  <c r="N918" i="1" s="1"/>
  <c r="H906" i="1"/>
  <c r="N906" i="1" s="1"/>
  <c r="H907" i="1"/>
  <c r="N907" i="1" s="1"/>
  <c r="H908" i="1"/>
  <c r="N908" i="1" s="1"/>
  <c r="H909" i="1"/>
  <c r="N909" i="1" s="1"/>
  <c r="H910" i="1"/>
  <c r="N910" i="1" s="1"/>
  <c r="H902" i="1"/>
  <c r="N902" i="1" s="1"/>
  <c r="H903" i="1"/>
  <c r="N903" i="1" s="1"/>
  <c r="H904" i="1"/>
  <c r="N904" i="1" s="1"/>
  <c r="H905" i="1"/>
  <c r="N905" i="1" s="1"/>
  <c r="H899" i="1"/>
  <c r="N899" i="1" s="1"/>
  <c r="H900" i="1"/>
  <c r="N900" i="1" s="1"/>
  <c r="H901" i="1"/>
  <c r="N901" i="1" s="1"/>
  <c r="H895" i="1"/>
  <c r="N895" i="1" s="1"/>
  <c r="H896" i="1"/>
  <c r="N896" i="1" s="1"/>
  <c r="H897" i="1"/>
  <c r="N897" i="1" s="1"/>
  <c r="H898" i="1"/>
  <c r="N898" i="1" s="1"/>
  <c r="H887" i="1"/>
  <c r="N887" i="1" s="1"/>
  <c r="H888" i="1"/>
  <c r="N888" i="1" s="1"/>
  <c r="H889" i="1"/>
  <c r="N889" i="1" s="1"/>
  <c r="H890" i="1"/>
  <c r="N890" i="1" s="1"/>
  <c r="H891" i="1"/>
  <c r="N891" i="1" s="1"/>
  <c r="H892" i="1"/>
  <c r="N892" i="1" s="1"/>
  <c r="H893" i="1"/>
  <c r="N893" i="1" s="1"/>
  <c r="H894" i="1"/>
  <c r="N894" i="1" s="1"/>
  <c r="H883" i="1"/>
  <c r="N883" i="1" s="1"/>
  <c r="H884" i="1"/>
  <c r="N884" i="1" s="1"/>
  <c r="H885" i="1"/>
  <c r="N885" i="1" s="1"/>
  <c r="H886" i="1"/>
  <c r="N886" i="1" s="1"/>
  <c r="H876" i="1"/>
  <c r="N876" i="1" s="1"/>
  <c r="H877" i="1"/>
  <c r="N877" i="1" s="1"/>
  <c r="H878" i="1"/>
  <c r="N878" i="1" s="1"/>
  <c r="H879" i="1"/>
  <c r="N879" i="1" s="1"/>
  <c r="H880" i="1"/>
  <c r="N880" i="1" s="1"/>
  <c r="H881" i="1"/>
  <c r="N881" i="1" s="1"/>
  <c r="H882" i="1"/>
  <c r="N882" i="1" s="1"/>
  <c r="H867" i="1"/>
  <c r="N867" i="1" s="1"/>
  <c r="H868" i="1"/>
  <c r="N868" i="1" s="1"/>
  <c r="H869" i="1"/>
  <c r="N869" i="1" s="1"/>
  <c r="H870" i="1"/>
  <c r="N870" i="1" s="1"/>
  <c r="H871" i="1"/>
  <c r="N871" i="1" s="1"/>
  <c r="H872" i="1"/>
  <c r="N872" i="1" s="1"/>
  <c r="H873" i="1"/>
  <c r="N873" i="1" s="1"/>
  <c r="H863" i="1"/>
  <c r="N863" i="1" s="1"/>
  <c r="H864" i="1"/>
  <c r="N864" i="1" s="1"/>
  <c r="H865" i="1"/>
  <c r="N865" i="1" s="1"/>
  <c r="H859" i="1"/>
  <c r="N859" i="1" s="1"/>
  <c r="H860" i="1"/>
  <c r="N860" i="1" s="1"/>
  <c r="H861" i="1"/>
  <c r="N861" i="1" s="1"/>
  <c r="H856" i="1"/>
  <c r="N856" i="1" s="1"/>
  <c r="H857" i="1"/>
  <c r="N857" i="1" s="1"/>
  <c r="H858" i="1"/>
  <c r="N858" i="1" s="1"/>
  <c r="H854" i="1"/>
  <c r="N854" i="1" s="1"/>
  <c r="H855" i="1"/>
  <c r="N855" i="1" s="1"/>
  <c r="H850" i="1"/>
  <c r="N850" i="1" s="1"/>
  <c r="H851" i="1"/>
  <c r="N851" i="1" s="1"/>
  <c r="H852" i="1"/>
  <c r="N852" i="1" s="1"/>
  <c r="H853" i="1"/>
  <c r="N853" i="1" s="1"/>
  <c r="H846" i="1"/>
  <c r="N846" i="1" s="1"/>
  <c r="H847" i="1"/>
  <c r="N847" i="1" s="1"/>
  <c r="H848" i="1"/>
  <c r="N848" i="1" s="1"/>
  <c r="H849" i="1"/>
  <c r="N849" i="1" s="1"/>
  <c r="H840" i="1"/>
  <c r="N840" i="1" s="1"/>
  <c r="H841" i="1"/>
  <c r="N841" i="1" s="1"/>
  <c r="H842" i="1"/>
  <c r="N842" i="1" s="1"/>
  <c r="H843" i="1"/>
  <c r="N843" i="1" s="1"/>
  <c r="H844" i="1"/>
  <c r="N844" i="1" s="1"/>
  <c r="H833" i="1"/>
  <c r="N833" i="1" s="1"/>
  <c r="H834" i="1"/>
  <c r="N834" i="1" s="1"/>
  <c r="H835" i="1"/>
  <c r="N835" i="1" s="1"/>
  <c r="H836" i="1"/>
  <c r="N836" i="1" s="1"/>
  <c r="H837" i="1"/>
  <c r="N837" i="1" s="1"/>
  <c r="H838" i="1"/>
  <c r="N838" i="1" s="1"/>
  <c r="H825" i="1"/>
  <c r="N825" i="1" s="1"/>
  <c r="H826" i="1"/>
  <c r="N826" i="1" s="1"/>
  <c r="H827" i="1"/>
  <c r="N827" i="1" s="1"/>
  <c r="H828" i="1"/>
  <c r="N828" i="1" s="1"/>
  <c r="H829" i="1"/>
  <c r="N829" i="1" s="1"/>
  <c r="H830" i="1"/>
  <c r="N830" i="1" s="1"/>
  <c r="H822" i="1"/>
  <c r="N822" i="1" s="1"/>
  <c r="H823" i="1"/>
  <c r="N823" i="1" s="1"/>
  <c r="H824" i="1"/>
  <c r="N824" i="1" s="1"/>
  <c r="H814" i="1"/>
  <c r="N814" i="1" s="1"/>
  <c r="H815" i="1"/>
  <c r="N815" i="1" s="1"/>
  <c r="H816" i="1"/>
  <c r="N816" i="1" s="1"/>
  <c r="H817" i="1"/>
  <c r="N817" i="1" s="1"/>
  <c r="H818" i="1"/>
  <c r="N818" i="1" s="1"/>
  <c r="H808" i="1"/>
  <c r="N808" i="1" s="1"/>
  <c r="H809" i="1"/>
  <c r="N809" i="1" s="1"/>
  <c r="H810" i="1"/>
  <c r="N810" i="1" s="1"/>
  <c r="H811" i="1"/>
  <c r="N811" i="1" s="1"/>
  <c r="H804" i="1"/>
  <c r="N804" i="1" s="1"/>
  <c r="H805" i="1"/>
  <c r="N805" i="1" s="1"/>
  <c r="H806" i="1"/>
  <c r="N806" i="1" s="1"/>
  <c r="H801" i="1"/>
  <c r="N801" i="1" s="1"/>
  <c r="H802" i="1"/>
  <c r="N802" i="1" s="1"/>
  <c r="H803" i="1"/>
  <c r="N803" i="1" s="1"/>
  <c r="H795" i="1"/>
  <c r="N795" i="1" s="1"/>
  <c r="H796" i="1"/>
  <c r="N796" i="1" s="1"/>
  <c r="H797" i="1"/>
  <c r="N797" i="1" s="1"/>
  <c r="H798" i="1"/>
  <c r="N798" i="1" s="1"/>
  <c r="H791" i="1"/>
  <c r="N791" i="1" s="1"/>
  <c r="H792" i="1"/>
  <c r="N792" i="1" s="1"/>
  <c r="H793" i="1"/>
  <c r="N793" i="1" s="1"/>
  <c r="H785" i="1"/>
  <c r="N785" i="1" s="1"/>
  <c r="H786" i="1"/>
  <c r="N786" i="1" s="1"/>
  <c r="H787" i="1"/>
  <c r="N787" i="1" s="1"/>
  <c r="H788" i="1"/>
  <c r="N788" i="1" s="1"/>
  <c r="H789" i="1"/>
  <c r="N789" i="1" s="1"/>
  <c r="H790" i="1"/>
  <c r="N790" i="1" s="1"/>
  <c r="H774" i="1"/>
  <c r="N774" i="1" s="1"/>
  <c r="H775" i="1"/>
  <c r="N775" i="1" s="1"/>
  <c r="H776" i="1"/>
  <c r="N776" i="1" s="1"/>
  <c r="H777" i="1"/>
  <c r="N777" i="1" s="1"/>
  <c r="H778" i="1"/>
  <c r="N778" i="1" s="1"/>
  <c r="H779" i="1"/>
  <c r="N779" i="1" s="1"/>
  <c r="H780" i="1"/>
  <c r="N780" i="1" s="1"/>
  <c r="H781" i="1"/>
  <c r="N781" i="1" s="1"/>
  <c r="H782" i="1"/>
  <c r="N782" i="1" s="1"/>
  <c r="H771" i="1"/>
  <c r="N771" i="1" s="1"/>
  <c r="H772" i="1"/>
  <c r="N772" i="1" s="1"/>
  <c r="H773" i="1"/>
  <c r="N773" i="1" s="1"/>
  <c r="H766" i="1"/>
  <c r="N766" i="1" s="1"/>
  <c r="H767" i="1"/>
  <c r="N767" i="1" s="1"/>
  <c r="H768" i="1"/>
  <c r="N768" i="1" s="1"/>
  <c r="H769" i="1"/>
  <c r="N769" i="1" s="1"/>
  <c r="H770" i="1"/>
  <c r="N770" i="1" s="1"/>
  <c r="H757" i="1"/>
  <c r="N757" i="1" s="1"/>
  <c r="H758" i="1"/>
  <c r="N758" i="1" s="1"/>
  <c r="H759" i="1"/>
  <c r="N759" i="1" s="1"/>
  <c r="H760" i="1"/>
  <c r="N760" i="1" s="1"/>
  <c r="H761" i="1"/>
  <c r="N761" i="1" s="1"/>
  <c r="H762" i="1"/>
  <c r="N762" i="1" s="1"/>
  <c r="H763" i="1"/>
  <c r="N763" i="1" s="1"/>
  <c r="H764" i="1"/>
  <c r="N764" i="1" s="1"/>
  <c r="H765" i="1"/>
  <c r="N765" i="1" s="1"/>
  <c r="H749" i="1"/>
  <c r="N749" i="1" s="1"/>
  <c r="H750" i="1"/>
  <c r="N750" i="1" s="1"/>
  <c r="H751" i="1"/>
  <c r="N751" i="1" s="1"/>
  <c r="H752" i="1"/>
  <c r="N752" i="1" s="1"/>
  <c r="H753" i="1"/>
  <c r="N753" i="1" s="1"/>
  <c r="H754" i="1"/>
  <c r="N754" i="1" s="1"/>
  <c r="H755" i="1"/>
  <c r="N755" i="1" s="1"/>
  <c r="H756" i="1"/>
  <c r="N756" i="1" s="1"/>
  <c r="H740" i="1"/>
  <c r="N740" i="1" s="1"/>
  <c r="H741" i="1"/>
  <c r="N741" i="1" s="1"/>
  <c r="H742" i="1"/>
  <c r="N742" i="1" s="1"/>
  <c r="H743" i="1"/>
  <c r="N743" i="1" s="1"/>
  <c r="H744" i="1"/>
  <c r="N744" i="1" s="1"/>
  <c r="H745" i="1"/>
  <c r="N745" i="1" s="1"/>
  <c r="H746" i="1"/>
  <c r="N746" i="1" s="1"/>
  <c r="H747" i="1"/>
  <c r="N747" i="1" s="1"/>
  <c r="H748" i="1"/>
  <c r="N748" i="1" s="1"/>
  <c r="H733" i="1"/>
  <c r="N733" i="1" s="1"/>
  <c r="H734" i="1"/>
  <c r="N734" i="1" s="1"/>
  <c r="H735" i="1"/>
  <c r="N735" i="1" s="1"/>
  <c r="H736" i="1"/>
  <c r="N736" i="1" s="1"/>
  <c r="H737" i="1"/>
  <c r="N737" i="1" s="1"/>
  <c r="H738" i="1"/>
  <c r="N738" i="1" s="1"/>
  <c r="H739" i="1"/>
  <c r="N739" i="1" s="1"/>
  <c r="H723" i="1"/>
  <c r="N723" i="1" s="1"/>
  <c r="H724" i="1"/>
  <c r="N724" i="1" s="1"/>
  <c r="H725" i="1"/>
  <c r="N725" i="1" s="1"/>
  <c r="H726" i="1"/>
  <c r="N726" i="1" s="1"/>
  <c r="H727" i="1"/>
  <c r="N727" i="1" s="1"/>
  <c r="H728" i="1"/>
  <c r="N728" i="1" s="1"/>
  <c r="H729" i="1"/>
  <c r="N729" i="1" s="1"/>
  <c r="H730" i="1"/>
  <c r="N730" i="1" s="1"/>
  <c r="H731" i="1"/>
  <c r="N731" i="1" s="1"/>
  <c r="H732" i="1"/>
  <c r="N732" i="1" s="1"/>
  <c r="H714" i="1"/>
  <c r="N714" i="1" s="1"/>
  <c r="H715" i="1"/>
  <c r="N715" i="1" s="1"/>
  <c r="H716" i="1"/>
  <c r="N716" i="1" s="1"/>
  <c r="H717" i="1"/>
  <c r="N717" i="1" s="1"/>
  <c r="H718" i="1"/>
  <c r="N718" i="1" s="1"/>
  <c r="H719" i="1"/>
  <c r="N719" i="1" s="1"/>
  <c r="H720" i="1"/>
  <c r="N720" i="1" s="1"/>
  <c r="H721" i="1"/>
  <c r="N721" i="1" s="1"/>
  <c r="H722" i="1"/>
  <c r="N722" i="1" s="1"/>
  <c r="H710" i="1"/>
  <c r="N710" i="1" s="1"/>
  <c r="H711" i="1"/>
  <c r="N711" i="1" s="1"/>
  <c r="H712" i="1"/>
  <c r="N712" i="1" s="1"/>
  <c r="H708" i="1"/>
  <c r="N708" i="1" s="1"/>
  <c r="H709" i="1"/>
  <c r="N709" i="1" s="1"/>
  <c r="H703" i="1"/>
  <c r="N703" i="1" s="1"/>
  <c r="H704" i="1"/>
  <c r="N704" i="1" s="1"/>
  <c r="H705" i="1"/>
  <c r="N705" i="1" s="1"/>
  <c r="H706" i="1"/>
  <c r="N706" i="1" s="1"/>
  <c r="H697" i="1"/>
  <c r="N697" i="1" s="1"/>
  <c r="H698" i="1"/>
  <c r="N698" i="1" s="1"/>
  <c r="H699" i="1"/>
  <c r="N699" i="1" s="1"/>
  <c r="H700" i="1"/>
  <c r="N700" i="1" s="1"/>
  <c r="H701" i="1"/>
  <c r="N701" i="1" s="1"/>
  <c r="H692" i="1"/>
  <c r="N692" i="1" s="1"/>
  <c r="H693" i="1"/>
  <c r="N693" i="1" s="1"/>
  <c r="H694" i="1"/>
  <c r="N694" i="1" s="1"/>
  <c r="H687" i="1"/>
  <c r="N687" i="1" s="1"/>
  <c r="H688" i="1"/>
  <c r="N688" i="1" s="1"/>
  <c r="H689" i="1"/>
  <c r="N689" i="1" s="1"/>
  <c r="H690" i="1"/>
  <c r="N690" i="1" s="1"/>
  <c r="H682" i="1"/>
  <c r="N682" i="1" s="1"/>
  <c r="H683" i="1"/>
  <c r="N683" i="1" s="1"/>
  <c r="H684" i="1"/>
  <c r="N684" i="1" s="1"/>
  <c r="H678" i="1"/>
  <c r="N678" i="1" s="1"/>
  <c r="H679" i="1"/>
  <c r="N679" i="1" s="1"/>
  <c r="H680" i="1"/>
  <c r="N680" i="1" s="1"/>
  <c r="H670" i="1"/>
  <c r="N670" i="1" s="1"/>
  <c r="H671" i="1"/>
  <c r="N671" i="1" s="1"/>
  <c r="H672" i="1"/>
  <c r="N672" i="1" s="1"/>
  <c r="H673" i="1"/>
  <c r="N673" i="1" s="1"/>
  <c r="H674" i="1"/>
  <c r="N674" i="1" s="1"/>
  <c r="H675" i="1"/>
  <c r="N675" i="1" s="1"/>
  <c r="H665" i="1"/>
  <c r="N665" i="1" s="1"/>
  <c r="H666" i="1"/>
  <c r="N666" i="1" s="1"/>
  <c r="H667" i="1"/>
  <c r="N667" i="1" s="1"/>
  <c r="H668" i="1"/>
  <c r="N668" i="1" s="1"/>
  <c r="H660" i="1"/>
  <c r="N660" i="1" s="1"/>
  <c r="H661" i="1"/>
  <c r="N661" i="1" s="1"/>
  <c r="H662" i="1"/>
  <c r="N662" i="1" s="1"/>
  <c r="H655" i="1"/>
  <c r="N655" i="1" s="1"/>
  <c r="H656" i="1"/>
  <c r="N656" i="1" s="1"/>
  <c r="H657" i="1"/>
  <c r="N657" i="1" s="1"/>
  <c r="H658" i="1"/>
  <c r="N658" i="1" s="1"/>
  <c r="H651" i="1"/>
  <c r="N651" i="1" s="1"/>
  <c r="H652" i="1"/>
  <c r="N652" i="1" s="1"/>
  <c r="H653" i="1"/>
  <c r="N653" i="1" s="1"/>
  <c r="H644" i="1"/>
  <c r="N644" i="1" s="1"/>
  <c r="H645" i="1"/>
  <c r="N645" i="1" s="1"/>
  <c r="H646" i="1"/>
  <c r="N646" i="1" s="1"/>
  <c r="H647" i="1"/>
  <c r="N647" i="1" s="1"/>
  <c r="H648" i="1"/>
  <c r="N648" i="1" s="1"/>
  <c r="H639" i="1"/>
  <c r="N639" i="1" s="1"/>
  <c r="H640" i="1"/>
  <c r="N640" i="1" s="1"/>
  <c r="H630" i="1"/>
  <c r="N630" i="1" s="1"/>
  <c r="H631" i="1"/>
  <c r="N631" i="1" s="1"/>
  <c r="H632" i="1"/>
  <c r="N632" i="1" s="1"/>
  <c r="H633" i="1"/>
  <c r="N633" i="1" s="1"/>
  <c r="H634" i="1"/>
  <c r="N634" i="1" s="1"/>
  <c r="H635" i="1"/>
  <c r="N635" i="1" s="1"/>
  <c r="H628" i="1"/>
  <c r="N628" i="1" s="1"/>
  <c r="H629" i="1"/>
  <c r="N629" i="1" s="1"/>
  <c r="H624" i="1"/>
  <c r="N624" i="1" s="1"/>
  <c r="H625" i="1"/>
  <c r="N625" i="1" s="1"/>
  <c r="H626" i="1"/>
  <c r="N626" i="1" s="1"/>
  <c r="H627" i="1"/>
  <c r="N627" i="1" s="1"/>
  <c r="H619" i="1"/>
  <c r="N619" i="1" s="1"/>
  <c r="H620" i="1"/>
  <c r="N620" i="1" s="1"/>
  <c r="H611" i="1"/>
  <c r="N611" i="1" s="1"/>
  <c r="H612" i="1"/>
  <c r="N612" i="1" s="1"/>
  <c r="H613" i="1"/>
  <c r="N613" i="1" s="1"/>
  <c r="H614" i="1"/>
  <c r="N614" i="1" s="1"/>
  <c r="H615" i="1"/>
  <c r="N615" i="1" s="1"/>
  <c r="H616" i="1"/>
  <c r="N616" i="1" s="1"/>
  <c r="H617" i="1"/>
  <c r="N617" i="1" s="1"/>
  <c r="H618" i="1"/>
  <c r="N618" i="1" s="1"/>
  <c r="H606" i="1"/>
  <c r="N606" i="1" s="1"/>
  <c r="H607" i="1"/>
  <c r="N607" i="1" s="1"/>
  <c r="H608" i="1"/>
  <c r="N608" i="1" s="1"/>
  <c r="H609" i="1"/>
  <c r="N609" i="1" s="1"/>
  <c r="H610" i="1"/>
  <c r="N610" i="1" s="1"/>
  <c r="H602" i="1"/>
  <c r="N602" i="1" s="1"/>
  <c r="H603" i="1"/>
  <c r="N603" i="1" s="1"/>
  <c r="H604" i="1"/>
  <c r="N604" i="1" s="1"/>
  <c r="H605" i="1"/>
  <c r="N605" i="1" s="1"/>
  <c r="H599" i="1"/>
  <c r="N599" i="1" s="1"/>
  <c r="H600" i="1"/>
  <c r="N600" i="1" s="1"/>
  <c r="H601" i="1"/>
  <c r="N601" i="1" s="1"/>
  <c r="H595" i="1"/>
  <c r="N595" i="1" s="1"/>
  <c r="H596" i="1"/>
  <c r="N596" i="1" s="1"/>
  <c r="H597" i="1"/>
  <c r="N597" i="1" s="1"/>
  <c r="H598" i="1"/>
  <c r="N598" i="1" s="1"/>
  <c r="H589" i="1"/>
  <c r="N589" i="1" s="1"/>
  <c r="H590" i="1"/>
  <c r="N590" i="1" s="1"/>
  <c r="H591" i="1"/>
  <c r="N591" i="1" s="1"/>
  <c r="H592" i="1"/>
  <c r="N592" i="1" s="1"/>
  <c r="H593" i="1"/>
  <c r="N593" i="1" s="1"/>
  <c r="H594" i="1"/>
  <c r="N594" i="1" s="1"/>
  <c r="H583" i="1"/>
  <c r="N583" i="1" s="1"/>
  <c r="H584" i="1"/>
  <c r="N584" i="1" s="1"/>
  <c r="H585" i="1"/>
  <c r="N585" i="1" s="1"/>
  <c r="H586" i="1"/>
  <c r="N586" i="1" s="1"/>
  <c r="H587" i="1"/>
  <c r="N587" i="1" s="1"/>
  <c r="H588" i="1"/>
  <c r="N588" i="1" s="1"/>
  <c r="H576" i="1"/>
  <c r="N576" i="1" s="1"/>
  <c r="H577" i="1"/>
  <c r="N577" i="1" s="1"/>
  <c r="H578" i="1"/>
  <c r="N578" i="1" s="1"/>
  <c r="H579" i="1"/>
  <c r="N579" i="1" s="1"/>
  <c r="H580" i="1"/>
  <c r="N580" i="1" s="1"/>
  <c r="H581" i="1"/>
  <c r="N581" i="1" s="1"/>
  <c r="H582" i="1"/>
  <c r="N582" i="1" s="1"/>
  <c r="H567" i="1"/>
  <c r="N567" i="1" s="1"/>
  <c r="H568" i="1"/>
  <c r="N568" i="1" s="1"/>
  <c r="H569" i="1"/>
  <c r="N569" i="1" s="1"/>
  <c r="H570" i="1"/>
  <c r="N570" i="1" s="1"/>
  <c r="H571" i="1"/>
  <c r="N571" i="1" s="1"/>
  <c r="H572" i="1"/>
  <c r="N572" i="1" s="1"/>
  <c r="H573" i="1"/>
  <c r="N573" i="1" s="1"/>
  <c r="H563" i="1"/>
  <c r="N563" i="1" s="1"/>
  <c r="H564" i="1"/>
  <c r="N564" i="1" s="1"/>
  <c r="H565" i="1"/>
  <c r="N565" i="1" s="1"/>
  <c r="H559" i="1"/>
  <c r="N559" i="1" s="1"/>
  <c r="H560" i="1"/>
  <c r="N560" i="1" s="1"/>
  <c r="H561" i="1"/>
  <c r="N561" i="1" s="1"/>
  <c r="H554" i="1"/>
  <c r="N554" i="1" s="1"/>
  <c r="H555" i="1"/>
  <c r="N555" i="1" s="1"/>
  <c r="H556" i="1"/>
  <c r="N556" i="1" s="1"/>
  <c r="H557" i="1"/>
  <c r="N557" i="1" s="1"/>
  <c r="H550" i="1"/>
  <c r="N550" i="1" s="1"/>
  <c r="H551" i="1"/>
  <c r="N551" i="1" s="1"/>
  <c r="H552" i="1"/>
  <c r="N552" i="1" s="1"/>
  <c r="H553" i="1"/>
  <c r="N553" i="1" s="1"/>
  <c r="H546" i="1"/>
  <c r="N546" i="1" s="1"/>
  <c r="H547" i="1"/>
  <c r="N547" i="1" s="1"/>
  <c r="H548" i="1"/>
  <c r="N548" i="1" s="1"/>
  <c r="H549" i="1"/>
  <c r="N549" i="1" s="1"/>
  <c r="H540" i="1"/>
  <c r="N540" i="1" s="1"/>
  <c r="H541" i="1"/>
  <c r="N541" i="1" s="1"/>
  <c r="H542" i="1"/>
  <c r="N542" i="1" s="1"/>
  <c r="H543" i="1"/>
  <c r="N543" i="1" s="1"/>
  <c r="H544" i="1"/>
  <c r="N544" i="1" s="1"/>
  <c r="H533" i="1"/>
  <c r="N533" i="1" s="1"/>
  <c r="H534" i="1"/>
  <c r="N534" i="1" s="1"/>
  <c r="H535" i="1"/>
  <c r="N535" i="1" s="1"/>
  <c r="H536" i="1"/>
  <c r="N536" i="1" s="1"/>
  <c r="H537" i="1"/>
  <c r="N537" i="1" s="1"/>
  <c r="H538" i="1"/>
  <c r="N538" i="1" s="1"/>
  <c r="H527" i="1"/>
  <c r="N527" i="1" s="1"/>
  <c r="H528" i="1"/>
  <c r="N528" i="1" s="1"/>
  <c r="H529" i="1"/>
  <c r="N529" i="1" s="1"/>
  <c r="H530" i="1"/>
  <c r="N530" i="1" s="1"/>
  <c r="H522" i="1"/>
  <c r="N522" i="1" s="1"/>
  <c r="H523" i="1"/>
  <c r="N523" i="1" s="1"/>
  <c r="H524" i="1"/>
  <c r="N524" i="1" s="1"/>
  <c r="H525" i="1"/>
  <c r="N525" i="1" s="1"/>
  <c r="H526" i="1"/>
  <c r="N526" i="1" s="1"/>
  <c r="H514" i="1"/>
  <c r="N514" i="1" s="1"/>
  <c r="H515" i="1"/>
  <c r="N515" i="1" s="1"/>
  <c r="H516" i="1"/>
  <c r="N516" i="1" s="1"/>
  <c r="H517" i="1"/>
  <c r="N517" i="1" s="1"/>
  <c r="H518" i="1"/>
  <c r="N518" i="1" s="1"/>
  <c r="H508" i="1"/>
  <c r="N508" i="1" s="1"/>
  <c r="H509" i="1"/>
  <c r="N509" i="1" s="1"/>
  <c r="H510" i="1"/>
  <c r="N510" i="1" s="1"/>
  <c r="H511" i="1"/>
  <c r="N511" i="1" s="1"/>
  <c r="H501" i="1"/>
  <c r="N501" i="1" s="1"/>
  <c r="H502" i="1"/>
  <c r="N502" i="1" s="1"/>
  <c r="H503" i="1"/>
  <c r="N503" i="1" s="1"/>
  <c r="H504" i="1"/>
  <c r="N504" i="1" s="1"/>
  <c r="H505" i="1"/>
  <c r="N505" i="1" s="1"/>
  <c r="H495" i="1"/>
  <c r="N495" i="1" s="1"/>
  <c r="H496" i="1"/>
  <c r="N496" i="1" s="1"/>
  <c r="H497" i="1"/>
  <c r="N497" i="1" s="1"/>
  <c r="H498" i="1"/>
  <c r="N498" i="1" s="1"/>
  <c r="H491" i="1"/>
  <c r="N491" i="1" s="1"/>
  <c r="H492" i="1"/>
  <c r="N492" i="1" s="1"/>
  <c r="H493" i="1"/>
  <c r="N493" i="1" s="1"/>
  <c r="H485" i="1"/>
  <c r="N485" i="1" s="1"/>
  <c r="H486" i="1"/>
  <c r="N486" i="1" s="1"/>
  <c r="H487" i="1"/>
  <c r="N487" i="1" s="1"/>
  <c r="H488" i="1"/>
  <c r="N488" i="1" s="1"/>
  <c r="H489" i="1"/>
  <c r="N489" i="1" s="1"/>
  <c r="H490" i="1"/>
  <c r="N490" i="1" s="1"/>
  <c r="H471" i="1"/>
  <c r="N471" i="1" s="1"/>
  <c r="H472" i="1"/>
  <c r="N472" i="1" s="1"/>
  <c r="H473" i="1"/>
  <c r="N473" i="1" s="1"/>
  <c r="H474" i="1"/>
  <c r="N474" i="1" s="1"/>
  <c r="H475" i="1"/>
  <c r="N475" i="1" s="1"/>
  <c r="H476" i="1"/>
  <c r="N476" i="1" s="1"/>
  <c r="H477" i="1"/>
  <c r="N477" i="1" s="1"/>
  <c r="H478" i="1"/>
  <c r="N478" i="1" s="1"/>
  <c r="H479" i="1"/>
  <c r="N479" i="1" s="1"/>
  <c r="H480" i="1"/>
  <c r="N480" i="1" s="1"/>
  <c r="H481" i="1"/>
  <c r="N481" i="1" s="1"/>
  <c r="H466" i="1"/>
  <c r="N466" i="1" s="1"/>
  <c r="H467" i="1"/>
  <c r="N467" i="1" s="1"/>
  <c r="H468" i="1"/>
  <c r="N468" i="1" s="1"/>
  <c r="H469" i="1"/>
  <c r="N469" i="1" s="1"/>
  <c r="H470" i="1"/>
  <c r="N470" i="1" s="1"/>
  <c r="H457" i="1"/>
  <c r="N457" i="1" s="1"/>
  <c r="H458" i="1"/>
  <c r="N458" i="1" s="1"/>
  <c r="H459" i="1"/>
  <c r="N459" i="1" s="1"/>
  <c r="H460" i="1"/>
  <c r="N460" i="1" s="1"/>
  <c r="H461" i="1"/>
  <c r="N461" i="1" s="1"/>
  <c r="H462" i="1"/>
  <c r="N462" i="1" s="1"/>
  <c r="H463" i="1"/>
  <c r="N463" i="1" s="1"/>
  <c r="H464" i="1"/>
  <c r="N464" i="1" s="1"/>
  <c r="H465" i="1"/>
  <c r="N465" i="1" s="1"/>
  <c r="H449" i="1"/>
  <c r="N449" i="1" s="1"/>
  <c r="H450" i="1"/>
  <c r="N450" i="1" s="1"/>
  <c r="H451" i="1"/>
  <c r="N451" i="1" s="1"/>
  <c r="H452" i="1"/>
  <c r="N452" i="1" s="1"/>
  <c r="H453" i="1"/>
  <c r="N453" i="1" s="1"/>
  <c r="H454" i="1"/>
  <c r="N454" i="1" s="1"/>
  <c r="H455" i="1"/>
  <c r="N455" i="1" s="1"/>
  <c r="H456" i="1"/>
  <c r="N456" i="1" s="1"/>
  <c r="H440" i="1"/>
  <c r="N440" i="1" s="1"/>
  <c r="H441" i="1"/>
  <c r="N441" i="1" s="1"/>
  <c r="H442" i="1"/>
  <c r="N442" i="1" s="1"/>
  <c r="H443" i="1"/>
  <c r="N443" i="1" s="1"/>
  <c r="H444" i="1"/>
  <c r="N444" i="1" s="1"/>
  <c r="H445" i="1"/>
  <c r="N445" i="1" s="1"/>
  <c r="H446" i="1"/>
  <c r="N446" i="1" s="1"/>
  <c r="H447" i="1"/>
  <c r="N447" i="1" s="1"/>
  <c r="H448" i="1"/>
  <c r="N448" i="1" s="1"/>
  <c r="H433" i="1"/>
  <c r="N433" i="1" s="1"/>
  <c r="H434" i="1"/>
  <c r="N434" i="1" s="1"/>
  <c r="H435" i="1"/>
  <c r="N435" i="1" s="1"/>
  <c r="H436" i="1"/>
  <c r="N436" i="1" s="1"/>
  <c r="H437" i="1"/>
  <c r="N437" i="1" s="1"/>
  <c r="H438" i="1"/>
  <c r="N438" i="1" s="1"/>
  <c r="H439" i="1"/>
  <c r="N439" i="1" s="1"/>
  <c r="H423" i="1"/>
  <c r="N423" i="1" s="1"/>
  <c r="H424" i="1"/>
  <c r="N424" i="1" s="1"/>
  <c r="H425" i="1"/>
  <c r="N425" i="1" s="1"/>
  <c r="H426" i="1"/>
  <c r="N426" i="1" s="1"/>
  <c r="H427" i="1"/>
  <c r="N427" i="1" s="1"/>
  <c r="H428" i="1"/>
  <c r="N428" i="1" s="1"/>
  <c r="H429" i="1"/>
  <c r="N429" i="1" s="1"/>
  <c r="H430" i="1"/>
  <c r="N430" i="1" s="1"/>
  <c r="H431" i="1"/>
  <c r="N431" i="1" s="1"/>
  <c r="H432" i="1"/>
  <c r="N432" i="1" s="1"/>
  <c r="H414" i="1"/>
  <c r="N414" i="1" s="1"/>
  <c r="H415" i="1"/>
  <c r="N415" i="1" s="1"/>
  <c r="H416" i="1"/>
  <c r="N416" i="1" s="1"/>
  <c r="H417" i="1"/>
  <c r="N417" i="1" s="1"/>
  <c r="H418" i="1"/>
  <c r="N418" i="1" s="1"/>
  <c r="H419" i="1"/>
  <c r="N419" i="1" s="1"/>
  <c r="H420" i="1"/>
  <c r="N420" i="1" s="1"/>
  <c r="H421" i="1"/>
  <c r="N421" i="1" s="1"/>
  <c r="H422" i="1"/>
  <c r="N422" i="1" s="1"/>
  <c r="H409" i="1"/>
  <c r="N409" i="1" s="1"/>
  <c r="H410" i="1"/>
  <c r="N410" i="1" s="1"/>
  <c r="H411" i="1"/>
  <c r="N411" i="1" s="1"/>
  <c r="H412" i="1"/>
  <c r="N412" i="1" s="1"/>
  <c r="H403" i="1"/>
  <c r="N403" i="1" s="1"/>
  <c r="H404" i="1"/>
  <c r="N404" i="1" s="1"/>
  <c r="H405" i="1"/>
  <c r="N405" i="1" s="1"/>
  <c r="H406" i="1"/>
  <c r="N406" i="1" s="1"/>
  <c r="H397" i="1"/>
  <c r="N397" i="1" s="1"/>
  <c r="H398" i="1"/>
  <c r="N398" i="1" s="1"/>
  <c r="H399" i="1"/>
  <c r="N399" i="1" s="1"/>
  <c r="H400" i="1"/>
  <c r="N400" i="1" s="1"/>
  <c r="H401" i="1"/>
  <c r="N401" i="1" s="1"/>
  <c r="H392" i="1"/>
  <c r="N392" i="1" s="1"/>
  <c r="H393" i="1"/>
  <c r="N393" i="1" s="1"/>
  <c r="H394" i="1"/>
  <c r="N394" i="1" s="1"/>
  <c r="H387" i="1"/>
  <c r="N387" i="1" s="1"/>
  <c r="H388" i="1"/>
  <c r="N388" i="1" s="1"/>
  <c r="H389" i="1"/>
  <c r="N389" i="1" s="1"/>
  <c r="H390" i="1"/>
  <c r="N390" i="1" s="1"/>
  <c r="H382" i="1"/>
  <c r="N382" i="1" s="1"/>
  <c r="H383" i="1"/>
  <c r="N383" i="1" s="1"/>
  <c r="H384" i="1"/>
  <c r="N384" i="1" s="1"/>
  <c r="H378" i="1"/>
  <c r="N378" i="1" s="1"/>
  <c r="H379" i="1"/>
  <c r="N379" i="1" s="1"/>
  <c r="H380" i="1"/>
  <c r="N380" i="1" s="1"/>
  <c r="H370" i="1"/>
  <c r="N370" i="1" s="1"/>
  <c r="H371" i="1"/>
  <c r="N371" i="1" s="1"/>
  <c r="H372" i="1"/>
  <c r="N372" i="1" s="1"/>
  <c r="H373" i="1"/>
  <c r="N373" i="1" s="1"/>
  <c r="H374" i="1"/>
  <c r="N374" i="1" s="1"/>
  <c r="H375" i="1"/>
  <c r="N375" i="1" s="1"/>
  <c r="H366" i="1"/>
  <c r="N366" i="1" s="1"/>
  <c r="H367" i="1"/>
  <c r="N367" i="1" s="1"/>
  <c r="H368" i="1"/>
  <c r="N368" i="1" s="1"/>
  <c r="H364" i="1"/>
  <c r="N364" i="1" s="1"/>
  <c r="H365" i="1"/>
  <c r="N365" i="1" s="1"/>
  <c r="H360" i="1"/>
  <c r="N360" i="1" s="1"/>
  <c r="H361" i="1"/>
  <c r="N361" i="1" s="1"/>
  <c r="H362" i="1"/>
  <c r="N362" i="1" s="1"/>
  <c r="H355" i="1"/>
  <c r="N355" i="1" s="1"/>
  <c r="H356" i="1"/>
  <c r="N356" i="1" s="1"/>
  <c r="H357" i="1"/>
  <c r="N357" i="1" s="1"/>
  <c r="H358" i="1"/>
  <c r="N358" i="1" s="1"/>
  <c r="H351" i="1"/>
  <c r="N351" i="1" s="1"/>
  <c r="H352" i="1"/>
  <c r="N352" i="1" s="1"/>
  <c r="H353" i="1"/>
  <c r="N353" i="1" s="1"/>
  <c r="H347" i="1"/>
  <c r="N347" i="1" s="1"/>
  <c r="H348" i="1"/>
  <c r="N348" i="1" s="1"/>
  <c r="H343" i="1"/>
  <c r="N343" i="1" s="1"/>
  <c r="H344" i="1"/>
  <c r="N344" i="1" s="1"/>
  <c r="H345" i="1"/>
  <c r="N345" i="1" s="1"/>
  <c r="H346" i="1"/>
  <c r="N346" i="1" s="1"/>
  <c r="H339" i="1"/>
  <c r="N339" i="1" s="1"/>
  <c r="H340" i="1"/>
  <c r="N340" i="1" s="1"/>
  <c r="H330" i="1"/>
  <c r="N330" i="1" s="1"/>
  <c r="H331" i="1"/>
  <c r="N331" i="1" s="1"/>
  <c r="H332" i="1"/>
  <c r="N332" i="1" s="1"/>
  <c r="H333" i="1"/>
  <c r="N333" i="1" s="1"/>
  <c r="H334" i="1"/>
  <c r="N334" i="1" s="1"/>
  <c r="H335" i="1"/>
  <c r="N335" i="1" s="1"/>
  <c r="H328" i="1"/>
  <c r="N328" i="1" s="1"/>
  <c r="H329" i="1"/>
  <c r="N329" i="1" s="1"/>
  <c r="H324" i="1"/>
  <c r="N324" i="1" s="1"/>
  <c r="H325" i="1"/>
  <c r="N325" i="1" s="1"/>
  <c r="H326" i="1"/>
  <c r="N326" i="1" s="1"/>
  <c r="H327" i="1"/>
  <c r="N327" i="1" s="1"/>
  <c r="H319" i="1"/>
  <c r="N319" i="1" s="1"/>
  <c r="H320" i="1"/>
  <c r="N320" i="1" s="1"/>
  <c r="H311" i="1"/>
  <c r="N311" i="1" s="1"/>
  <c r="H312" i="1"/>
  <c r="N312" i="1" s="1"/>
  <c r="H313" i="1"/>
  <c r="N313" i="1" s="1"/>
  <c r="H314" i="1"/>
  <c r="N314" i="1" s="1"/>
  <c r="H315" i="1"/>
  <c r="N315" i="1" s="1"/>
  <c r="H316" i="1"/>
  <c r="N316" i="1" s="1"/>
  <c r="H317" i="1"/>
  <c r="N317" i="1" s="1"/>
  <c r="H318" i="1"/>
  <c r="N318" i="1" s="1"/>
  <c r="H306" i="1"/>
  <c r="N306" i="1" s="1"/>
  <c r="H307" i="1"/>
  <c r="N307" i="1" s="1"/>
  <c r="H308" i="1"/>
  <c r="N308" i="1" s="1"/>
  <c r="H309" i="1"/>
  <c r="N309" i="1" s="1"/>
  <c r="H310" i="1"/>
  <c r="N310" i="1" s="1"/>
  <c r="H302" i="1"/>
  <c r="N302" i="1" s="1"/>
  <c r="H303" i="1"/>
  <c r="N303" i="1" s="1"/>
  <c r="H304" i="1"/>
  <c r="N304" i="1" s="1"/>
  <c r="H305" i="1"/>
  <c r="N305" i="1" s="1"/>
  <c r="H299" i="1"/>
  <c r="N299" i="1" s="1"/>
  <c r="H300" i="1"/>
  <c r="N300" i="1" s="1"/>
  <c r="H301" i="1"/>
  <c r="N301" i="1" s="1"/>
  <c r="H295" i="1"/>
  <c r="N295" i="1" s="1"/>
  <c r="H296" i="1"/>
  <c r="N296" i="1" s="1"/>
  <c r="H297" i="1"/>
  <c r="N297" i="1" s="1"/>
  <c r="H298" i="1"/>
  <c r="N298" i="1" s="1"/>
  <c r="H289" i="1"/>
  <c r="N289" i="1" s="1"/>
  <c r="H290" i="1"/>
  <c r="N290" i="1" s="1"/>
  <c r="H291" i="1"/>
  <c r="N291" i="1" s="1"/>
  <c r="H292" i="1"/>
  <c r="N292" i="1" s="1"/>
  <c r="H293" i="1"/>
  <c r="N293" i="1" s="1"/>
  <c r="H294" i="1"/>
  <c r="N294" i="1" s="1"/>
  <c r="H282" i="1"/>
  <c r="N282" i="1" s="1"/>
  <c r="H283" i="1"/>
  <c r="N283" i="1" s="1"/>
  <c r="H284" i="1"/>
  <c r="N284" i="1" s="1"/>
  <c r="H285" i="1"/>
  <c r="N285" i="1" s="1"/>
  <c r="H286" i="1"/>
  <c r="N286" i="1" s="1"/>
  <c r="H287" i="1"/>
  <c r="N287" i="1" s="1"/>
  <c r="H288" i="1"/>
  <c r="N288" i="1" s="1"/>
  <c r="H276" i="1"/>
  <c r="N276" i="1" s="1"/>
  <c r="H277" i="1"/>
  <c r="N277" i="1" s="1"/>
  <c r="H278" i="1"/>
  <c r="N278" i="1" s="1"/>
  <c r="H279" i="1"/>
  <c r="N279" i="1" s="1"/>
  <c r="H280" i="1"/>
  <c r="N280" i="1" s="1"/>
  <c r="H281" i="1"/>
  <c r="N281" i="1" s="1"/>
  <c r="H267" i="1"/>
  <c r="N267" i="1" s="1"/>
  <c r="H268" i="1"/>
  <c r="N268" i="1" s="1"/>
  <c r="H269" i="1"/>
  <c r="N269" i="1" s="1"/>
  <c r="H270" i="1"/>
  <c r="N270" i="1" s="1"/>
  <c r="H271" i="1"/>
  <c r="N271" i="1" s="1"/>
  <c r="H272" i="1"/>
  <c r="N272" i="1" s="1"/>
  <c r="H273" i="1"/>
  <c r="N273" i="1" s="1"/>
  <c r="H263" i="1"/>
  <c r="N263" i="1" s="1"/>
  <c r="H264" i="1"/>
  <c r="N264" i="1" s="1"/>
  <c r="H265" i="1"/>
  <c r="N265" i="1" s="1"/>
  <c r="H259" i="1"/>
  <c r="N259" i="1" s="1"/>
  <c r="H260" i="1"/>
  <c r="N260" i="1" s="1"/>
  <c r="H261" i="1"/>
  <c r="N261" i="1" s="1"/>
  <c r="H253" i="1"/>
  <c r="N253" i="1" s="1"/>
  <c r="H254" i="1"/>
  <c r="N254" i="1" s="1"/>
  <c r="H255" i="1"/>
  <c r="N255" i="1" s="1"/>
  <c r="H256" i="1"/>
  <c r="N256" i="1" s="1"/>
  <c r="H257" i="1"/>
  <c r="N257" i="1" s="1"/>
  <c r="H250" i="1"/>
  <c r="N250" i="1" s="1"/>
  <c r="H251" i="1"/>
  <c r="N251" i="1" s="1"/>
  <c r="H252" i="1"/>
  <c r="N252" i="1" s="1"/>
  <c r="H246" i="1"/>
  <c r="N246" i="1" s="1"/>
  <c r="H247" i="1"/>
  <c r="N247" i="1" s="1"/>
  <c r="H248" i="1"/>
  <c r="N248" i="1" s="1"/>
  <c r="H249" i="1"/>
  <c r="N249" i="1" s="1"/>
  <c r="H240" i="1"/>
  <c r="N240" i="1" s="1"/>
  <c r="H241" i="1"/>
  <c r="N241" i="1" s="1"/>
  <c r="H242" i="1"/>
  <c r="N242" i="1" s="1"/>
  <c r="H243" i="1"/>
  <c r="N243" i="1" s="1"/>
  <c r="H244" i="1"/>
  <c r="N244" i="1" s="1"/>
  <c r="H233" i="1"/>
  <c r="N233" i="1" s="1"/>
  <c r="H234" i="1"/>
  <c r="N234" i="1" s="1"/>
  <c r="H235" i="1"/>
  <c r="N235" i="1" s="1"/>
  <c r="H236" i="1"/>
  <c r="N236" i="1" s="1"/>
  <c r="H237" i="1"/>
  <c r="N237" i="1" s="1"/>
  <c r="H238" i="1"/>
  <c r="N238" i="1" s="1"/>
  <c r="H227" i="1"/>
  <c r="N227" i="1" s="1"/>
  <c r="H228" i="1"/>
  <c r="N228" i="1" s="1"/>
  <c r="H229" i="1"/>
  <c r="N229" i="1" s="1"/>
  <c r="H230" i="1"/>
  <c r="N230" i="1" s="1"/>
  <c r="H221" i="1"/>
  <c r="N221" i="1" s="1"/>
  <c r="H222" i="1"/>
  <c r="N222" i="1" s="1"/>
  <c r="H223" i="1"/>
  <c r="N223" i="1" s="1"/>
  <c r="H224" i="1"/>
  <c r="N224" i="1" s="1"/>
  <c r="H225" i="1"/>
  <c r="N225" i="1" s="1"/>
  <c r="H214" i="1"/>
  <c r="N214" i="1" s="1"/>
  <c r="H215" i="1"/>
  <c r="N215" i="1" s="1"/>
  <c r="H216" i="1"/>
  <c r="N216" i="1" s="1"/>
  <c r="H217" i="1"/>
  <c r="N217" i="1" s="1"/>
  <c r="H218" i="1"/>
  <c r="N218" i="1" s="1"/>
  <c r="H208" i="1"/>
  <c r="N208" i="1" s="1"/>
  <c r="H209" i="1"/>
  <c r="N209" i="1" s="1"/>
  <c r="H210" i="1"/>
  <c r="N210" i="1" s="1"/>
  <c r="H211" i="1"/>
  <c r="N211" i="1" s="1"/>
  <c r="H201" i="1"/>
  <c r="N201" i="1" s="1"/>
  <c r="H202" i="1"/>
  <c r="N202" i="1" s="1"/>
  <c r="H203" i="1"/>
  <c r="N203" i="1" s="1"/>
  <c r="H204" i="1"/>
  <c r="N204" i="1" s="1"/>
  <c r="H205" i="1"/>
  <c r="N205" i="1" s="1"/>
  <c r="H195" i="1"/>
  <c r="N195" i="1" s="1"/>
  <c r="H196" i="1"/>
  <c r="N196" i="1" s="1"/>
  <c r="H197" i="1"/>
  <c r="N197" i="1" s="1"/>
  <c r="H198" i="1"/>
  <c r="N198" i="1" s="1"/>
  <c r="H191" i="1"/>
  <c r="N191" i="1" s="1"/>
  <c r="H192" i="1"/>
  <c r="N192" i="1" s="1"/>
  <c r="H193" i="1"/>
  <c r="N193" i="1" s="1"/>
  <c r="H185" i="1"/>
  <c r="N185" i="1" s="1"/>
  <c r="H186" i="1"/>
  <c r="N186" i="1" s="1"/>
  <c r="H187" i="1"/>
  <c r="N187" i="1" s="1"/>
  <c r="H188" i="1"/>
  <c r="N188" i="1" s="1"/>
  <c r="H189" i="1"/>
  <c r="N189" i="1" s="1"/>
  <c r="H190" i="1"/>
  <c r="N190" i="1" s="1"/>
  <c r="H178" i="1"/>
  <c r="N178" i="1" s="1"/>
  <c r="H179" i="1"/>
  <c r="N179" i="1" s="1"/>
  <c r="H180" i="1"/>
  <c r="N180" i="1" s="1"/>
  <c r="H181" i="1"/>
  <c r="N181" i="1" s="1"/>
  <c r="H166" i="1"/>
  <c r="N166" i="1" s="1"/>
  <c r="H167" i="1"/>
  <c r="N167" i="1" s="1"/>
  <c r="H168" i="1"/>
  <c r="N168" i="1" s="1"/>
  <c r="H169" i="1"/>
  <c r="N169" i="1" s="1"/>
  <c r="H170" i="1"/>
  <c r="N170" i="1" s="1"/>
  <c r="H171" i="1"/>
  <c r="N171" i="1" s="1"/>
  <c r="H172" i="1"/>
  <c r="N172" i="1" s="1"/>
  <c r="H173" i="1"/>
  <c r="N173" i="1" s="1"/>
  <c r="H174" i="1"/>
  <c r="N174" i="1" s="1"/>
  <c r="H175" i="1"/>
  <c r="N175" i="1" s="1"/>
  <c r="H176" i="1"/>
  <c r="N176" i="1" s="1"/>
  <c r="H177" i="1"/>
  <c r="N177" i="1" s="1"/>
  <c r="H157" i="1"/>
  <c r="N157" i="1" s="1"/>
  <c r="H158" i="1"/>
  <c r="N158" i="1" s="1"/>
  <c r="H159" i="1"/>
  <c r="N159" i="1" s="1"/>
  <c r="H160" i="1"/>
  <c r="N160" i="1" s="1"/>
  <c r="H161" i="1"/>
  <c r="N161" i="1" s="1"/>
  <c r="H162" i="1"/>
  <c r="N162" i="1" s="1"/>
  <c r="H163" i="1"/>
  <c r="N163" i="1" s="1"/>
  <c r="H164" i="1"/>
  <c r="N164" i="1" s="1"/>
  <c r="H165" i="1"/>
  <c r="N165" i="1" s="1"/>
  <c r="H149" i="1"/>
  <c r="N149" i="1" s="1"/>
  <c r="H150" i="1"/>
  <c r="N150" i="1" s="1"/>
  <c r="H151" i="1"/>
  <c r="N151" i="1" s="1"/>
  <c r="H152" i="1"/>
  <c r="N152" i="1" s="1"/>
  <c r="H153" i="1"/>
  <c r="N153" i="1" s="1"/>
  <c r="H154" i="1"/>
  <c r="N154" i="1" s="1"/>
  <c r="H155" i="1"/>
  <c r="N155" i="1" s="1"/>
  <c r="H156" i="1"/>
  <c r="N156" i="1" s="1"/>
  <c r="H140" i="1"/>
  <c r="N140" i="1" s="1"/>
  <c r="H141" i="1"/>
  <c r="N141" i="1" s="1"/>
  <c r="H142" i="1"/>
  <c r="N142" i="1" s="1"/>
  <c r="H143" i="1"/>
  <c r="N143" i="1" s="1"/>
  <c r="H144" i="1"/>
  <c r="N144" i="1" s="1"/>
  <c r="H145" i="1"/>
  <c r="N145" i="1" s="1"/>
  <c r="H146" i="1"/>
  <c r="N146" i="1" s="1"/>
  <c r="H147" i="1"/>
  <c r="N147" i="1" s="1"/>
  <c r="H148" i="1"/>
  <c r="N148" i="1" s="1"/>
  <c r="H133" i="1"/>
  <c r="N133" i="1" s="1"/>
  <c r="H134" i="1"/>
  <c r="N134" i="1" s="1"/>
  <c r="H135" i="1"/>
  <c r="N135" i="1" s="1"/>
  <c r="H136" i="1"/>
  <c r="N136" i="1" s="1"/>
  <c r="H137" i="1"/>
  <c r="N137" i="1" s="1"/>
  <c r="H138" i="1"/>
  <c r="N138" i="1" s="1"/>
  <c r="H139" i="1"/>
  <c r="N139" i="1" s="1"/>
  <c r="H123" i="1"/>
  <c r="N123" i="1" s="1"/>
  <c r="H124" i="1"/>
  <c r="N124" i="1" s="1"/>
  <c r="H125" i="1"/>
  <c r="N125" i="1" s="1"/>
  <c r="H126" i="1"/>
  <c r="N126" i="1" s="1"/>
  <c r="H127" i="1"/>
  <c r="N127" i="1" s="1"/>
  <c r="H128" i="1"/>
  <c r="N128" i="1" s="1"/>
  <c r="H129" i="1"/>
  <c r="N129" i="1" s="1"/>
  <c r="H130" i="1"/>
  <c r="N130" i="1" s="1"/>
  <c r="H131" i="1"/>
  <c r="N131" i="1" s="1"/>
  <c r="H132" i="1"/>
  <c r="N132" i="1" s="1"/>
  <c r="H114" i="1"/>
  <c r="N114" i="1" s="1"/>
  <c r="H115" i="1"/>
  <c r="N115" i="1" s="1"/>
  <c r="H116" i="1"/>
  <c r="N116" i="1" s="1"/>
  <c r="H117" i="1"/>
  <c r="N117" i="1" s="1"/>
  <c r="H118" i="1"/>
  <c r="N118" i="1" s="1"/>
  <c r="H119" i="1"/>
  <c r="N119" i="1" s="1"/>
  <c r="H120" i="1"/>
  <c r="N120" i="1" s="1"/>
  <c r="H121" i="1"/>
  <c r="N121" i="1" s="1"/>
  <c r="H122" i="1"/>
  <c r="N122" i="1" s="1"/>
  <c r="H109" i="1"/>
  <c r="N109" i="1" s="1"/>
  <c r="H110" i="1"/>
  <c r="N110" i="1" s="1"/>
  <c r="H111" i="1"/>
  <c r="N111" i="1" s="1"/>
  <c r="H112" i="1"/>
  <c r="N112" i="1" s="1"/>
  <c r="H103" i="1"/>
  <c r="N103" i="1" s="1"/>
  <c r="H104" i="1"/>
  <c r="N104" i="1" s="1"/>
  <c r="H105" i="1"/>
  <c r="N105" i="1" s="1"/>
  <c r="H106" i="1"/>
  <c r="N106" i="1" s="1"/>
  <c r="H97" i="1"/>
  <c r="N97" i="1" s="1"/>
  <c r="H98" i="1"/>
  <c r="N98" i="1" s="1"/>
  <c r="H99" i="1"/>
  <c r="N99" i="1" s="1"/>
  <c r="H100" i="1"/>
  <c r="N100" i="1" s="1"/>
  <c r="H101" i="1"/>
  <c r="N101" i="1" s="1"/>
  <c r="H92" i="1"/>
  <c r="N92" i="1" s="1"/>
  <c r="H93" i="1"/>
  <c r="N93" i="1" s="1"/>
  <c r="H94" i="1"/>
  <c r="N94" i="1" s="1"/>
  <c r="H87" i="1"/>
  <c r="N87" i="1" s="1"/>
  <c r="H88" i="1"/>
  <c r="N88" i="1" s="1"/>
  <c r="H89" i="1"/>
  <c r="N89" i="1" s="1"/>
  <c r="H90" i="1"/>
  <c r="N90" i="1" s="1"/>
  <c r="H82" i="1"/>
  <c r="N82" i="1" s="1"/>
  <c r="H83" i="1"/>
  <c r="N83" i="1" s="1"/>
  <c r="H84" i="1"/>
  <c r="N84" i="1" s="1"/>
  <c r="H78" i="1"/>
  <c r="N78" i="1" s="1"/>
  <c r="H79" i="1"/>
  <c r="N79" i="1" s="1"/>
  <c r="H80" i="1"/>
  <c r="N80" i="1" s="1"/>
  <c r="H70" i="1"/>
  <c r="N70" i="1" s="1"/>
  <c r="H71" i="1"/>
  <c r="N71" i="1" s="1"/>
  <c r="H72" i="1"/>
  <c r="N72" i="1" s="1"/>
  <c r="H73" i="1"/>
  <c r="N73" i="1" s="1"/>
  <c r="H74" i="1"/>
  <c r="N74" i="1" s="1"/>
  <c r="H75" i="1"/>
  <c r="N75" i="1" s="1"/>
  <c r="H66" i="1"/>
  <c r="N66" i="1" s="1"/>
  <c r="H67" i="1"/>
  <c r="N67" i="1" s="1"/>
  <c r="H68" i="1"/>
  <c r="N68" i="1" s="1"/>
  <c r="H63" i="1"/>
  <c r="N63" i="1" s="1"/>
  <c r="H64" i="1"/>
  <c r="N64" i="1" s="1"/>
  <c r="H60" i="1"/>
  <c r="N60" i="1" s="1"/>
  <c r="H61" i="1"/>
  <c r="N61" i="1" s="1"/>
  <c r="H62" i="1"/>
  <c r="N62" i="1" s="1"/>
  <c r="H55" i="1"/>
  <c r="N55" i="1" s="1"/>
  <c r="H56" i="1"/>
  <c r="N56" i="1" s="1"/>
  <c r="H57" i="1"/>
  <c r="N57" i="1" s="1"/>
  <c r="H58" i="1"/>
  <c r="N58" i="1" s="1"/>
  <c r="H51" i="1"/>
  <c r="N51" i="1" s="1"/>
  <c r="H52" i="1"/>
  <c r="N52" i="1" s="1"/>
  <c r="H53" i="1"/>
  <c r="N53" i="1" s="1"/>
  <c r="H47" i="1"/>
  <c r="N47" i="1" s="1"/>
  <c r="H48" i="1"/>
  <c r="N48" i="1" s="1"/>
  <c r="H42" i="1"/>
  <c r="N42" i="1" s="1"/>
  <c r="H43" i="1"/>
  <c r="N43" i="1" s="1"/>
  <c r="H44" i="1"/>
  <c r="N44" i="1" s="1"/>
  <c r="H45" i="1"/>
  <c r="N45" i="1" s="1"/>
  <c r="H39" i="1"/>
  <c r="N39" i="1" s="1"/>
  <c r="H40" i="1"/>
  <c r="N40" i="1" s="1"/>
  <c r="H30" i="1"/>
  <c r="N30" i="1" s="1"/>
  <c r="H31" i="1"/>
  <c r="N31" i="1" s="1"/>
  <c r="H32" i="1"/>
  <c r="N32" i="1" s="1"/>
  <c r="H33" i="1"/>
  <c r="N33" i="1" s="1"/>
  <c r="H34" i="1"/>
  <c r="N34" i="1" s="1"/>
  <c r="H35" i="1"/>
  <c r="N35" i="1" s="1"/>
  <c r="H28" i="1"/>
  <c r="N28" i="1" s="1"/>
  <c r="H29" i="1"/>
  <c r="N29" i="1" s="1"/>
  <c r="H24" i="1"/>
  <c r="N24" i="1" s="1"/>
  <c r="H25" i="1"/>
  <c r="N25" i="1" s="1"/>
  <c r="H26" i="1"/>
  <c r="N26" i="1" s="1"/>
  <c r="H27" i="1"/>
  <c r="N27" i="1" s="1"/>
  <c r="H19" i="1"/>
  <c r="N19" i="1" s="1"/>
  <c r="H20" i="1"/>
  <c r="N20" i="1" s="1"/>
  <c r="H11" i="1"/>
  <c r="N11" i="1" s="1"/>
  <c r="H12" i="1"/>
  <c r="N12" i="1" s="1"/>
  <c r="H13" i="1"/>
  <c r="N13" i="1" s="1"/>
  <c r="H14" i="1"/>
  <c r="N14" i="1" s="1"/>
  <c r="H15" i="1"/>
  <c r="N15" i="1" s="1"/>
  <c r="H16" i="1"/>
  <c r="N16" i="1" s="1"/>
  <c r="H17" i="1"/>
  <c r="N17" i="1" s="1"/>
  <c r="H18" i="1"/>
  <c r="N18" i="1" s="1"/>
  <c r="H6" i="1"/>
  <c r="N6" i="1" s="1"/>
  <c r="H7" i="1"/>
  <c r="N7" i="1" s="1"/>
  <c r="N8" i="1"/>
  <c r="H9" i="1"/>
  <c r="N9" i="1" s="1"/>
  <c r="H10" i="1"/>
  <c r="N10" i="1" s="1"/>
  <c r="H2" i="1"/>
  <c r="N2" i="1" s="1"/>
  <c r="H3" i="1"/>
  <c r="N3" i="1" s="1"/>
  <c r="H4" i="1"/>
  <c r="N4" i="1" s="1"/>
  <c r="H5" i="1"/>
  <c r="N5" i="1" s="1"/>
  <c r="K5" i="1" l="1"/>
  <c r="M5" i="1"/>
  <c r="K4" i="1"/>
  <c r="M4" i="1"/>
  <c r="K3" i="1"/>
  <c r="M3" i="1"/>
  <c r="K2" i="1"/>
  <c r="M2" i="1"/>
  <c r="K10" i="1"/>
  <c r="M10" i="1"/>
  <c r="K9" i="1"/>
  <c r="M9" i="1"/>
  <c r="K8" i="1"/>
  <c r="M8" i="1"/>
  <c r="K7" i="1"/>
  <c r="M7" i="1"/>
  <c r="K6" i="1"/>
  <c r="M6" i="1"/>
  <c r="K18" i="1"/>
  <c r="M18" i="1"/>
  <c r="K17" i="1"/>
  <c r="M17" i="1"/>
  <c r="K16" i="1"/>
  <c r="M16" i="1"/>
  <c r="K15" i="1"/>
  <c r="M15" i="1"/>
  <c r="K14" i="1"/>
  <c r="M14" i="1"/>
  <c r="K13" i="1"/>
  <c r="M13" i="1"/>
  <c r="K12" i="1"/>
  <c r="M12" i="1"/>
  <c r="K11" i="1"/>
  <c r="M11" i="1"/>
  <c r="K20" i="1"/>
  <c r="M20" i="1"/>
  <c r="K19" i="1"/>
  <c r="M19" i="1"/>
  <c r="K27" i="1"/>
  <c r="M27" i="1"/>
  <c r="K26" i="1"/>
  <c r="M26" i="1"/>
  <c r="K25" i="1"/>
  <c r="M25" i="1"/>
  <c r="K24" i="1"/>
  <c r="M24" i="1"/>
  <c r="K29" i="1"/>
  <c r="M29" i="1"/>
  <c r="K28" i="1"/>
  <c r="M28" i="1"/>
  <c r="K35" i="1"/>
  <c r="M35" i="1"/>
  <c r="K34" i="1"/>
  <c r="M34" i="1"/>
  <c r="K33" i="1"/>
  <c r="M33" i="1"/>
  <c r="K32" i="1"/>
  <c r="M32" i="1"/>
  <c r="K31" i="1"/>
  <c r="M31" i="1"/>
  <c r="K30" i="1"/>
  <c r="M30" i="1"/>
  <c r="K40" i="1"/>
  <c r="M40" i="1"/>
  <c r="K39" i="1"/>
  <c r="M39" i="1"/>
  <c r="K45" i="1"/>
  <c r="M45" i="1"/>
  <c r="K44" i="1"/>
  <c r="M44" i="1"/>
  <c r="K43" i="1"/>
  <c r="M43" i="1"/>
  <c r="K42" i="1"/>
  <c r="M42" i="1"/>
  <c r="K48" i="1"/>
  <c r="M48" i="1"/>
  <c r="K47" i="1"/>
  <c r="M47" i="1"/>
  <c r="K53" i="1"/>
  <c r="M53" i="1"/>
  <c r="K52" i="1"/>
  <c r="M52" i="1"/>
  <c r="K51" i="1"/>
  <c r="M51" i="1"/>
  <c r="K58" i="1"/>
  <c r="M58" i="1"/>
  <c r="K57" i="1"/>
  <c r="M57" i="1"/>
  <c r="K56" i="1"/>
  <c r="M56" i="1"/>
  <c r="K55" i="1"/>
  <c r="M55" i="1"/>
  <c r="K62" i="1"/>
  <c r="M62" i="1"/>
  <c r="K61" i="1"/>
  <c r="M61" i="1"/>
  <c r="K60" i="1"/>
  <c r="M60" i="1"/>
  <c r="K64" i="1"/>
  <c r="M64" i="1"/>
  <c r="K63" i="1"/>
  <c r="M63" i="1"/>
  <c r="K68" i="1"/>
  <c r="M68" i="1"/>
  <c r="K67" i="1"/>
  <c r="M67" i="1"/>
  <c r="K66" i="1"/>
  <c r="M66" i="1"/>
  <c r="K75" i="1"/>
  <c r="M75" i="1"/>
  <c r="K74" i="1"/>
  <c r="M74" i="1"/>
  <c r="K73" i="1"/>
  <c r="M73" i="1"/>
  <c r="K72" i="1"/>
  <c r="M72" i="1"/>
  <c r="K71" i="1"/>
  <c r="M71" i="1"/>
  <c r="K70" i="1"/>
  <c r="M70" i="1"/>
  <c r="K80" i="1"/>
  <c r="M80" i="1"/>
  <c r="K79" i="1"/>
  <c r="M79" i="1"/>
  <c r="K78" i="1"/>
  <c r="M78" i="1"/>
  <c r="K84" i="1"/>
  <c r="M84" i="1"/>
  <c r="K83" i="1"/>
  <c r="M83" i="1"/>
  <c r="K82" i="1"/>
  <c r="M82" i="1"/>
  <c r="K90" i="1"/>
  <c r="M90" i="1"/>
  <c r="K89" i="1"/>
  <c r="M89" i="1"/>
  <c r="K88" i="1"/>
  <c r="M88" i="1"/>
  <c r="K87" i="1"/>
  <c r="M87" i="1"/>
  <c r="K94" i="1"/>
  <c r="M94" i="1"/>
  <c r="K93" i="1"/>
  <c r="M93" i="1"/>
  <c r="K92" i="1"/>
  <c r="M92" i="1"/>
  <c r="K101" i="1"/>
  <c r="M101" i="1"/>
  <c r="K100" i="1"/>
  <c r="M100" i="1"/>
  <c r="K99" i="1"/>
  <c r="M99" i="1"/>
  <c r="K98" i="1"/>
  <c r="M98" i="1"/>
  <c r="K97" i="1"/>
  <c r="M97" i="1"/>
  <c r="K106" i="1"/>
  <c r="M106" i="1"/>
  <c r="K105" i="1"/>
  <c r="M105" i="1"/>
  <c r="K104" i="1"/>
  <c r="M104" i="1"/>
  <c r="K103" i="1"/>
  <c r="M103" i="1"/>
  <c r="K112" i="1"/>
  <c r="M112" i="1"/>
  <c r="K111" i="1"/>
  <c r="M111" i="1"/>
  <c r="K110" i="1"/>
  <c r="M110" i="1"/>
  <c r="K109" i="1"/>
  <c r="M109" i="1"/>
  <c r="K122" i="1"/>
  <c r="M122" i="1"/>
  <c r="K121" i="1"/>
  <c r="M121" i="1"/>
  <c r="K120" i="1"/>
  <c r="M120" i="1"/>
  <c r="K119" i="1"/>
  <c r="M119" i="1"/>
  <c r="K118" i="1"/>
  <c r="M118" i="1"/>
  <c r="K117" i="1"/>
  <c r="M117" i="1"/>
  <c r="K116" i="1"/>
  <c r="M116" i="1"/>
  <c r="K115" i="1"/>
  <c r="M115" i="1"/>
  <c r="K114" i="1"/>
  <c r="M114" i="1"/>
  <c r="K132" i="1"/>
  <c r="M132" i="1"/>
  <c r="K131" i="1"/>
  <c r="M131" i="1"/>
  <c r="K130" i="1"/>
  <c r="M130" i="1"/>
  <c r="K129" i="1"/>
  <c r="M129" i="1"/>
  <c r="K128" i="1"/>
  <c r="M128" i="1"/>
  <c r="K127" i="1"/>
  <c r="M127" i="1"/>
  <c r="K126" i="1"/>
  <c r="M126" i="1"/>
  <c r="K125" i="1"/>
  <c r="M125" i="1"/>
  <c r="K124" i="1"/>
  <c r="M124" i="1"/>
  <c r="K123" i="1"/>
  <c r="M123" i="1"/>
  <c r="K139" i="1"/>
  <c r="M139" i="1"/>
  <c r="K138" i="1"/>
  <c r="M138" i="1"/>
  <c r="K137" i="1"/>
  <c r="M137" i="1"/>
  <c r="K136" i="1"/>
  <c r="M136" i="1"/>
  <c r="K135" i="1"/>
  <c r="M135" i="1"/>
  <c r="K134" i="1"/>
  <c r="M134" i="1"/>
  <c r="K133" i="1"/>
  <c r="M133" i="1"/>
  <c r="K148" i="1"/>
  <c r="M148" i="1"/>
  <c r="K147" i="1"/>
  <c r="M147" i="1"/>
  <c r="K146" i="1"/>
  <c r="M146" i="1"/>
  <c r="K145" i="1"/>
  <c r="M145" i="1"/>
  <c r="K144" i="1"/>
  <c r="M144" i="1"/>
  <c r="K143" i="1"/>
  <c r="M143" i="1"/>
  <c r="K142" i="1"/>
  <c r="M142" i="1"/>
  <c r="K141" i="1"/>
  <c r="M141" i="1"/>
  <c r="K140" i="1"/>
  <c r="M140" i="1"/>
  <c r="K156" i="1"/>
  <c r="M156" i="1"/>
  <c r="K155" i="1"/>
  <c r="M155" i="1"/>
  <c r="K154" i="1"/>
  <c r="M154" i="1"/>
  <c r="K153" i="1"/>
  <c r="M153" i="1"/>
  <c r="K152" i="1"/>
  <c r="M152" i="1"/>
  <c r="K151" i="1"/>
  <c r="M151" i="1"/>
  <c r="K150" i="1"/>
  <c r="M150" i="1"/>
  <c r="K149" i="1"/>
  <c r="M149" i="1"/>
  <c r="K165" i="1"/>
  <c r="M165" i="1"/>
  <c r="K164" i="1"/>
  <c r="M164" i="1"/>
  <c r="K163" i="1"/>
  <c r="M163" i="1"/>
  <c r="K162" i="1"/>
  <c r="M162" i="1"/>
  <c r="K161" i="1"/>
  <c r="M161" i="1"/>
  <c r="K160" i="1"/>
  <c r="M160" i="1"/>
  <c r="K159" i="1"/>
  <c r="M159" i="1"/>
  <c r="K158" i="1"/>
  <c r="M158" i="1"/>
  <c r="K157" i="1"/>
  <c r="M157" i="1"/>
  <c r="K177" i="1"/>
  <c r="M177" i="1"/>
  <c r="K176" i="1"/>
  <c r="M176" i="1"/>
  <c r="K175" i="1"/>
  <c r="M175" i="1"/>
  <c r="K174" i="1"/>
  <c r="M174" i="1"/>
  <c r="K173" i="1"/>
  <c r="M173" i="1"/>
  <c r="K172" i="1"/>
  <c r="M172" i="1"/>
  <c r="K171" i="1"/>
  <c r="M171" i="1"/>
  <c r="K170" i="1"/>
  <c r="M170" i="1"/>
  <c r="K169" i="1"/>
  <c r="M169" i="1"/>
  <c r="K168" i="1"/>
  <c r="M168" i="1"/>
  <c r="K167" i="1"/>
  <c r="M167" i="1"/>
  <c r="K166" i="1"/>
  <c r="M166" i="1"/>
  <c r="K181" i="1"/>
  <c r="M181" i="1"/>
  <c r="K180" i="1"/>
  <c r="M180" i="1"/>
  <c r="K179" i="1"/>
  <c r="M179" i="1"/>
  <c r="K178" i="1"/>
  <c r="M178" i="1"/>
  <c r="K190" i="1"/>
  <c r="M190" i="1"/>
  <c r="K189" i="1"/>
  <c r="M189" i="1"/>
  <c r="K188" i="1"/>
  <c r="M188" i="1"/>
  <c r="K187" i="1"/>
  <c r="M187" i="1"/>
  <c r="K186" i="1"/>
  <c r="M186" i="1"/>
  <c r="K185" i="1"/>
  <c r="M185" i="1"/>
  <c r="K193" i="1"/>
  <c r="M193" i="1"/>
  <c r="K192" i="1"/>
  <c r="M192" i="1"/>
  <c r="K191" i="1"/>
  <c r="M191" i="1"/>
  <c r="K198" i="1"/>
  <c r="M198" i="1"/>
  <c r="K197" i="1"/>
  <c r="M197" i="1"/>
  <c r="K196" i="1"/>
  <c r="M196" i="1"/>
  <c r="K195" i="1"/>
  <c r="M195" i="1"/>
  <c r="K205" i="1"/>
  <c r="M205" i="1"/>
  <c r="K204" i="1"/>
  <c r="M204" i="1"/>
  <c r="K203" i="1"/>
  <c r="M203" i="1"/>
  <c r="K202" i="1"/>
  <c r="M202" i="1"/>
  <c r="K201" i="1"/>
  <c r="M201" i="1"/>
  <c r="K211" i="1"/>
  <c r="M211" i="1"/>
  <c r="K210" i="1"/>
  <c r="M210" i="1"/>
  <c r="K209" i="1"/>
  <c r="M209" i="1"/>
  <c r="K208" i="1"/>
  <c r="M208" i="1"/>
  <c r="K218" i="1"/>
  <c r="M218" i="1"/>
  <c r="K217" i="1"/>
  <c r="M217" i="1"/>
  <c r="K216" i="1"/>
  <c r="M216" i="1"/>
  <c r="K215" i="1"/>
  <c r="M215" i="1"/>
  <c r="K214" i="1"/>
  <c r="M214" i="1"/>
  <c r="K225" i="1"/>
  <c r="M225" i="1"/>
  <c r="K224" i="1"/>
  <c r="M224" i="1"/>
  <c r="K223" i="1"/>
  <c r="M223" i="1"/>
  <c r="K222" i="1"/>
  <c r="M222" i="1"/>
  <c r="K221" i="1"/>
  <c r="M221" i="1"/>
  <c r="K230" i="1"/>
  <c r="M230" i="1"/>
  <c r="K229" i="1"/>
  <c r="M229" i="1"/>
  <c r="K228" i="1"/>
  <c r="M228" i="1"/>
  <c r="K227" i="1"/>
  <c r="M227" i="1"/>
  <c r="K238" i="1"/>
  <c r="M238" i="1"/>
  <c r="K237" i="1"/>
  <c r="M237" i="1"/>
  <c r="K236" i="1"/>
  <c r="M236" i="1"/>
  <c r="K235" i="1"/>
  <c r="M235" i="1"/>
  <c r="K234" i="1"/>
  <c r="M234" i="1"/>
  <c r="K233" i="1"/>
  <c r="M233" i="1"/>
  <c r="K244" i="1"/>
  <c r="M244" i="1"/>
  <c r="K243" i="1"/>
  <c r="M243" i="1"/>
  <c r="K242" i="1"/>
  <c r="M242" i="1"/>
  <c r="K241" i="1"/>
  <c r="M241" i="1"/>
  <c r="K240" i="1"/>
  <c r="M240" i="1"/>
  <c r="K249" i="1"/>
  <c r="M249" i="1"/>
  <c r="K248" i="1"/>
  <c r="M248" i="1"/>
  <c r="K247" i="1"/>
  <c r="M247" i="1"/>
  <c r="K246" i="1"/>
  <c r="M246" i="1"/>
  <c r="K252" i="1"/>
  <c r="M252" i="1"/>
  <c r="K251" i="1"/>
  <c r="M251" i="1"/>
  <c r="K250" i="1"/>
  <c r="M250" i="1"/>
  <c r="K257" i="1"/>
  <c r="M257" i="1"/>
  <c r="K256" i="1"/>
  <c r="M256" i="1"/>
  <c r="K255" i="1"/>
  <c r="M255" i="1"/>
  <c r="K254" i="1"/>
  <c r="M254" i="1"/>
  <c r="K253" i="1"/>
  <c r="M253" i="1"/>
  <c r="K261" i="1"/>
  <c r="M261" i="1"/>
  <c r="K260" i="1"/>
  <c r="M260" i="1"/>
  <c r="K259" i="1"/>
  <c r="M259" i="1"/>
  <c r="K265" i="1"/>
  <c r="M265" i="1"/>
  <c r="K264" i="1"/>
  <c r="M264" i="1"/>
  <c r="K263" i="1"/>
  <c r="M263" i="1"/>
  <c r="K273" i="1"/>
  <c r="M273" i="1"/>
  <c r="K272" i="1"/>
  <c r="M272" i="1"/>
  <c r="K271" i="1"/>
  <c r="M271" i="1"/>
  <c r="K270" i="1"/>
  <c r="M270" i="1"/>
  <c r="K269" i="1"/>
  <c r="M269" i="1"/>
  <c r="K268" i="1"/>
  <c r="M268" i="1"/>
  <c r="K267" i="1"/>
  <c r="M267" i="1"/>
  <c r="K281" i="1"/>
  <c r="M281" i="1"/>
  <c r="K280" i="1"/>
  <c r="M280" i="1"/>
  <c r="K279" i="1"/>
  <c r="M279" i="1"/>
  <c r="K278" i="1"/>
  <c r="M278" i="1"/>
  <c r="K277" i="1"/>
  <c r="M277" i="1"/>
  <c r="K276" i="1"/>
  <c r="M276" i="1"/>
  <c r="K288" i="1"/>
  <c r="M288" i="1"/>
  <c r="K287" i="1"/>
  <c r="M287" i="1"/>
  <c r="K286" i="1"/>
  <c r="M286" i="1"/>
  <c r="K285" i="1"/>
  <c r="M285" i="1"/>
  <c r="K284" i="1"/>
  <c r="M284" i="1"/>
  <c r="K283" i="1"/>
  <c r="M283" i="1"/>
  <c r="K282" i="1"/>
  <c r="M282" i="1"/>
  <c r="K294" i="1"/>
  <c r="M294" i="1"/>
  <c r="K293" i="1"/>
  <c r="M293" i="1"/>
  <c r="K292" i="1"/>
  <c r="M292" i="1"/>
  <c r="K291" i="1"/>
  <c r="M291" i="1"/>
  <c r="K290" i="1"/>
  <c r="M290" i="1"/>
  <c r="K289" i="1"/>
  <c r="M289" i="1"/>
  <c r="K298" i="1"/>
  <c r="M298" i="1"/>
  <c r="K297" i="1"/>
  <c r="M297" i="1"/>
  <c r="K296" i="1"/>
  <c r="M296" i="1"/>
  <c r="K295" i="1"/>
  <c r="M295" i="1"/>
  <c r="K301" i="1"/>
  <c r="M301" i="1"/>
  <c r="K300" i="1"/>
  <c r="M300" i="1"/>
  <c r="K299" i="1"/>
  <c r="M299" i="1"/>
  <c r="K305" i="1"/>
  <c r="M305" i="1"/>
  <c r="K304" i="1"/>
  <c r="M304" i="1"/>
  <c r="K303" i="1"/>
  <c r="M303" i="1"/>
  <c r="K302" i="1"/>
  <c r="M302" i="1"/>
  <c r="K310" i="1"/>
  <c r="M310" i="1"/>
  <c r="K309" i="1"/>
  <c r="M309" i="1"/>
  <c r="K308" i="1"/>
  <c r="M308" i="1"/>
  <c r="K307" i="1"/>
  <c r="M307" i="1"/>
  <c r="K306" i="1"/>
  <c r="M306" i="1"/>
  <c r="K318" i="1"/>
  <c r="M318" i="1"/>
  <c r="K317" i="1"/>
  <c r="M317" i="1"/>
  <c r="K316" i="1"/>
  <c r="M316" i="1"/>
  <c r="K315" i="1"/>
  <c r="M315" i="1"/>
  <c r="K314" i="1"/>
  <c r="M314" i="1"/>
  <c r="K313" i="1"/>
  <c r="M313" i="1"/>
  <c r="K312" i="1"/>
  <c r="M312" i="1"/>
  <c r="K311" i="1"/>
  <c r="M311" i="1"/>
  <c r="K320" i="1"/>
  <c r="M320" i="1"/>
  <c r="K319" i="1"/>
  <c r="M319" i="1"/>
  <c r="K327" i="1"/>
  <c r="M327" i="1"/>
  <c r="K326" i="1"/>
  <c r="M326" i="1"/>
  <c r="K325" i="1"/>
  <c r="M325" i="1"/>
  <c r="K324" i="1"/>
  <c r="M324" i="1"/>
  <c r="K329" i="1"/>
  <c r="M329" i="1"/>
  <c r="K328" i="1"/>
  <c r="M328" i="1"/>
  <c r="K335" i="1"/>
  <c r="M335" i="1"/>
  <c r="K334" i="1"/>
  <c r="M334" i="1"/>
  <c r="K333" i="1"/>
  <c r="M333" i="1"/>
  <c r="K332" i="1"/>
  <c r="M332" i="1"/>
  <c r="K331" i="1"/>
  <c r="M331" i="1"/>
  <c r="K330" i="1"/>
  <c r="M330" i="1"/>
  <c r="K340" i="1"/>
  <c r="M340" i="1"/>
  <c r="K339" i="1"/>
  <c r="M339" i="1"/>
  <c r="K346" i="1"/>
  <c r="M346" i="1"/>
  <c r="K345" i="1"/>
  <c r="M345" i="1"/>
  <c r="K344" i="1"/>
  <c r="M344" i="1"/>
  <c r="K343" i="1"/>
  <c r="M343" i="1"/>
  <c r="K348" i="1"/>
  <c r="M348" i="1"/>
  <c r="K347" i="1"/>
  <c r="M347" i="1"/>
  <c r="K353" i="1"/>
  <c r="M353" i="1"/>
  <c r="K352" i="1"/>
  <c r="M352" i="1"/>
  <c r="K351" i="1"/>
  <c r="M351" i="1"/>
  <c r="K358" i="1"/>
  <c r="M358" i="1"/>
  <c r="K357" i="1"/>
  <c r="M357" i="1"/>
  <c r="K356" i="1"/>
  <c r="M356" i="1"/>
  <c r="K355" i="1"/>
  <c r="M355" i="1"/>
  <c r="K362" i="1"/>
  <c r="M362" i="1"/>
  <c r="K361" i="1"/>
  <c r="M361" i="1"/>
  <c r="K360" i="1"/>
  <c r="M360" i="1"/>
  <c r="K365" i="1"/>
  <c r="M365" i="1"/>
  <c r="K364" i="1"/>
  <c r="M364" i="1"/>
  <c r="K368" i="1"/>
  <c r="M368" i="1"/>
  <c r="K367" i="1"/>
  <c r="M367" i="1"/>
  <c r="K366" i="1"/>
  <c r="M366" i="1"/>
  <c r="K375" i="1"/>
  <c r="M375" i="1"/>
  <c r="K374" i="1"/>
  <c r="M374" i="1"/>
  <c r="K373" i="1"/>
  <c r="M373" i="1"/>
  <c r="K372" i="1"/>
  <c r="M372" i="1"/>
  <c r="K371" i="1"/>
  <c r="M371" i="1"/>
  <c r="K370" i="1"/>
  <c r="M370" i="1"/>
  <c r="K380" i="1"/>
  <c r="M380" i="1"/>
  <c r="K379" i="1"/>
  <c r="M379" i="1"/>
  <c r="K378" i="1"/>
  <c r="M378" i="1"/>
  <c r="K384" i="1"/>
  <c r="M384" i="1"/>
  <c r="K383" i="1"/>
  <c r="M383" i="1"/>
  <c r="K382" i="1"/>
  <c r="M382" i="1"/>
  <c r="K390" i="1"/>
  <c r="M390" i="1"/>
  <c r="K389" i="1"/>
  <c r="M389" i="1"/>
  <c r="K388" i="1"/>
  <c r="M388" i="1"/>
  <c r="K387" i="1"/>
  <c r="M387" i="1"/>
  <c r="K394" i="1"/>
  <c r="M394" i="1"/>
  <c r="K393" i="1"/>
  <c r="M393" i="1"/>
  <c r="K392" i="1"/>
  <c r="M392" i="1"/>
  <c r="K401" i="1"/>
  <c r="M401" i="1"/>
  <c r="K400" i="1"/>
  <c r="M400" i="1"/>
  <c r="K399" i="1"/>
  <c r="M399" i="1"/>
  <c r="K398" i="1"/>
  <c r="M398" i="1"/>
  <c r="K397" i="1"/>
  <c r="M397" i="1"/>
  <c r="K406" i="1"/>
  <c r="M406" i="1"/>
  <c r="K405" i="1"/>
  <c r="M405" i="1"/>
  <c r="K404" i="1"/>
  <c r="M404" i="1"/>
  <c r="K403" i="1"/>
  <c r="M403" i="1"/>
  <c r="K412" i="1"/>
  <c r="M412" i="1"/>
  <c r="K411" i="1"/>
  <c r="M411" i="1"/>
  <c r="K410" i="1"/>
  <c r="M410" i="1"/>
  <c r="K409" i="1"/>
  <c r="M409" i="1"/>
  <c r="K422" i="1"/>
  <c r="M422" i="1"/>
  <c r="K421" i="1"/>
  <c r="M421" i="1"/>
  <c r="K420" i="1"/>
  <c r="M420" i="1"/>
  <c r="K419" i="1"/>
  <c r="M419" i="1"/>
  <c r="K418" i="1"/>
  <c r="M418" i="1"/>
  <c r="K417" i="1"/>
  <c r="M417" i="1"/>
  <c r="K416" i="1"/>
  <c r="M416" i="1"/>
  <c r="K415" i="1"/>
  <c r="M415" i="1"/>
  <c r="K414" i="1"/>
  <c r="M414" i="1"/>
  <c r="K432" i="1"/>
  <c r="M432" i="1"/>
  <c r="K431" i="1"/>
  <c r="M431" i="1"/>
  <c r="K430" i="1"/>
  <c r="M430" i="1"/>
  <c r="K429" i="1"/>
  <c r="M429" i="1"/>
  <c r="K428" i="1"/>
  <c r="M428" i="1"/>
  <c r="K427" i="1"/>
  <c r="M427" i="1"/>
  <c r="K426" i="1"/>
  <c r="M426" i="1"/>
  <c r="K425" i="1"/>
  <c r="M425" i="1"/>
  <c r="K424" i="1"/>
  <c r="M424" i="1"/>
  <c r="K423" i="1"/>
  <c r="M423" i="1"/>
  <c r="K439" i="1"/>
  <c r="M439" i="1"/>
  <c r="K438" i="1"/>
  <c r="M438" i="1"/>
  <c r="K437" i="1"/>
  <c r="M437" i="1"/>
  <c r="K436" i="1"/>
  <c r="M436" i="1"/>
  <c r="K435" i="1"/>
  <c r="M435" i="1"/>
  <c r="K434" i="1"/>
  <c r="M434" i="1"/>
  <c r="K433" i="1"/>
  <c r="M433" i="1"/>
  <c r="K448" i="1"/>
  <c r="M448" i="1"/>
  <c r="K447" i="1"/>
  <c r="M447" i="1"/>
  <c r="K446" i="1"/>
  <c r="M446" i="1"/>
  <c r="K445" i="1"/>
  <c r="M445" i="1"/>
  <c r="K444" i="1"/>
  <c r="M444" i="1"/>
  <c r="K443" i="1"/>
  <c r="M443" i="1"/>
  <c r="K442" i="1"/>
  <c r="M442" i="1"/>
  <c r="K441" i="1"/>
  <c r="M441" i="1"/>
  <c r="K440" i="1"/>
  <c r="M440" i="1"/>
  <c r="K456" i="1"/>
  <c r="M456" i="1"/>
  <c r="K455" i="1"/>
  <c r="M455" i="1"/>
  <c r="K454" i="1"/>
  <c r="M454" i="1"/>
  <c r="K453" i="1"/>
  <c r="M453" i="1"/>
  <c r="K452" i="1"/>
  <c r="M452" i="1"/>
  <c r="K451" i="1"/>
  <c r="M451" i="1"/>
  <c r="K450" i="1"/>
  <c r="M450" i="1"/>
  <c r="K449" i="1"/>
  <c r="M449" i="1"/>
  <c r="K465" i="1"/>
  <c r="M465" i="1"/>
  <c r="K464" i="1"/>
  <c r="M464" i="1"/>
  <c r="K463" i="1"/>
  <c r="M463" i="1"/>
  <c r="K462" i="1"/>
  <c r="M462" i="1"/>
  <c r="K461" i="1"/>
  <c r="M461" i="1"/>
  <c r="K460" i="1"/>
  <c r="M460" i="1"/>
  <c r="K459" i="1"/>
  <c r="M459" i="1"/>
  <c r="K458" i="1"/>
  <c r="M458" i="1"/>
  <c r="K457" i="1"/>
  <c r="M457" i="1"/>
  <c r="K470" i="1"/>
  <c r="M470" i="1"/>
  <c r="K469" i="1"/>
  <c r="M469" i="1"/>
  <c r="K468" i="1"/>
  <c r="M468" i="1"/>
  <c r="K467" i="1"/>
  <c r="M467" i="1"/>
  <c r="K466" i="1"/>
  <c r="M466" i="1"/>
  <c r="K481" i="1"/>
  <c r="M481" i="1"/>
  <c r="K480" i="1"/>
  <c r="M480" i="1"/>
  <c r="K479" i="1"/>
  <c r="M479" i="1"/>
  <c r="K478" i="1"/>
  <c r="M478" i="1"/>
  <c r="K477" i="1"/>
  <c r="M477" i="1"/>
  <c r="K476" i="1"/>
  <c r="M476" i="1"/>
  <c r="K475" i="1"/>
  <c r="M475" i="1"/>
  <c r="K474" i="1"/>
  <c r="M474" i="1"/>
  <c r="K473" i="1"/>
  <c r="M473" i="1"/>
  <c r="K472" i="1"/>
  <c r="M472" i="1"/>
  <c r="K471" i="1"/>
  <c r="M471" i="1"/>
  <c r="K490" i="1"/>
  <c r="M490" i="1"/>
  <c r="K489" i="1"/>
  <c r="M489" i="1"/>
  <c r="K488" i="1"/>
  <c r="M488" i="1"/>
  <c r="K487" i="1"/>
  <c r="M487" i="1"/>
  <c r="K486" i="1"/>
  <c r="M486" i="1"/>
  <c r="K485" i="1"/>
  <c r="M485" i="1"/>
  <c r="K493" i="1"/>
  <c r="M493" i="1"/>
  <c r="K492" i="1"/>
  <c r="M492" i="1"/>
  <c r="K491" i="1"/>
  <c r="M491" i="1"/>
  <c r="K498" i="1"/>
  <c r="M498" i="1"/>
  <c r="K497" i="1"/>
  <c r="M497" i="1"/>
  <c r="K496" i="1"/>
  <c r="M496" i="1"/>
  <c r="K495" i="1"/>
  <c r="M495" i="1"/>
  <c r="K505" i="1"/>
  <c r="M505" i="1"/>
  <c r="K504" i="1"/>
  <c r="M504" i="1"/>
  <c r="K503" i="1"/>
  <c r="M503" i="1"/>
  <c r="K502" i="1"/>
  <c r="M502" i="1"/>
  <c r="K501" i="1"/>
  <c r="M501" i="1"/>
  <c r="K511" i="1"/>
  <c r="M511" i="1"/>
  <c r="K510" i="1"/>
  <c r="M510" i="1"/>
  <c r="K509" i="1"/>
  <c r="M509" i="1"/>
  <c r="K508" i="1"/>
  <c r="M508" i="1"/>
  <c r="K518" i="1"/>
  <c r="M518" i="1"/>
  <c r="K517" i="1"/>
  <c r="M517" i="1"/>
  <c r="K516" i="1"/>
  <c r="M516" i="1"/>
  <c r="K515" i="1"/>
  <c r="M515" i="1"/>
  <c r="K514" i="1"/>
  <c r="M514" i="1"/>
  <c r="K526" i="1"/>
  <c r="M526" i="1"/>
  <c r="K525" i="1"/>
  <c r="M525" i="1"/>
  <c r="K524" i="1"/>
  <c r="M524" i="1"/>
  <c r="K523" i="1"/>
  <c r="M523" i="1"/>
  <c r="K522" i="1"/>
  <c r="M522" i="1"/>
  <c r="K530" i="1"/>
  <c r="M530" i="1"/>
  <c r="K529" i="1"/>
  <c r="M529" i="1"/>
  <c r="K528" i="1"/>
  <c r="M528" i="1"/>
  <c r="K527" i="1"/>
  <c r="M527" i="1"/>
  <c r="K538" i="1"/>
  <c r="M538" i="1"/>
  <c r="K537" i="1"/>
  <c r="M537" i="1"/>
  <c r="K536" i="1"/>
  <c r="M536" i="1"/>
  <c r="K535" i="1"/>
  <c r="M535" i="1"/>
  <c r="K534" i="1"/>
  <c r="M534" i="1"/>
  <c r="K533" i="1"/>
  <c r="M533" i="1"/>
  <c r="K544" i="1"/>
  <c r="M544" i="1"/>
  <c r="K543" i="1"/>
  <c r="M543" i="1"/>
  <c r="K542" i="1"/>
  <c r="M542" i="1"/>
  <c r="K541" i="1"/>
  <c r="M541" i="1"/>
  <c r="K540" i="1"/>
  <c r="M540" i="1"/>
  <c r="K549" i="1"/>
  <c r="M549" i="1"/>
  <c r="K548" i="1"/>
  <c r="M548" i="1"/>
  <c r="K547" i="1"/>
  <c r="M547" i="1"/>
  <c r="K546" i="1"/>
  <c r="M546" i="1"/>
  <c r="K553" i="1"/>
  <c r="M553" i="1"/>
  <c r="K552" i="1"/>
  <c r="M552" i="1"/>
  <c r="K551" i="1"/>
  <c r="M551" i="1"/>
  <c r="K550" i="1"/>
  <c r="M550" i="1"/>
  <c r="K557" i="1"/>
  <c r="M557" i="1"/>
  <c r="K556" i="1"/>
  <c r="M556" i="1"/>
  <c r="K555" i="1"/>
  <c r="M555" i="1"/>
  <c r="K554" i="1"/>
  <c r="M554" i="1"/>
  <c r="K561" i="1"/>
  <c r="M561" i="1"/>
  <c r="K560" i="1"/>
  <c r="M560" i="1"/>
  <c r="K559" i="1"/>
  <c r="M559" i="1"/>
  <c r="K565" i="1"/>
  <c r="M565" i="1"/>
  <c r="K564" i="1"/>
  <c r="M564" i="1"/>
  <c r="K563" i="1"/>
  <c r="M563" i="1"/>
  <c r="K573" i="1"/>
  <c r="M573" i="1"/>
  <c r="K572" i="1"/>
  <c r="M572" i="1"/>
  <c r="K571" i="1"/>
  <c r="M571" i="1"/>
  <c r="K570" i="1"/>
  <c r="M570" i="1"/>
  <c r="K569" i="1"/>
  <c r="M569" i="1"/>
  <c r="K568" i="1"/>
  <c r="M568" i="1"/>
  <c r="K567" i="1"/>
  <c r="M567" i="1"/>
  <c r="K582" i="1"/>
  <c r="M582" i="1"/>
  <c r="K581" i="1"/>
  <c r="M581" i="1"/>
  <c r="K580" i="1"/>
  <c r="M580" i="1"/>
  <c r="K579" i="1"/>
  <c r="M579" i="1"/>
  <c r="K578" i="1"/>
  <c r="M578" i="1"/>
  <c r="K577" i="1"/>
  <c r="M577" i="1"/>
  <c r="K576" i="1"/>
  <c r="M576" i="1"/>
  <c r="K588" i="1"/>
  <c r="M588" i="1"/>
  <c r="K587" i="1"/>
  <c r="M587" i="1"/>
  <c r="K586" i="1"/>
  <c r="M586" i="1"/>
  <c r="K585" i="1"/>
  <c r="M585" i="1"/>
  <c r="K584" i="1"/>
  <c r="M584" i="1"/>
  <c r="K583" i="1"/>
  <c r="M583" i="1"/>
  <c r="K594" i="1"/>
  <c r="M594" i="1"/>
  <c r="K593" i="1"/>
  <c r="M593" i="1"/>
  <c r="K592" i="1"/>
  <c r="M592" i="1"/>
  <c r="K591" i="1"/>
  <c r="M591" i="1"/>
  <c r="K590" i="1"/>
  <c r="M590" i="1"/>
  <c r="K589" i="1"/>
  <c r="M589" i="1"/>
  <c r="K598" i="1"/>
  <c r="M598" i="1"/>
  <c r="K597" i="1"/>
  <c r="M597" i="1"/>
  <c r="K596" i="1"/>
  <c r="M596" i="1"/>
  <c r="K595" i="1"/>
  <c r="M595" i="1"/>
  <c r="K601" i="1"/>
  <c r="M601" i="1"/>
  <c r="K600" i="1"/>
  <c r="M600" i="1"/>
  <c r="K599" i="1"/>
  <c r="M599" i="1"/>
  <c r="K605" i="1"/>
  <c r="M605" i="1"/>
  <c r="K604" i="1"/>
  <c r="M604" i="1"/>
  <c r="K603" i="1"/>
  <c r="M603" i="1"/>
  <c r="K602" i="1"/>
  <c r="M602" i="1"/>
  <c r="K610" i="1"/>
  <c r="M610" i="1"/>
  <c r="K609" i="1"/>
  <c r="M609" i="1"/>
  <c r="K608" i="1"/>
  <c r="M608" i="1"/>
  <c r="K607" i="1"/>
  <c r="M607" i="1"/>
  <c r="K606" i="1"/>
  <c r="M606" i="1"/>
  <c r="K618" i="1"/>
  <c r="M618" i="1"/>
  <c r="K617" i="1"/>
  <c r="M617" i="1"/>
  <c r="K616" i="1"/>
  <c r="M616" i="1"/>
  <c r="K615" i="1"/>
  <c r="M615" i="1"/>
  <c r="K614" i="1"/>
  <c r="M614" i="1"/>
  <c r="K613" i="1"/>
  <c r="M613" i="1"/>
  <c r="K612" i="1"/>
  <c r="M612" i="1"/>
  <c r="K611" i="1"/>
  <c r="M611" i="1"/>
  <c r="K620" i="1"/>
  <c r="M620" i="1"/>
  <c r="K619" i="1"/>
  <c r="M619" i="1"/>
  <c r="K627" i="1"/>
  <c r="M627" i="1"/>
  <c r="K626" i="1"/>
  <c r="M626" i="1"/>
  <c r="K625" i="1"/>
  <c r="M625" i="1"/>
  <c r="K624" i="1"/>
  <c r="M624" i="1"/>
  <c r="K629" i="1"/>
  <c r="M629" i="1"/>
  <c r="K628" i="1"/>
  <c r="M628" i="1"/>
  <c r="K635" i="1"/>
  <c r="M635" i="1"/>
  <c r="K634" i="1"/>
  <c r="M634" i="1"/>
  <c r="K633" i="1"/>
  <c r="M633" i="1"/>
  <c r="K632" i="1"/>
  <c r="M632" i="1"/>
  <c r="K631" i="1"/>
  <c r="M631" i="1"/>
  <c r="K630" i="1"/>
  <c r="M630" i="1"/>
  <c r="K640" i="1"/>
  <c r="M640" i="1"/>
  <c r="K639" i="1"/>
  <c r="M639" i="1"/>
  <c r="K648" i="1"/>
  <c r="M648" i="1"/>
  <c r="K647" i="1"/>
  <c r="M647" i="1"/>
  <c r="K646" i="1"/>
  <c r="M646" i="1"/>
  <c r="K645" i="1"/>
  <c r="M645" i="1"/>
  <c r="K644" i="1"/>
  <c r="M644" i="1"/>
  <c r="K653" i="1"/>
  <c r="M653" i="1"/>
  <c r="K652" i="1"/>
  <c r="M652" i="1"/>
  <c r="K651" i="1"/>
  <c r="M651" i="1"/>
  <c r="K658" i="1"/>
  <c r="M658" i="1"/>
  <c r="K657" i="1"/>
  <c r="M657" i="1"/>
  <c r="K656" i="1"/>
  <c r="M656" i="1"/>
  <c r="K655" i="1"/>
  <c r="M655" i="1"/>
  <c r="K662" i="1"/>
  <c r="M662" i="1"/>
  <c r="K661" i="1"/>
  <c r="M661" i="1"/>
  <c r="K660" i="1"/>
  <c r="M660" i="1"/>
  <c r="K668" i="1"/>
  <c r="M668" i="1"/>
  <c r="K667" i="1"/>
  <c r="M667" i="1"/>
  <c r="K666" i="1"/>
  <c r="M666" i="1"/>
  <c r="K665" i="1"/>
  <c r="M665" i="1"/>
  <c r="K675" i="1"/>
  <c r="M675" i="1"/>
  <c r="K674" i="1"/>
  <c r="M674" i="1"/>
  <c r="K673" i="1"/>
  <c r="M673" i="1"/>
  <c r="K672" i="1"/>
  <c r="M672" i="1"/>
  <c r="K671" i="1"/>
  <c r="M671" i="1"/>
  <c r="K670" i="1"/>
  <c r="M670" i="1"/>
  <c r="K680" i="1"/>
  <c r="M680" i="1"/>
  <c r="K679" i="1"/>
  <c r="M679" i="1"/>
  <c r="K678" i="1"/>
  <c r="M678" i="1"/>
  <c r="K684" i="1"/>
  <c r="M684" i="1"/>
  <c r="K683" i="1"/>
  <c r="M683" i="1"/>
  <c r="K682" i="1"/>
  <c r="M682" i="1"/>
  <c r="K690" i="1"/>
  <c r="M690" i="1"/>
  <c r="K689" i="1"/>
  <c r="M689" i="1"/>
  <c r="K688" i="1"/>
  <c r="M688" i="1"/>
  <c r="K687" i="1"/>
  <c r="M687" i="1"/>
  <c r="K694" i="1"/>
  <c r="M694" i="1"/>
  <c r="K693" i="1"/>
  <c r="M693" i="1"/>
  <c r="K692" i="1"/>
  <c r="M692" i="1"/>
  <c r="K701" i="1"/>
  <c r="M701" i="1"/>
  <c r="K700" i="1"/>
  <c r="M700" i="1"/>
  <c r="K699" i="1"/>
  <c r="M699" i="1"/>
  <c r="K698" i="1"/>
  <c r="M698" i="1"/>
  <c r="K697" i="1"/>
  <c r="M697" i="1"/>
  <c r="K706" i="1"/>
  <c r="M706" i="1"/>
  <c r="K705" i="1"/>
  <c r="M705" i="1"/>
  <c r="K704" i="1"/>
  <c r="M704" i="1"/>
  <c r="K703" i="1"/>
  <c r="M703" i="1"/>
  <c r="K709" i="1"/>
  <c r="M709" i="1"/>
  <c r="K708" i="1"/>
  <c r="M708" i="1"/>
  <c r="K712" i="1"/>
  <c r="M712" i="1"/>
  <c r="K711" i="1"/>
  <c r="M711" i="1"/>
  <c r="K710" i="1"/>
  <c r="M710" i="1"/>
  <c r="K722" i="1"/>
  <c r="M722" i="1"/>
  <c r="K721" i="1"/>
  <c r="M721" i="1"/>
  <c r="K720" i="1"/>
  <c r="M720" i="1"/>
  <c r="K719" i="1"/>
  <c r="M719" i="1"/>
  <c r="K718" i="1"/>
  <c r="M718" i="1"/>
  <c r="K717" i="1"/>
  <c r="M717" i="1"/>
  <c r="K716" i="1"/>
  <c r="M716" i="1"/>
  <c r="K715" i="1"/>
  <c r="M715" i="1"/>
  <c r="K714" i="1"/>
  <c r="M714" i="1"/>
  <c r="K732" i="1"/>
  <c r="M732" i="1"/>
  <c r="K731" i="1"/>
  <c r="M731" i="1"/>
  <c r="K730" i="1"/>
  <c r="M730" i="1"/>
  <c r="K729" i="1"/>
  <c r="M729" i="1"/>
  <c r="K728" i="1"/>
  <c r="M728" i="1"/>
  <c r="K727" i="1"/>
  <c r="M727" i="1"/>
  <c r="K726" i="1"/>
  <c r="M726" i="1"/>
  <c r="K725" i="1"/>
  <c r="M725" i="1"/>
  <c r="K724" i="1"/>
  <c r="M724" i="1"/>
  <c r="K723" i="1"/>
  <c r="M723" i="1"/>
  <c r="K739" i="1"/>
  <c r="M739" i="1"/>
  <c r="K738" i="1"/>
  <c r="M738" i="1"/>
  <c r="K737" i="1"/>
  <c r="M737" i="1"/>
  <c r="K736" i="1"/>
  <c r="M736" i="1"/>
  <c r="K735" i="1"/>
  <c r="M735" i="1"/>
  <c r="K734" i="1"/>
  <c r="M734" i="1"/>
  <c r="K733" i="1"/>
  <c r="M733" i="1"/>
  <c r="K748" i="1"/>
  <c r="M748" i="1"/>
  <c r="K747" i="1"/>
  <c r="M747" i="1"/>
  <c r="K746" i="1"/>
  <c r="M746" i="1"/>
  <c r="K745" i="1"/>
  <c r="M745" i="1"/>
  <c r="K744" i="1"/>
  <c r="M744" i="1"/>
  <c r="K743" i="1"/>
  <c r="M743" i="1"/>
  <c r="K742" i="1"/>
  <c r="M742" i="1"/>
  <c r="K741" i="1"/>
  <c r="M741" i="1"/>
  <c r="K740" i="1"/>
  <c r="M740" i="1"/>
  <c r="K756" i="1"/>
  <c r="M756" i="1"/>
  <c r="K755" i="1"/>
  <c r="M755" i="1"/>
  <c r="K754" i="1"/>
  <c r="M754" i="1"/>
  <c r="K753" i="1"/>
  <c r="M753" i="1"/>
  <c r="K752" i="1"/>
  <c r="M752" i="1"/>
  <c r="K751" i="1"/>
  <c r="M751" i="1"/>
  <c r="K750" i="1"/>
  <c r="M750" i="1"/>
  <c r="K749" i="1"/>
  <c r="M749" i="1"/>
  <c r="K765" i="1"/>
  <c r="M765" i="1"/>
  <c r="K764" i="1"/>
  <c r="M764" i="1"/>
  <c r="K763" i="1"/>
  <c r="M763" i="1"/>
  <c r="K762" i="1"/>
  <c r="M762" i="1"/>
  <c r="K761" i="1"/>
  <c r="M761" i="1"/>
  <c r="K760" i="1"/>
  <c r="M760" i="1"/>
  <c r="K759" i="1"/>
  <c r="M759" i="1"/>
  <c r="K758" i="1"/>
  <c r="M758" i="1"/>
  <c r="K757" i="1"/>
  <c r="M757" i="1"/>
  <c r="K770" i="1"/>
  <c r="M770" i="1"/>
  <c r="K769" i="1"/>
  <c r="M769" i="1"/>
  <c r="K768" i="1"/>
  <c r="M768" i="1"/>
  <c r="K767" i="1"/>
  <c r="M767" i="1"/>
  <c r="K766" i="1"/>
  <c r="M766" i="1"/>
  <c r="K773" i="1"/>
  <c r="M773" i="1"/>
  <c r="K772" i="1"/>
  <c r="M772" i="1"/>
  <c r="K771" i="1"/>
  <c r="M771" i="1"/>
  <c r="K782" i="1"/>
  <c r="M782" i="1"/>
  <c r="K781" i="1"/>
  <c r="M781" i="1"/>
  <c r="K780" i="1"/>
  <c r="M780" i="1"/>
  <c r="K779" i="1"/>
  <c r="M779" i="1"/>
  <c r="K778" i="1"/>
  <c r="M778" i="1"/>
  <c r="K777" i="1"/>
  <c r="M777" i="1"/>
  <c r="K776" i="1"/>
  <c r="M776" i="1"/>
  <c r="K775" i="1"/>
  <c r="M775" i="1"/>
  <c r="K774" i="1"/>
  <c r="M774" i="1"/>
  <c r="K790" i="1"/>
  <c r="M790" i="1"/>
  <c r="K789" i="1"/>
  <c r="M789" i="1"/>
  <c r="K788" i="1"/>
  <c r="M788" i="1"/>
  <c r="K787" i="1"/>
  <c r="M787" i="1"/>
  <c r="K786" i="1"/>
  <c r="M786" i="1"/>
  <c r="K785" i="1"/>
  <c r="M785" i="1"/>
  <c r="K793" i="1"/>
  <c r="M793" i="1"/>
  <c r="K792" i="1"/>
  <c r="M792" i="1"/>
  <c r="K791" i="1"/>
  <c r="M791" i="1"/>
  <c r="K798" i="1"/>
  <c r="M798" i="1"/>
  <c r="K797" i="1"/>
  <c r="M797" i="1"/>
  <c r="K796" i="1"/>
  <c r="M796" i="1"/>
  <c r="K795" i="1"/>
  <c r="M795" i="1"/>
  <c r="K803" i="1"/>
  <c r="M803" i="1"/>
  <c r="K802" i="1"/>
  <c r="M802" i="1"/>
  <c r="K801" i="1"/>
  <c r="M801" i="1"/>
  <c r="K806" i="1"/>
  <c r="M806" i="1"/>
  <c r="K805" i="1"/>
  <c r="M805" i="1"/>
  <c r="K804" i="1"/>
  <c r="M804" i="1"/>
  <c r="K811" i="1"/>
  <c r="M811" i="1"/>
  <c r="K810" i="1"/>
  <c r="M810" i="1"/>
  <c r="K809" i="1"/>
  <c r="M809" i="1"/>
  <c r="K808" i="1"/>
  <c r="M808" i="1"/>
  <c r="K818" i="1"/>
  <c r="M818" i="1"/>
  <c r="K817" i="1"/>
  <c r="M817" i="1"/>
  <c r="K816" i="1"/>
  <c r="M816" i="1"/>
  <c r="K815" i="1"/>
  <c r="M815" i="1"/>
  <c r="K814" i="1"/>
  <c r="M814" i="1"/>
  <c r="K824" i="1"/>
  <c r="M824" i="1"/>
  <c r="K823" i="1"/>
  <c r="M823" i="1"/>
  <c r="K822" i="1"/>
  <c r="M822" i="1"/>
  <c r="K830" i="1"/>
  <c r="M830" i="1"/>
  <c r="K829" i="1"/>
  <c r="M829" i="1"/>
  <c r="K828" i="1"/>
  <c r="M828" i="1"/>
  <c r="K827" i="1"/>
  <c r="M827" i="1"/>
  <c r="K826" i="1"/>
  <c r="M826" i="1"/>
  <c r="K825" i="1"/>
  <c r="M825" i="1"/>
  <c r="K838" i="1"/>
  <c r="M838" i="1"/>
  <c r="K837" i="1"/>
  <c r="M837" i="1"/>
  <c r="K836" i="1"/>
  <c r="M836" i="1"/>
  <c r="K835" i="1"/>
  <c r="M835" i="1"/>
  <c r="K834" i="1"/>
  <c r="M834" i="1"/>
  <c r="K833" i="1"/>
  <c r="M833" i="1"/>
  <c r="K844" i="1"/>
  <c r="M844" i="1"/>
  <c r="K843" i="1"/>
  <c r="M843" i="1"/>
  <c r="K842" i="1"/>
  <c r="M842" i="1"/>
  <c r="K841" i="1"/>
  <c r="M841" i="1"/>
  <c r="K840" i="1"/>
  <c r="M840" i="1"/>
  <c r="K849" i="1"/>
  <c r="M849" i="1"/>
  <c r="K848" i="1"/>
  <c r="M848" i="1"/>
  <c r="K847" i="1"/>
  <c r="M847" i="1"/>
  <c r="K846" i="1"/>
  <c r="M846" i="1"/>
  <c r="K853" i="1"/>
  <c r="M853" i="1"/>
  <c r="K852" i="1"/>
  <c r="M852" i="1"/>
  <c r="K851" i="1"/>
  <c r="M851" i="1"/>
  <c r="K850" i="1"/>
  <c r="M850" i="1"/>
  <c r="K855" i="1"/>
  <c r="M855" i="1"/>
  <c r="K854" i="1"/>
  <c r="M854" i="1"/>
  <c r="K858" i="1"/>
  <c r="M858" i="1"/>
  <c r="K857" i="1"/>
  <c r="M857" i="1"/>
  <c r="K856" i="1"/>
  <c r="M856" i="1"/>
  <c r="K861" i="1"/>
  <c r="M861" i="1"/>
  <c r="K860" i="1"/>
  <c r="M860" i="1"/>
  <c r="K859" i="1"/>
  <c r="M859" i="1"/>
  <c r="K865" i="1"/>
  <c r="M865" i="1"/>
  <c r="K864" i="1"/>
  <c r="M864" i="1"/>
  <c r="K863" i="1"/>
  <c r="M863" i="1"/>
  <c r="K873" i="1"/>
  <c r="M873" i="1"/>
  <c r="K872" i="1"/>
  <c r="M872" i="1"/>
  <c r="K871" i="1"/>
  <c r="M871" i="1"/>
  <c r="K870" i="1"/>
  <c r="M870" i="1"/>
  <c r="K869" i="1"/>
  <c r="M869" i="1"/>
  <c r="K868" i="1"/>
  <c r="M868" i="1"/>
  <c r="K867" i="1"/>
  <c r="M867" i="1"/>
  <c r="K882" i="1"/>
  <c r="M882" i="1"/>
  <c r="K881" i="1"/>
  <c r="M881" i="1"/>
  <c r="K880" i="1"/>
  <c r="M880" i="1"/>
  <c r="K879" i="1"/>
  <c r="M879" i="1"/>
  <c r="K878" i="1"/>
  <c r="M878" i="1"/>
  <c r="K877" i="1"/>
  <c r="M877" i="1"/>
  <c r="K876" i="1"/>
  <c r="M876" i="1"/>
  <c r="K886" i="1"/>
  <c r="M886" i="1"/>
  <c r="K885" i="1"/>
  <c r="M885" i="1"/>
  <c r="K884" i="1"/>
  <c r="M884" i="1"/>
  <c r="K883" i="1"/>
  <c r="M883" i="1"/>
  <c r="K894" i="1"/>
  <c r="M894" i="1"/>
  <c r="K893" i="1"/>
  <c r="M893" i="1"/>
  <c r="K892" i="1"/>
  <c r="M892" i="1"/>
  <c r="K891" i="1"/>
  <c r="M891" i="1"/>
  <c r="K890" i="1"/>
  <c r="M890" i="1"/>
  <c r="K889" i="1"/>
  <c r="M889" i="1"/>
  <c r="K888" i="1"/>
  <c r="M888" i="1"/>
  <c r="K887" i="1"/>
  <c r="M887" i="1"/>
  <c r="K898" i="1"/>
  <c r="M898" i="1"/>
  <c r="K897" i="1"/>
  <c r="M897" i="1"/>
  <c r="K896" i="1"/>
  <c r="M896" i="1"/>
  <c r="K895" i="1"/>
  <c r="M895" i="1"/>
  <c r="K901" i="1"/>
  <c r="M901" i="1"/>
  <c r="K900" i="1"/>
  <c r="M900" i="1"/>
  <c r="K899" i="1"/>
  <c r="M899" i="1"/>
  <c r="K905" i="1"/>
  <c r="M905" i="1"/>
  <c r="K904" i="1"/>
  <c r="M904" i="1"/>
  <c r="K903" i="1"/>
  <c r="M903" i="1"/>
  <c r="K902" i="1"/>
  <c r="M902" i="1"/>
  <c r="K910" i="1"/>
  <c r="M910" i="1"/>
  <c r="K909" i="1"/>
  <c r="M909" i="1"/>
  <c r="K908" i="1"/>
  <c r="M908" i="1"/>
  <c r="K907" i="1"/>
  <c r="M907" i="1"/>
  <c r="K906" i="1"/>
  <c r="M906" i="1"/>
  <c r="K918" i="1"/>
  <c r="M918" i="1"/>
  <c r="K917" i="1"/>
  <c r="M917" i="1"/>
  <c r="K916" i="1"/>
  <c r="M916" i="1"/>
  <c r="K915" i="1"/>
  <c r="M915" i="1"/>
  <c r="K914" i="1"/>
  <c r="M914" i="1"/>
  <c r="K913" i="1"/>
  <c r="M913" i="1"/>
  <c r="K912" i="1"/>
  <c r="M912" i="1"/>
  <c r="K911" i="1"/>
  <c r="M911" i="1"/>
  <c r="K920" i="1"/>
  <c r="M920" i="1"/>
  <c r="K919" i="1"/>
  <c r="M919" i="1"/>
  <c r="K929" i="1"/>
  <c r="M929" i="1"/>
  <c r="K928" i="1"/>
  <c r="M928" i="1"/>
  <c r="K927" i="1"/>
  <c r="M927" i="1"/>
  <c r="K926" i="1"/>
  <c r="M926" i="1"/>
  <c r="K925" i="1"/>
  <c r="M925" i="1"/>
  <c r="K935" i="1"/>
  <c r="M935" i="1"/>
  <c r="K934" i="1"/>
  <c r="M934" i="1"/>
  <c r="K933" i="1"/>
  <c r="M933" i="1"/>
  <c r="K932" i="1"/>
  <c r="M932" i="1"/>
  <c r="K931" i="1"/>
  <c r="M931" i="1"/>
  <c r="K930" i="1"/>
  <c r="M930" i="1"/>
  <c r="K940" i="1"/>
  <c r="M940" i="1"/>
  <c r="K939" i="1"/>
  <c r="M939" i="1"/>
  <c r="K949" i="1"/>
  <c r="M949" i="1"/>
  <c r="K948" i="1"/>
  <c r="M948" i="1"/>
  <c r="K947" i="1"/>
  <c r="M947" i="1"/>
  <c r="K946" i="1"/>
  <c r="M946" i="1"/>
  <c r="K945" i="1"/>
  <c r="M945" i="1"/>
  <c r="K953" i="1"/>
  <c r="M953" i="1"/>
  <c r="K952" i="1"/>
  <c r="M952" i="1"/>
  <c r="K951" i="1"/>
  <c r="M951" i="1"/>
  <c r="K958" i="1"/>
  <c r="M958" i="1"/>
  <c r="K957" i="1"/>
  <c r="M957" i="1"/>
  <c r="K956" i="1"/>
  <c r="M956" i="1"/>
  <c r="K955" i="1"/>
  <c r="M955" i="1"/>
  <c r="K962" i="1"/>
  <c r="M962" i="1"/>
  <c r="K961" i="1"/>
  <c r="M961" i="1"/>
  <c r="K960" i="1"/>
  <c r="M960" i="1"/>
  <c r="K966" i="1"/>
  <c r="M966" i="1"/>
  <c r="K965" i="1"/>
  <c r="M965" i="1"/>
  <c r="K969" i="1"/>
  <c r="M969" i="1"/>
  <c r="K968" i="1"/>
  <c r="M968" i="1"/>
  <c r="K967" i="1"/>
  <c r="M967" i="1"/>
  <c r="K975" i="1"/>
  <c r="M975" i="1"/>
  <c r="K974" i="1"/>
  <c r="M974" i="1"/>
  <c r="K973" i="1"/>
  <c r="M973" i="1"/>
  <c r="K972" i="1"/>
  <c r="M972" i="1"/>
  <c r="K971" i="1"/>
  <c r="M971" i="1"/>
  <c r="K970" i="1"/>
  <c r="M970" i="1"/>
  <c r="K980" i="1"/>
  <c r="M980" i="1"/>
  <c r="K979" i="1"/>
  <c r="M979" i="1"/>
  <c r="K978" i="1"/>
  <c r="M978" i="1"/>
  <c r="K984" i="1"/>
  <c r="M984" i="1"/>
  <c r="K983" i="1"/>
  <c r="M983" i="1"/>
  <c r="K982" i="1"/>
  <c r="M982" i="1"/>
  <c r="K988" i="1"/>
  <c r="M988" i="1"/>
  <c r="K987" i="1"/>
  <c r="M987" i="1"/>
  <c r="K991" i="1"/>
  <c r="M991" i="1"/>
  <c r="K990" i="1"/>
  <c r="M990" i="1"/>
  <c r="K989" i="1"/>
  <c r="M989" i="1"/>
  <c r="K994" i="1"/>
  <c r="M994" i="1"/>
  <c r="K993" i="1"/>
  <c r="M993" i="1"/>
  <c r="K992" i="1"/>
  <c r="M992" i="1"/>
  <c r="K1001" i="1"/>
  <c r="M1001" i="1"/>
  <c r="K1000" i="1"/>
  <c r="M1000" i="1"/>
  <c r="K999" i="1"/>
  <c r="M999" i="1"/>
  <c r="K998" i="1"/>
  <c r="M998" i="1"/>
  <c r="K997" i="1"/>
  <c r="M997" i="1"/>
  <c r="K1006" i="1"/>
  <c r="M1006" i="1"/>
  <c r="K1005" i="1"/>
  <c r="M1005" i="1"/>
  <c r="K1004" i="1"/>
  <c r="M1004" i="1"/>
  <c r="K1003" i="1"/>
  <c r="M1003" i="1"/>
  <c r="K1009" i="1"/>
  <c r="M1009" i="1"/>
  <c r="K1008" i="1"/>
  <c r="M1008" i="1"/>
  <c r="K1013" i="1"/>
  <c r="M1013" i="1"/>
  <c r="K1012" i="1"/>
  <c r="M1012" i="1"/>
  <c r="K1011" i="1"/>
  <c r="M1011" i="1"/>
  <c r="K1022" i="1"/>
  <c r="M1022" i="1"/>
  <c r="K1021" i="1"/>
  <c r="M1021" i="1"/>
  <c r="K1020" i="1"/>
  <c r="M1020" i="1"/>
  <c r="K1019" i="1"/>
  <c r="M1019" i="1"/>
  <c r="K1018" i="1"/>
  <c r="M1018" i="1"/>
  <c r="K1017" i="1"/>
  <c r="M1017" i="1"/>
  <c r="K1016" i="1"/>
  <c r="M1016" i="1"/>
  <c r="K1015" i="1"/>
  <c r="M1015" i="1"/>
  <c r="K1014" i="1"/>
  <c r="M1014" i="1"/>
  <c r="K1032" i="1"/>
  <c r="M1032" i="1"/>
  <c r="K1031" i="1"/>
  <c r="M1031" i="1"/>
  <c r="K1030" i="1"/>
  <c r="M1030" i="1"/>
  <c r="K1029" i="1"/>
  <c r="M1029" i="1"/>
  <c r="K1028" i="1"/>
  <c r="M1028" i="1"/>
  <c r="K1027" i="1"/>
  <c r="M1027" i="1"/>
  <c r="K1026" i="1"/>
  <c r="M1026" i="1"/>
  <c r="K1025" i="1"/>
  <c r="M1025" i="1"/>
  <c r="K1024" i="1"/>
  <c r="M1024" i="1"/>
  <c r="K1023" i="1"/>
  <c r="M1023" i="1"/>
  <c r="K1039" i="1"/>
  <c r="M1039" i="1"/>
  <c r="K1038" i="1"/>
  <c r="M1038" i="1"/>
  <c r="K1037" i="1"/>
  <c r="M1037" i="1"/>
  <c r="K1036" i="1"/>
  <c r="M1036" i="1"/>
  <c r="K1035" i="1"/>
  <c r="M1035" i="1"/>
  <c r="K1034" i="1"/>
  <c r="M1034" i="1"/>
  <c r="K1033" i="1"/>
  <c r="M1033" i="1"/>
  <c r="K1048" i="1"/>
  <c r="M1048" i="1"/>
  <c r="K1047" i="1"/>
  <c r="M1047" i="1"/>
  <c r="K1046" i="1"/>
  <c r="M1046" i="1"/>
  <c r="K1045" i="1"/>
  <c r="M1045" i="1"/>
  <c r="K1044" i="1"/>
  <c r="M1044" i="1"/>
  <c r="K1043" i="1"/>
  <c r="M1043" i="1"/>
  <c r="K1042" i="1"/>
  <c r="M1042" i="1"/>
  <c r="K1041" i="1"/>
  <c r="M1041" i="1"/>
  <c r="K1040" i="1"/>
  <c r="M1040" i="1"/>
  <c r="K1056" i="1"/>
  <c r="M1056" i="1"/>
  <c r="K1055" i="1"/>
  <c r="M1055" i="1"/>
  <c r="K1054" i="1"/>
  <c r="M1054" i="1"/>
  <c r="K1053" i="1"/>
  <c r="M1053" i="1"/>
  <c r="K1052" i="1"/>
  <c r="M1052" i="1"/>
  <c r="K1051" i="1"/>
  <c r="M1051" i="1"/>
  <c r="K1050" i="1"/>
  <c r="M1050" i="1"/>
  <c r="K1049" i="1"/>
  <c r="M1049" i="1"/>
  <c r="K1065" i="1"/>
  <c r="M1065" i="1"/>
  <c r="K1064" i="1"/>
  <c r="M1064" i="1"/>
  <c r="K1063" i="1"/>
  <c r="M1063" i="1"/>
  <c r="K1062" i="1"/>
  <c r="M1062" i="1"/>
  <c r="K1061" i="1"/>
  <c r="M1061" i="1"/>
  <c r="K1060" i="1"/>
  <c r="M1060" i="1"/>
  <c r="K1059" i="1"/>
  <c r="M1059" i="1"/>
  <c r="K1058" i="1"/>
  <c r="M1058" i="1"/>
  <c r="K1057" i="1"/>
  <c r="M1057" i="1"/>
  <c r="K1070" i="1"/>
  <c r="M1070" i="1"/>
  <c r="K1069" i="1"/>
  <c r="M1069" i="1"/>
  <c r="K1068" i="1"/>
  <c r="M1068" i="1"/>
  <c r="K1067" i="1"/>
  <c r="M1067" i="1"/>
  <c r="K1066" i="1"/>
  <c r="M1066" i="1"/>
  <c r="K1073" i="1"/>
  <c r="M1073" i="1"/>
  <c r="K1072" i="1"/>
  <c r="M1072" i="1"/>
  <c r="K1071" i="1"/>
  <c r="M1071" i="1"/>
  <c r="K1075" i="1"/>
  <c r="M1075" i="1"/>
  <c r="K1074" i="1"/>
  <c r="M1074" i="1"/>
  <c r="K1083" i="1"/>
  <c r="M1083" i="1"/>
  <c r="K1082" i="1"/>
  <c r="M1082" i="1"/>
  <c r="K1081" i="1"/>
  <c r="M1081" i="1"/>
  <c r="K1080" i="1"/>
  <c r="M1080" i="1"/>
  <c r="K1079" i="1"/>
  <c r="M1079" i="1"/>
  <c r="K1078" i="1"/>
  <c r="M1078" i="1"/>
  <c r="K1077" i="1"/>
  <c r="M1077" i="1"/>
  <c r="K1076" i="1"/>
  <c r="M1076" i="1"/>
  <c r="K1090" i="1"/>
  <c r="M1090" i="1"/>
  <c r="K1089" i="1"/>
  <c r="M1089" i="1"/>
  <c r="K1088" i="1"/>
  <c r="M1088" i="1"/>
  <c r="K1087" i="1"/>
  <c r="M1087" i="1"/>
  <c r="K1086" i="1"/>
  <c r="M1086" i="1"/>
  <c r="K1085" i="1"/>
  <c r="M1085" i="1"/>
  <c r="K1093" i="1"/>
  <c r="M1093" i="1"/>
  <c r="K1092" i="1"/>
  <c r="M1092" i="1"/>
  <c r="K1091" i="1"/>
  <c r="M1091" i="1"/>
  <c r="K1098" i="1"/>
  <c r="M1098" i="1"/>
  <c r="K1097" i="1"/>
  <c r="M1097" i="1"/>
  <c r="K1096" i="1"/>
  <c r="M1096" i="1"/>
  <c r="K1095" i="1"/>
  <c r="M1095" i="1"/>
  <c r="K1103" i="1"/>
  <c r="M1103" i="1"/>
  <c r="K1102" i="1"/>
  <c r="M1102" i="1"/>
  <c r="K1101" i="1"/>
  <c r="M1101" i="1"/>
  <c r="K1107" i="1"/>
  <c r="M1107" i="1"/>
  <c r="K1106" i="1"/>
  <c r="M1106" i="1"/>
  <c r="K1105" i="1"/>
  <c r="M1105" i="1"/>
  <c r="K1111" i="1"/>
  <c r="M1111" i="1"/>
  <c r="K1110" i="1"/>
  <c r="M1110" i="1"/>
  <c r="K1109" i="1"/>
  <c r="M1109" i="1"/>
  <c r="K1108" i="1"/>
  <c r="M1108" i="1"/>
  <c r="K1118" i="1"/>
  <c r="M1118" i="1"/>
  <c r="K1117" i="1"/>
  <c r="M1117" i="1"/>
  <c r="K1116" i="1"/>
  <c r="M1116" i="1"/>
  <c r="K1115" i="1"/>
  <c r="M1115" i="1"/>
  <c r="K1114" i="1"/>
  <c r="M1114" i="1"/>
  <c r="K1124" i="1"/>
  <c r="M1124" i="1"/>
  <c r="K1123" i="1"/>
  <c r="M1123" i="1"/>
  <c r="K1122" i="1"/>
  <c r="M1122" i="1"/>
  <c r="K1126" i="1"/>
  <c r="M1126" i="1"/>
  <c r="K1125" i="1"/>
  <c r="M1125" i="1"/>
  <c r="K1131" i="1"/>
  <c r="M1131" i="1"/>
  <c r="K1130" i="1"/>
  <c r="M1130" i="1"/>
  <c r="K1129" i="1"/>
  <c r="M1129" i="1"/>
  <c r="K1128" i="1"/>
  <c r="M1128" i="1"/>
  <c r="K1127" i="1"/>
  <c r="M1127" i="1"/>
  <c r="K1138" i="1"/>
  <c r="M1138" i="1"/>
  <c r="K1137" i="1"/>
  <c r="M1137" i="1"/>
  <c r="K1136" i="1"/>
  <c r="M1136" i="1"/>
  <c r="K1135" i="1"/>
  <c r="M1135" i="1"/>
  <c r="K1134" i="1"/>
  <c r="M1134" i="1"/>
  <c r="K1133" i="1"/>
  <c r="M1133" i="1"/>
  <c r="K1144" i="1"/>
  <c r="M1144" i="1"/>
  <c r="K1143" i="1"/>
  <c r="M1143" i="1"/>
  <c r="K1142" i="1"/>
  <c r="M1142" i="1"/>
  <c r="K1141" i="1"/>
  <c r="M1141" i="1"/>
  <c r="K1140" i="1"/>
  <c r="M1140" i="1"/>
  <c r="K1149" i="1"/>
  <c r="M1149" i="1"/>
  <c r="K1148" i="1"/>
  <c r="M1148" i="1"/>
  <c r="K1147" i="1"/>
  <c r="M1147" i="1"/>
  <c r="K1146" i="1"/>
  <c r="M1146" i="1"/>
  <c r="K1153" i="1"/>
  <c r="M1153" i="1"/>
  <c r="K1152" i="1"/>
  <c r="M1152" i="1"/>
  <c r="K1151" i="1"/>
  <c r="M1151" i="1"/>
  <c r="K1150" i="1"/>
  <c r="M1150" i="1"/>
  <c r="K1155" i="1"/>
  <c r="M1155" i="1"/>
  <c r="K1154" i="1"/>
  <c r="M1154" i="1"/>
  <c r="K1161" i="1"/>
  <c r="M1161" i="1"/>
  <c r="K1160" i="1"/>
  <c r="M1160" i="1"/>
  <c r="K1159" i="1"/>
  <c r="M1159" i="1"/>
  <c r="K1158" i="1"/>
  <c r="M1158" i="1"/>
  <c r="K1157" i="1"/>
  <c r="M1157" i="1"/>
  <c r="K1165" i="1"/>
  <c r="M1165" i="1"/>
  <c r="K1164" i="1"/>
  <c r="M1164" i="1"/>
  <c r="K1163" i="1"/>
  <c r="M1163" i="1"/>
  <c r="K1173" i="1"/>
  <c r="M1173" i="1"/>
  <c r="K1172" i="1"/>
  <c r="M1172" i="1"/>
  <c r="K1171" i="1"/>
  <c r="M1171" i="1"/>
  <c r="K1170" i="1"/>
  <c r="M1170" i="1"/>
  <c r="K1169" i="1"/>
  <c r="M1169" i="1"/>
  <c r="K1168" i="1"/>
  <c r="M1168" i="1"/>
  <c r="K1167" i="1"/>
  <c r="M1167" i="1"/>
  <c r="K1182" i="1"/>
  <c r="M1182" i="1"/>
  <c r="K1181" i="1"/>
  <c r="M1181" i="1"/>
  <c r="K1180" i="1"/>
  <c r="M1180" i="1"/>
  <c r="K1179" i="1"/>
  <c r="M1179" i="1"/>
  <c r="K1178" i="1"/>
  <c r="M1178" i="1"/>
  <c r="K1177" i="1"/>
  <c r="M1177" i="1"/>
  <c r="K1176" i="1"/>
  <c r="M1176" i="1"/>
  <c r="K1186" i="1"/>
  <c r="M1186" i="1"/>
  <c r="K1185" i="1"/>
  <c r="M1185" i="1"/>
  <c r="K1184" i="1"/>
  <c r="M1184" i="1"/>
  <c r="K1183" i="1"/>
  <c r="M1183" i="1"/>
  <c r="K1198" i="1"/>
  <c r="M1198" i="1"/>
  <c r="K1197" i="1"/>
  <c r="M1197" i="1"/>
  <c r="K1196" i="1"/>
  <c r="M1196" i="1"/>
  <c r="K1195" i="1"/>
  <c r="M1195" i="1"/>
  <c r="K1194" i="1"/>
  <c r="M1194" i="1"/>
  <c r="K1193" i="1"/>
  <c r="M1193" i="1"/>
  <c r="K1192" i="1"/>
  <c r="M1192" i="1"/>
  <c r="K1191" i="1"/>
  <c r="M1191" i="1"/>
  <c r="K1190" i="1"/>
  <c r="M1190" i="1"/>
  <c r="K1189" i="1"/>
  <c r="M1189" i="1"/>
  <c r="K1188" i="1"/>
  <c r="M1188" i="1"/>
  <c r="K1201" i="1"/>
  <c r="M1201" i="1"/>
  <c r="K1200" i="1"/>
  <c r="M1200" i="1"/>
  <c r="K1199" i="1"/>
  <c r="M1199" i="1"/>
  <c r="K1205" i="1"/>
  <c r="M1205" i="1"/>
  <c r="K1204" i="1"/>
  <c r="M1204" i="1"/>
  <c r="K1203" i="1"/>
  <c r="M1203" i="1"/>
  <c r="K1202" i="1"/>
  <c r="M1202" i="1"/>
  <c r="K1210" i="1"/>
  <c r="M1210" i="1"/>
  <c r="K1209" i="1"/>
  <c r="M1209" i="1"/>
  <c r="K1208" i="1"/>
  <c r="M1208" i="1"/>
  <c r="K1207" i="1"/>
  <c r="M1207" i="1"/>
  <c r="K1206" i="1"/>
  <c r="M1206" i="1"/>
  <c r="K1218" i="1"/>
  <c r="M1218" i="1"/>
  <c r="K1217" i="1"/>
  <c r="M1217" i="1"/>
  <c r="K1216" i="1"/>
  <c r="M1216" i="1"/>
  <c r="K1215" i="1"/>
  <c r="M1215" i="1"/>
  <c r="K1214" i="1"/>
  <c r="M1214" i="1"/>
  <c r="K1213" i="1"/>
  <c r="M1213" i="1"/>
  <c r="K1212" i="1"/>
  <c r="M1212" i="1"/>
  <c r="K1211" i="1"/>
  <c r="M1211" i="1"/>
  <c r="K1220" i="1"/>
  <c r="M1220" i="1"/>
  <c r="K1219" i="1"/>
  <c r="M1219" i="1"/>
  <c r="K1227" i="1"/>
  <c r="M1227" i="1"/>
  <c r="K1226" i="1"/>
  <c r="M1226" i="1"/>
  <c r="K1225" i="1"/>
  <c r="M1225" i="1"/>
  <c r="K1224" i="1"/>
  <c r="M1224" i="1"/>
  <c r="K1229" i="1"/>
  <c r="M1229" i="1"/>
  <c r="K1228" i="1"/>
  <c r="M1228" i="1"/>
  <c r="K1235" i="1"/>
  <c r="M1235" i="1"/>
  <c r="K1234" i="1"/>
  <c r="M1234" i="1"/>
  <c r="K1233" i="1"/>
  <c r="M1233" i="1"/>
  <c r="K1232" i="1"/>
  <c r="M1232" i="1"/>
  <c r="K1231" i="1"/>
  <c r="M1231" i="1"/>
  <c r="K1230" i="1"/>
  <c r="M1230" i="1"/>
  <c r="K1240" i="1"/>
  <c r="M1240" i="1"/>
  <c r="K1239" i="1"/>
  <c r="M1239" i="1"/>
  <c r="K1245" i="1"/>
  <c r="M1245" i="1"/>
  <c r="K1244" i="1"/>
  <c r="M1244" i="1"/>
  <c r="K1243" i="1"/>
  <c r="M1243" i="1"/>
  <c r="K1242" i="1"/>
  <c r="M1242" i="1"/>
  <c r="K1248" i="1"/>
  <c r="M1248" i="1"/>
  <c r="K1247" i="1"/>
  <c r="M1247" i="1"/>
  <c r="K1253" i="1"/>
  <c r="M1253" i="1"/>
  <c r="K1252" i="1"/>
  <c r="M1252" i="1"/>
  <c r="K1251" i="1"/>
  <c r="M1251" i="1"/>
  <c r="K1258" i="1"/>
  <c r="M1258" i="1"/>
  <c r="K1257" i="1"/>
  <c r="M1257" i="1"/>
  <c r="K1256" i="1"/>
  <c r="M1256" i="1"/>
  <c r="K1255" i="1"/>
  <c r="M1255" i="1"/>
  <c r="K1262" i="1"/>
  <c r="M1262" i="1"/>
  <c r="K1261" i="1"/>
  <c r="M1261" i="1"/>
  <c r="K1260" i="1"/>
  <c r="M1260" i="1"/>
  <c r="K1264" i="1"/>
  <c r="M1264" i="1"/>
  <c r="K1263" i="1"/>
  <c r="M1263" i="1"/>
  <c r="K1268" i="1"/>
  <c r="M1268" i="1"/>
  <c r="K1267" i="1"/>
  <c r="M1267" i="1"/>
  <c r="K1266" i="1"/>
  <c r="M1266" i="1"/>
  <c r="K1275" i="1"/>
  <c r="M1275" i="1"/>
  <c r="K1274" i="1"/>
  <c r="M1274" i="1"/>
  <c r="K1273" i="1"/>
  <c r="M1273" i="1"/>
  <c r="K1272" i="1"/>
  <c r="M1272" i="1"/>
  <c r="K1271" i="1"/>
  <c r="M1271" i="1"/>
  <c r="K1270" i="1"/>
  <c r="M1270" i="1"/>
  <c r="K1280" i="1"/>
  <c r="M1280" i="1"/>
  <c r="K1279" i="1"/>
  <c r="M1279" i="1"/>
  <c r="K1278" i="1"/>
  <c r="M1278" i="1"/>
  <c r="K1284" i="1"/>
  <c r="M1284" i="1"/>
  <c r="K1283" i="1"/>
  <c r="M1283" i="1"/>
  <c r="K1282" i="1"/>
  <c r="M1282" i="1"/>
  <c r="K1290" i="1"/>
  <c r="M1290" i="1"/>
  <c r="K1289" i="1"/>
  <c r="M1289" i="1"/>
  <c r="K1288" i="1"/>
  <c r="M1288" i="1"/>
  <c r="K1287" i="1"/>
  <c r="M1287" i="1"/>
  <c r="K1294" i="1"/>
  <c r="M1294" i="1"/>
  <c r="K1293" i="1"/>
  <c r="M1293" i="1"/>
  <c r="K1292" i="1"/>
  <c r="M1292" i="1"/>
  <c r="K1301" i="1"/>
  <c r="M1301" i="1"/>
  <c r="K1300" i="1"/>
  <c r="M1300" i="1"/>
  <c r="K1299" i="1"/>
  <c r="M1299" i="1"/>
  <c r="K1298" i="1"/>
  <c r="M1298" i="1"/>
  <c r="K1297" i="1"/>
  <c r="M1297" i="1"/>
  <c r="K1306" i="1"/>
  <c r="M1306" i="1"/>
  <c r="K1305" i="1"/>
  <c r="M1305" i="1"/>
  <c r="K1304" i="1"/>
  <c r="M1304" i="1"/>
  <c r="K1303" i="1"/>
  <c r="M1303" i="1"/>
  <c r="K1312" i="1"/>
  <c r="M1312" i="1"/>
  <c r="K1311" i="1"/>
  <c r="M1311" i="1"/>
  <c r="K1310" i="1"/>
  <c r="M1310" i="1"/>
  <c r="K1309" i="1"/>
  <c r="M1309" i="1"/>
  <c r="K1322" i="1"/>
  <c r="M1322" i="1"/>
  <c r="K1321" i="1"/>
  <c r="M1321" i="1"/>
  <c r="K1320" i="1"/>
  <c r="M1320" i="1"/>
  <c r="K1319" i="1"/>
  <c r="M1319" i="1"/>
  <c r="K1318" i="1"/>
  <c r="M1318" i="1"/>
  <c r="K1317" i="1"/>
  <c r="M1317" i="1"/>
  <c r="K1316" i="1"/>
  <c r="M1316" i="1"/>
  <c r="K1315" i="1"/>
  <c r="M1315" i="1"/>
  <c r="K1314" i="1"/>
  <c r="M1314" i="1"/>
  <c r="K1332" i="1"/>
  <c r="M1332" i="1"/>
  <c r="K1331" i="1"/>
  <c r="M1331" i="1"/>
  <c r="K1330" i="1"/>
  <c r="M1330" i="1"/>
  <c r="K1329" i="1"/>
  <c r="M1329" i="1"/>
  <c r="K1328" i="1"/>
  <c r="M1328" i="1"/>
  <c r="K1327" i="1"/>
  <c r="M1327" i="1"/>
  <c r="K1326" i="1"/>
  <c r="M1326" i="1"/>
  <c r="K1325" i="1"/>
  <c r="M1325" i="1"/>
  <c r="K1324" i="1"/>
  <c r="M1324" i="1"/>
  <c r="K1323" i="1"/>
  <c r="M1323" i="1"/>
  <c r="K1339" i="1"/>
  <c r="M1339" i="1"/>
  <c r="K1338" i="1"/>
  <c r="M1338" i="1"/>
  <c r="K1337" i="1"/>
  <c r="M1337" i="1"/>
  <c r="K1336" i="1"/>
  <c r="M1336" i="1"/>
  <c r="K1335" i="1"/>
  <c r="M1335" i="1"/>
  <c r="K1334" i="1"/>
  <c r="M1334" i="1"/>
  <c r="K1333" i="1"/>
  <c r="M1333" i="1"/>
  <c r="K1348" i="1"/>
  <c r="M1348" i="1"/>
  <c r="K1347" i="1"/>
  <c r="M1347" i="1"/>
  <c r="K1346" i="1"/>
  <c r="M1346" i="1"/>
  <c r="K1345" i="1"/>
  <c r="M1345" i="1"/>
  <c r="K1344" i="1"/>
  <c r="M1344" i="1"/>
  <c r="K1343" i="1"/>
  <c r="M1343" i="1"/>
  <c r="K1342" i="1"/>
  <c r="M1342" i="1"/>
  <c r="K1341" i="1"/>
  <c r="M1341" i="1"/>
  <c r="K1340" i="1"/>
  <c r="M1340" i="1"/>
  <c r="K1356" i="1"/>
  <c r="M1356" i="1"/>
  <c r="K1355" i="1"/>
  <c r="M1355" i="1"/>
  <c r="K1354" i="1"/>
  <c r="M1354" i="1"/>
  <c r="K1353" i="1"/>
  <c r="M1353" i="1"/>
  <c r="K1352" i="1"/>
  <c r="M1352" i="1"/>
  <c r="K1351" i="1"/>
  <c r="M1351" i="1"/>
  <c r="K1350" i="1"/>
  <c r="M1350" i="1"/>
  <c r="K1349" i="1"/>
  <c r="M1349" i="1"/>
  <c r="K1365" i="1"/>
  <c r="M1365" i="1"/>
  <c r="K1364" i="1"/>
  <c r="M1364" i="1"/>
  <c r="K1363" i="1"/>
  <c r="M1363" i="1"/>
  <c r="K1362" i="1"/>
  <c r="M1362" i="1"/>
  <c r="K1361" i="1"/>
  <c r="M1361" i="1"/>
  <c r="K1360" i="1"/>
  <c r="M1360" i="1"/>
  <c r="K1359" i="1"/>
  <c r="M1359" i="1"/>
  <c r="K1358" i="1"/>
  <c r="M1358" i="1"/>
  <c r="K1357" i="1"/>
  <c r="M1357" i="1"/>
  <c r="K1377" i="1"/>
  <c r="M1377" i="1"/>
  <c r="K1376" i="1"/>
  <c r="M1376" i="1"/>
  <c r="K1375" i="1"/>
  <c r="M1375" i="1"/>
  <c r="K1374" i="1"/>
  <c r="M1374" i="1"/>
  <c r="K1373" i="1"/>
  <c r="M1373" i="1"/>
  <c r="K1372" i="1"/>
  <c r="M1372" i="1"/>
  <c r="K1371" i="1"/>
  <c r="M1371" i="1"/>
  <c r="K1370" i="1"/>
  <c r="M1370" i="1"/>
  <c r="K1369" i="1"/>
  <c r="M1369" i="1"/>
  <c r="K1368" i="1"/>
  <c r="M1368" i="1"/>
  <c r="K1367" i="1"/>
  <c r="M1367" i="1"/>
  <c r="K1366" i="1"/>
  <c r="M1366" i="1"/>
  <c r="K1381" i="1"/>
  <c r="M1381" i="1"/>
  <c r="K1380" i="1"/>
  <c r="M1380" i="1"/>
  <c r="K1379" i="1"/>
  <c r="M1379" i="1"/>
  <c r="K1378" i="1"/>
  <c r="M1378" i="1"/>
  <c r="K1390" i="1"/>
  <c r="M1390" i="1"/>
  <c r="K1389" i="1"/>
  <c r="M1389" i="1"/>
  <c r="K1388" i="1"/>
  <c r="M1388" i="1"/>
  <c r="K1387" i="1"/>
  <c r="M1387" i="1"/>
  <c r="K1386" i="1"/>
  <c r="M1386" i="1"/>
  <c r="K1385" i="1"/>
  <c r="M1385" i="1"/>
  <c r="K1393" i="1"/>
  <c r="M1393" i="1"/>
  <c r="K1392" i="1"/>
  <c r="M1392" i="1"/>
  <c r="K1391" i="1"/>
  <c r="M1391" i="1"/>
  <c r="K1398" i="1"/>
  <c r="M1398" i="1"/>
  <c r="K1397" i="1"/>
  <c r="M1397" i="1"/>
  <c r="K1396" i="1"/>
  <c r="M1396" i="1"/>
  <c r="K1395" i="1"/>
  <c r="M1395" i="1"/>
  <c r="K1405" i="1"/>
  <c r="M1405" i="1"/>
  <c r="K1404" i="1"/>
  <c r="M1404" i="1"/>
  <c r="K1403" i="1"/>
  <c r="M1403" i="1"/>
  <c r="K1402" i="1"/>
  <c r="M1402" i="1"/>
  <c r="K1401" i="1"/>
  <c r="M1401" i="1"/>
  <c r="K1411" i="1"/>
  <c r="M1411" i="1"/>
  <c r="K1410" i="1"/>
  <c r="M1410" i="1"/>
  <c r="K1409" i="1"/>
  <c r="M1409" i="1"/>
  <c r="K1408" i="1"/>
  <c r="M1408" i="1"/>
  <c r="K1418" i="1"/>
  <c r="M1418" i="1"/>
  <c r="K1417" i="1"/>
  <c r="M1417" i="1"/>
  <c r="K1416" i="1"/>
  <c r="M1416" i="1"/>
  <c r="K1415" i="1"/>
  <c r="M1415" i="1"/>
  <c r="K1414" i="1"/>
  <c r="M1414" i="1"/>
  <c r="K1425" i="1"/>
  <c r="M1425" i="1"/>
  <c r="K1424" i="1"/>
  <c r="M1424" i="1"/>
  <c r="K1423" i="1"/>
  <c r="M1423" i="1"/>
  <c r="K1422" i="1"/>
  <c r="M1422" i="1"/>
  <c r="K1421" i="1"/>
  <c r="M1421" i="1"/>
  <c r="K1430" i="1"/>
  <c r="M1430" i="1"/>
  <c r="K1429" i="1"/>
  <c r="M1429" i="1"/>
  <c r="K1428" i="1"/>
  <c r="M1428" i="1"/>
  <c r="K1427" i="1"/>
  <c r="M1427" i="1"/>
  <c r="K1438" i="1"/>
  <c r="M1438" i="1"/>
  <c r="K1437" i="1"/>
  <c r="M1437" i="1"/>
  <c r="K1436" i="1"/>
  <c r="M1436" i="1"/>
  <c r="K1435" i="1"/>
  <c r="M1435" i="1"/>
  <c r="K1434" i="1"/>
  <c r="M1434" i="1"/>
  <c r="K1433" i="1"/>
  <c r="M1433" i="1"/>
  <c r="K1444" i="1"/>
  <c r="M1444" i="1"/>
  <c r="K1443" i="1"/>
  <c r="M1443" i="1"/>
  <c r="K1442" i="1"/>
  <c r="M1442" i="1"/>
  <c r="K1441" i="1"/>
  <c r="M1441" i="1"/>
  <c r="K1440" i="1"/>
  <c r="M1440" i="1"/>
  <c r="K1449" i="1"/>
  <c r="M1449" i="1"/>
  <c r="K1448" i="1"/>
  <c r="M1448" i="1"/>
  <c r="K1447" i="1"/>
  <c r="M1447" i="1"/>
  <c r="K1446" i="1"/>
  <c r="M1446" i="1"/>
  <c r="K1452" i="1"/>
  <c r="M1452" i="1"/>
  <c r="K1451" i="1"/>
  <c r="M1451" i="1"/>
  <c r="K1450" i="1"/>
  <c r="M1450" i="1"/>
  <c r="K1457" i="1"/>
  <c r="M1457" i="1"/>
  <c r="K1456" i="1"/>
  <c r="M1456" i="1"/>
  <c r="K1455" i="1"/>
  <c r="M1455" i="1"/>
  <c r="K1454" i="1"/>
  <c r="M1454" i="1"/>
  <c r="K1453" i="1"/>
  <c r="M1453" i="1"/>
  <c r="K1461" i="1"/>
  <c r="M1461" i="1"/>
  <c r="K1460" i="1"/>
  <c r="M1460" i="1"/>
  <c r="K1459" i="1"/>
  <c r="M1459" i="1"/>
  <c r="K1465" i="1"/>
  <c r="M1465" i="1"/>
  <c r="K1464" i="1"/>
  <c r="M1464" i="1"/>
  <c r="K1463" i="1"/>
  <c r="M1463" i="1"/>
  <c r="K1473" i="1"/>
  <c r="M1473" i="1"/>
  <c r="K1472" i="1"/>
  <c r="M1472" i="1"/>
  <c r="K1471" i="1"/>
  <c r="M1471" i="1"/>
  <c r="K1470" i="1"/>
  <c r="M1470" i="1"/>
  <c r="K1469" i="1"/>
  <c r="M1469" i="1"/>
  <c r="K1468" i="1"/>
  <c r="M1468" i="1"/>
  <c r="K1467" i="1"/>
  <c r="M1467" i="1"/>
  <c r="K1481" i="1"/>
  <c r="M1481" i="1"/>
  <c r="K1480" i="1"/>
  <c r="M1480" i="1"/>
  <c r="K1479" i="1"/>
  <c r="M1479" i="1"/>
  <c r="K1478" i="1"/>
  <c r="M1478" i="1"/>
  <c r="K1477" i="1"/>
  <c r="M1477" i="1"/>
  <c r="K1476" i="1"/>
  <c r="M1476" i="1"/>
  <c r="K1488" i="1"/>
  <c r="M1488" i="1"/>
  <c r="K1487" i="1"/>
  <c r="M1487" i="1"/>
  <c r="K1486" i="1"/>
  <c r="M1486" i="1"/>
  <c r="K1485" i="1"/>
  <c r="M1485" i="1"/>
  <c r="K1484" i="1"/>
  <c r="M1484" i="1"/>
  <c r="K1483" i="1"/>
  <c r="M1483" i="1"/>
  <c r="K1482" i="1"/>
  <c r="M1482" i="1"/>
  <c r="K1494" i="1"/>
  <c r="M1494" i="1"/>
  <c r="K1493" i="1"/>
  <c r="M1493" i="1"/>
  <c r="K1492" i="1"/>
  <c r="M1492" i="1"/>
  <c r="K1491" i="1"/>
  <c r="M1491" i="1"/>
  <c r="K1490" i="1"/>
  <c r="M1490" i="1"/>
  <c r="K1489" i="1"/>
  <c r="M1489" i="1"/>
  <c r="K1498" i="1"/>
  <c r="M1498" i="1"/>
  <c r="K1497" i="1"/>
  <c r="M1497" i="1"/>
  <c r="K1496" i="1"/>
  <c r="M1496" i="1"/>
  <c r="K1495" i="1"/>
  <c r="M1495" i="1"/>
  <c r="K1501" i="1"/>
  <c r="M1501" i="1"/>
  <c r="K1500" i="1"/>
  <c r="M1500" i="1"/>
  <c r="K1499" i="1"/>
  <c r="M149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<sst xmlns="http://schemas.openxmlformats.org/spreadsheetml/2006/main" count="7377" uniqueCount="1126">
  <si>
    <t>Total Revenue</t>
  </si>
  <si>
    <t>Total Profit</t>
  </si>
  <si>
    <t>Overall Margin %</t>
  </si>
  <si>
    <t>Total Customers</t>
  </si>
  <si>
    <t>Order ID</t>
  </si>
  <si>
    <t>Order Date</t>
  </si>
  <si>
    <t>Order Date (Clean)</t>
  </si>
  <si>
    <t>CustomerName</t>
  </si>
  <si>
    <t>State</t>
  </si>
  <si>
    <t>City</t>
  </si>
  <si>
    <t>B-25601</t>
  </si>
  <si>
    <t>Bharat</t>
  </si>
  <si>
    <t>Gujarat</t>
  </si>
  <si>
    <t>Ahmedabad</t>
  </si>
  <si>
    <t>B-25602</t>
  </si>
  <si>
    <t>Pearl</t>
  </si>
  <si>
    <t>Maharashtra</t>
  </si>
  <si>
    <t>Pune</t>
  </si>
  <si>
    <t>B-25603</t>
  </si>
  <si>
    <t>Jahan</t>
  </si>
  <si>
    <t>Madhya Pradesh</t>
  </si>
  <si>
    <t>Bhopal</t>
  </si>
  <si>
    <t>B-25604</t>
  </si>
  <si>
    <t>Divsha</t>
  </si>
  <si>
    <t>Rajasthan</t>
  </si>
  <si>
    <t>Jaipur</t>
  </si>
  <si>
    <t>B-25605</t>
  </si>
  <si>
    <t>Kasheen</t>
  </si>
  <si>
    <t>West Bengal</t>
  </si>
  <si>
    <t>Kolkata</t>
  </si>
  <si>
    <t>B-25606</t>
  </si>
  <si>
    <t>Hazel</t>
  </si>
  <si>
    <t>Karnataka</t>
  </si>
  <si>
    <t>Bangalore</t>
  </si>
  <si>
    <t>B-25607</t>
  </si>
  <si>
    <t>Sonakshi</t>
  </si>
  <si>
    <t>Jammu and Kashmir</t>
  </si>
  <si>
    <t>Kashmir</t>
  </si>
  <si>
    <t>B-25608</t>
  </si>
  <si>
    <t>Aarushi</t>
  </si>
  <si>
    <t>Tamil Nadu</t>
  </si>
  <si>
    <t>Chennai</t>
  </si>
  <si>
    <t>B-25609</t>
  </si>
  <si>
    <t>Jitesh</t>
  </si>
  <si>
    <t>Uttar Pradesh</t>
  </si>
  <si>
    <t>Lucknow</t>
  </si>
  <si>
    <t>B-25610</t>
  </si>
  <si>
    <t>Yogesh</t>
  </si>
  <si>
    <t>Bihar</t>
  </si>
  <si>
    <t>Patna</t>
  </si>
  <si>
    <t>B-25611</t>
  </si>
  <si>
    <t>Anita</t>
  </si>
  <si>
    <t xml:space="preserve">Kerala </t>
  </si>
  <si>
    <t>Thiruvananthapuram</t>
  </si>
  <si>
    <t>B-25612</t>
  </si>
  <si>
    <t>Shrichand</t>
  </si>
  <si>
    <t>Punjab</t>
  </si>
  <si>
    <t>Chandigarh</t>
  </si>
  <si>
    <t>B-25613</t>
  </si>
  <si>
    <t>Mukesh</t>
  </si>
  <si>
    <t>Haryana</t>
  </si>
  <si>
    <t>B-25614</t>
  </si>
  <si>
    <t>13-04-2018</t>
  </si>
  <si>
    <t>Vandana</t>
  </si>
  <si>
    <t>Himachal Pradesh</t>
  </si>
  <si>
    <t>Simla</t>
  </si>
  <si>
    <t>B-25615</t>
  </si>
  <si>
    <t>15-04-2018</t>
  </si>
  <si>
    <t>Bhavna</t>
  </si>
  <si>
    <t>Sikkim</t>
  </si>
  <si>
    <t>Gangtok</t>
  </si>
  <si>
    <t>B-25616</t>
  </si>
  <si>
    <t>Kanak</t>
  </si>
  <si>
    <t>Goa</t>
  </si>
  <si>
    <t>B-25617</t>
  </si>
  <si>
    <t>17-04-2018</t>
  </si>
  <si>
    <t>Sagar</t>
  </si>
  <si>
    <t>Nagaland</t>
  </si>
  <si>
    <t>Kohima</t>
  </si>
  <si>
    <t>B-25618</t>
  </si>
  <si>
    <t>18-04-2018</t>
  </si>
  <si>
    <t>Manju</t>
  </si>
  <si>
    <t>Andhra Pradesh</t>
  </si>
  <si>
    <t>Hyderabad</t>
  </si>
  <si>
    <t>B-25619</t>
  </si>
  <si>
    <t>Ramesh</t>
  </si>
  <si>
    <t>B-25620</t>
  </si>
  <si>
    <t>20-04-2018</t>
  </si>
  <si>
    <t>Sarita</t>
  </si>
  <si>
    <t>B-25621</t>
  </si>
  <si>
    <t>Deepak</t>
  </si>
  <si>
    <t>B-25622</t>
  </si>
  <si>
    <t>22-04-2018</t>
  </si>
  <si>
    <t>Monisha</t>
  </si>
  <si>
    <t>B-25623</t>
  </si>
  <si>
    <t>Atharv</t>
  </si>
  <si>
    <t>B-25624</t>
  </si>
  <si>
    <t>Vini</t>
  </si>
  <si>
    <t>B-25625</t>
  </si>
  <si>
    <t>23-04-2018</t>
  </si>
  <si>
    <t>Pinky</t>
  </si>
  <si>
    <t>B-25626</t>
  </si>
  <si>
    <t>Bhishm</t>
  </si>
  <si>
    <t>Mumbai</t>
  </si>
  <si>
    <t>B-25627</t>
  </si>
  <si>
    <t>Hitika</t>
  </si>
  <si>
    <t>Indore</t>
  </si>
  <si>
    <t>B-25628</t>
  </si>
  <si>
    <t>24-04-2018</t>
  </si>
  <si>
    <t>Pooja</t>
  </si>
  <si>
    <t>B-25629</t>
  </si>
  <si>
    <t>Hemant</t>
  </si>
  <si>
    <t>B-25630</t>
  </si>
  <si>
    <t>Sahil</t>
  </si>
  <si>
    <t>B-25631</t>
  </si>
  <si>
    <t>Ritu</t>
  </si>
  <si>
    <t>B-25632</t>
  </si>
  <si>
    <t>25-04-2018</t>
  </si>
  <si>
    <t>Manish</t>
  </si>
  <si>
    <t>B-25633</t>
  </si>
  <si>
    <t>26-04-2018</t>
  </si>
  <si>
    <t>Amit</t>
  </si>
  <si>
    <t>B-25634</t>
  </si>
  <si>
    <t>Sanjay</t>
  </si>
  <si>
    <t>B-25635</t>
  </si>
  <si>
    <t>Nidhi</t>
  </si>
  <si>
    <t>B-25636</t>
  </si>
  <si>
    <t>Nishi</t>
  </si>
  <si>
    <t>B-25637</t>
  </si>
  <si>
    <t>Ashmi</t>
  </si>
  <si>
    <t>B-25638</t>
  </si>
  <si>
    <t>Parth</t>
  </si>
  <si>
    <t>B-25639</t>
  </si>
  <si>
    <t>27-04-2018</t>
  </si>
  <si>
    <t>Lisha</t>
  </si>
  <si>
    <t>B-25640</t>
  </si>
  <si>
    <t>Paridhi</t>
  </si>
  <si>
    <t>B-25641</t>
  </si>
  <si>
    <t>Parishi</t>
  </si>
  <si>
    <t>B-25642</t>
  </si>
  <si>
    <t>28-04-2018</t>
  </si>
  <si>
    <t>Ajay</t>
  </si>
  <si>
    <t>B-25643</t>
  </si>
  <si>
    <t>29-04-2018</t>
  </si>
  <si>
    <t>Kirti</t>
  </si>
  <si>
    <t>B-25644</t>
  </si>
  <si>
    <t>30-04-2018</t>
  </si>
  <si>
    <t>Mayank</t>
  </si>
  <si>
    <t>B-25645</t>
  </si>
  <si>
    <t>Yaanvi</t>
  </si>
  <si>
    <t>B-25646</t>
  </si>
  <si>
    <t>Sonal</t>
  </si>
  <si>
    <t>B-25647</t>
  </si>
  <si>
    <t>Sharda</t>
  </si>
  <si>
    <t>B-25648</t>
  </si>
  <si>
    <t>Aditya</t>
  </si>
  <si>
    <t>B-25649</t>
  </si>
  <si>
    <t>Rachna</t>
  </si>
  <si>
    <t>B-25650</t>
  </si>
  <si>
    <t>Chirag</t>
  </si>
  <si>
    <t>B-25651</t>
  </si>
  <si>
    <t>Anurag</t>
  </si>
  <si>
    <t>B-25652</t>
  </si>
  <si>
    <t>Tushina</t>
  </si>
  <si>
    <t>B-25653</t>
  </si>
  <si>
    <t>Farah</t>
  </si>
  <si>
    <t>B-25654</t>
  </si>
  <si>
    <t>Sabah</t>
  </si>
  <si>
    <t>B-25655</t>
  </si>
  <si>
    <t>Nida</t>
  </si>
  <si>
    <t>B-25656</t>
  </si>
  <si>
    <t>Priyanka</t>
  </si>
  <si>
    <t>B-25657</t>
  </si>
  <si>
    <t>13-05-2018</t>
  </si>
  <si>
    <t>Tulika</t>
  </si>
  <si>
    <t>B-25658</t>
  </si>
  <si>
    <t>14-05-2018</t>
  </si>
  <si>
    <t>Shefali</t>
  </si>
  <si>
    <t>B-25659</t>
  </si>
  <si>
    <t>15-05-2018</t>
  </si>
  <si>
    <t>Sanskriti</t>
  </si>
  <si>
    <t>B-25660</t>
  </si>
  <si>
    <t>16-05-2018</t>
  </si>
  <si>
    <t>Shruti</t>
  </si>
  <si>
    <t>B-25661</t>
  </si>
  <si>
    <t>17-05-2018</t>
  </si>
  <si>
    <t>Subhashree</t>
  </si>
  <si>
    <t>B-25662</t>
  </si>
  <si>
    <t>Sweta</t>
  </si>
  <si>
    <t>B-25663</t>
  </si>
  <si>
    <t>19-05-2018</t>
  </si>
  <si>
    <t>Pournamasi</t>
  </si>
  <si>
    <t>B-25664</t>
  </si>
  <si>
    <t>20-05-2018</t>
  </si>
  <si>
    <t>Pratyusmita</t>
  </si>
  <si>
    <t>B-25665</t>
  </si>
  <si>
    <t>21-05-2018</t>
  </si>
  <si>
    <t>Chayanika</t>
  </si>
  <si>
    <t>B-25666</t>
  </si>
  <si>
    <t>22-05-2018</t>
  </si>
  <si>
    <t>Tanvi</t>
  </si>
  <si>
    <t>B-25667</t>
  </si>
  <si>
    <t>23-05-2018</t>
  </si>
  <si>
    <t>Anjali</t>
  </si>
  <si>
    <t>B-25668</t>
  </si>
  <si>
    <t>24-05-2018</t>
  </si>
  <si>
    <t>Rhea</t>
  </si>
  <si>
    <t>B-25669</t>
  </si>
  <si>
    <t>25-05-2018</t>
  </si>
  <si>
    <t>Piyali</t>
  </si>
  <si>
    <t>B-25670</t>
  </si>
  <si>
    <t>Charika</t>
  </si>
  <si>
    <t>B-25671</t>
  </si>
  <si>
    <t>27-05-2018</t>
  </si>
  <si>
    <t>Mitali</t>
  </si>
  <si>
    <t>B-25672</t>
  </si>
  <si>
    <t>28-05-2018</t>
  </si>
  <si>
    <t>Akanksha</t>
  </si>
  <si>
    <t>B-25673</t>
  </si>
  <si>
    <t>Arsheen</t>
  </si>
  <si>
    <t>B-25674</t>
  </si>
  <si>
    <t>Mahima</t>
  </si>
  <si>
    <t>B-25675</t>
  </si>
  <si>
    <t>31-05-2018</t>
  </si>
  <si>
    <t>Shreya</t>
  </si>
  <si>
    <t>B-25676</t>
  </si>
  <si>
    <t>Chandni</t>
  </si>
  <si>
    <t>B-25677</t>
  </si>
  <si>
    <t>Ekta</t>
  </si>
  <si>
    <t>B-25678</t>
  </si>
  <si>
    <t>Bathina</t>
  </si>
  <si>
    <t>B-25679</t>
  </si>
  <si>
    <t>Avni</t>
  </si>
  <si>
    <t>B-25680</t>
  </si>
  <si>
    <t>Aayushi</t>
  </si>
  <si>
    <t>B-25681</t>
  </si>
  <si>
    <t>Bhawna</t>
  </si>
  <si>
    <t>B-25682</t>
  </si>
  <si>
    <t>Krutika</t>
  </si>
  <si>
    <t>B-25683</t>
  </si>
  <si>
    <t>B-25684</t>
  </si>
  <si>
    <t>Samiksha</t>
  </si>
  <si>
    <t>B-25685</t>
  </si>
  <si>
    <t>Sheetal</t>
  </si>
  <si>
    <t>B-25686</t>
  </si>
  <si>
    <t>B-25687</t>
  </si>
  <si>
    <t>Sanjna</t>
  </si>
  <si>
    <t>B-25688</t>
  </si>
  <si>
    <t>Swetha</t>
  </si>
  <si>
    <t>B-25689</t>
  </si>
  <si>
    <t>14-06-2018</t>
  </si>
  <si>
    <t>Bhaggyasree</t>
  </si>
  <si>
    <t>B-25690</t>
  </si>
  <si>
    <t>15-06-2018</t>
  </si>
  <si>
    <t>Gunjan</t>
  </si>
  <si>
    <t>B-25691</t>
  </si>
  <si>
    <t>16-06-2018</t>
  </si>
  <si>
    <t>Akancha</t>
  </si>
  <si>
    <t>B-25692</t>
  </si>
  <si>
    <t>17-06-2018</t>
  </si>
  <si>
    <t>Rashmi</t>
  </si>
  <si>
    <t>B-25693</t>
  </si>
  <si>
    <t>18-06-2018</t>
  </si>
  <si>
    <t>Parna</t>
  </si>
  <si>
    <t>B-25694</t>
  </si>
  <si>
    <t>Subhasmita</t>
  </si>
  <si>
    <t>B-25695</t>
  </si>
  <si>
    <t>Suhani</t>
  </si>
  <si>
    <t>B-25696</t>
  </si>
  <si>
    <t>21-06-2018</t>
  </si>
  <si>
    <t>Noopur</t>
  </si>
  <si>
    <t>B-25697</t>
  </si>
  <si>
    <t>22-06-2018</t>
  </si>
  <si>
    <t>Vijay</t>
  </si>
  <si>
    <t>B-25698</t>
  </si>
  <si>
    <t>23-06-2018</t>
  </si>
  <si>
    <t>Amisha</t>
  </si>
  <si>
    <t>B-25699</t>
  </si>
  <si>
    <t>24-06-2018</t>
  </si>
  <si>
    <t>Kritika</t>
  </si>
  <si>
    <t>B-25700</t>
  </si>
  <si>
    <t>25-06-2018</t>
  </si>
  <si>
    <t>Shubhi</t>
  </si>
  <si>
    <t>B-25701</t>
  </si>
  <si>
    <t>26-06-2018</t>
  </si>
  <si>
    <t>Maithilee</t>
  </si>
  <si>
    <t>B-25702</t>
  </si>
  <si>
    <t>27-06-2018</t>
  </si>
  <si>
    <t>Shaily</t>
  </si>
  <si>
    <t>B-25703</t>
  </si>
  <si>
    <t>28-06-2018</t>
  </si>
  <si>
    <t>B-25704</t>
  </si>
  <si>
    <t>29-06-2018</t>
  </si>
  <si>
    <t>Riya</t>
  </si>
  <si>
    <t>B-25705</t>
  </si>
  <si>
    <t>30-06-2018</t>
  </si>
  <si>
    <t>Shweta</t>
  </si>
  <si>
    <t>B-25706</t>
  </si>
  <si>
    <t>Swetlana</t>
  </si>
  <si>
    <t>B-25707</t>
  </si>
  <si>
    <t>Shivani</t>
  </si>
  <si>
    <t>B-25708</t>
  </si>
  <si>
    <t>Kishwar</t>
  </si>
  <si>
    <t>B-25709</t>
  </si>
  <si>
    <t>Aakanksha</t>
  </si>
  <si>
    <t>B-25710</t>
  </si>
  <si>
    <t>Megha</t>
  </si>
  <si>
    <t>B-25711</t>
  </si>
  <si>
    <t>Sakshi</t>
  </si>
  <si>
    <t>B-25712</t>
  </si>
  <si>
    <t>Adhvaita</t>
  </si>
  <si>
    <t>B-25713</t>
  </si>
  <si>
    <t>Raksha</t>
  </si>
  <si>
    <t>B-25714</t>
  </si>
  <si>
    <t>Stuti</t>
  </si>
  <si>
    <t>B-25715</t>
  </si>
  <si>
    <t>Srishti</t>
  </si>
  <si>
    <t>B-25716</t>
  </si>
  <si>
    <t>Surabhi</t>
  </si>
  <si>
    <t>B-25717</t>
  </si>
  <si>
    <t>Manshul</t>
  </si>
  <si>
    <t>B-25718</t>
  </si>
  <si>
    <t>B-25719</t>
  </si>
  <si>
    <t>B-25720</t>
  </si>
  <si>
    <t>15-07-2018</t>
  </si>
  <si>
    <t>Namrata</t>
  </si>
  <si>
    <t>B-25721</t>
  </si>
  <si>
    <t>16-07-2018</t>
  </si>
  <si>
    <t>Anchal</t>
  </si>
  <si>
    <t>B-25722</t>
  </si>
  <si>
    <t>17-07-2018</t>
  </si>
  <si>
    <t>Inderpreet</t>
  </si>
  <si>
    <t>B-25723</t>
  </si>
  <si>
    <t>18-07-2018</t>
  </si>
  <si>
    <t>Wale</t>
  </si>
  <si>
    <t>B-25724</t>
  </si>
  <si>
    <t>19-07-2018</t>
  </si>
  <si>
    <t>B-25725</t>
  </si>
  <si>
    <t>20-07-2018</t>
  </si>
  <si>
    <t>Anisha</t>
  </si>
  <si>
    <t>B-25726</t>
  </si>
  <si>
    <t>21-07-2018</t>
  </si>
  <si>
    <t>Kiran</t>
  </si>
  <si>
    <t>B-25727</t>
  </si>
  <si>
    <t>22-07-2018</t>
  </si>
  <si>
    <t>Turumella</t>
  </si>
  <si>
    <t>B-25728</t>
  </si>
  <si>
    <t>Ameesha</t>
  </si>
  <si>
    <t>B-25729</t>
  </si>
  <si>
    <t>Madhulika</t>
  </si>
  <si>
    <t>B-25730</t>
  </si>
  <si>
    <t>Rishabh</t>
  </si>
  <si>
    <t>B-25731</t>
  </si>
  <si>
    <t>26-07-2018</t>
  </si>
  <si>
    <t>Akash</t>
  </si>
  <si>
    <t>B-25732</t>
  </si>
  <si>
    <t>27-07-2018</t>
  </si>
  <si>
    <t>Anubhaw</t>
  </si>
  <si>
    <t>B-25733</t>
  </si>
  <si>
    <t>28-07-2018</t>
  </si>
  <si>
    <t>Dhirajendu</t>
  </si>
  <si>
    <t>B-25734</t>
  </si>
  <si>
    <t>29-07-2018</t>
  </si>
  <si>
    <t>Pranav</t>
  </si>
  <si>
    <t>B-25735</t>
  </si>
  <si>
    <t>30-07-2018</t>
  </si>
  <si>
    <t>Arindam</t>
  </si>
  <si>
    <t>B-25736</t>
  </si>
  <si>
    <t>31-07-2018</t>
  </si>
  <si>
    <t>Akshat</t>
  </si>
  <si>
    <t>B-25737</t>
  </si>
  <si>
    <t>Shubham</t>
  </si>
  <si>
    <t>B-25738</t>
  </si>
  <si>
    <t>Ayush</t>
  </si>
  <si>
    <t>B-25739</t>
  </si>
  <si>
    <t>Daksh</t>
  </si>
  <si>
    <t>B-25740</t>
  </si>
  <si>
    <t>Rane</t>
  </si>
  <si>
    <t>B-25741</t>
  </si>
  <si>
    <t>Navdeep</t>
  </si>
  <si>
    <t>B-25742</t>
  </si>
  <si>
    <t>Ashwin</t>
  </si>
  <si>
    <t>B-25743</t>
  </si>
  <si>
    <t>Aman</t>
  </si>
  <si>
    <t>B-25744</t>
  </si>
  <si>
    <t>Devendra</t>
  </si>
  <si>
    <t>B-25745</t>
  </si>
  <si>
    <t>Kartik</t>
  </si>
  <si>
    <t>B-25746</t>
  </si>
  <si>
    <t>Shivam</t>
  </si>
  <si>
    <t>B-25747</t>
  </si>
  <si>
    <t>Harsh</t>
  </si>
  <si>
    <t>B-25748</t>
  </si>
  <si>
    <t>Nitant</t>
  </si>
  <si>
    <t>B-25749</t>
  </si>
  <si>
    <t>13-08-2018</t>
  </si>
  <si>
    <t>B-25750</t>
  </si>
  <si>
    <t>14-08-2018</t>
  </si>
  <si>
    <t>Priyanshu</t>
  </si>
  <si>
    <t>B-25751</t>
  </si>
  <si>
    <t>Nishant</t>
  </si>
  <si>
    <t>B-25752</t>
  </si>
  <si>
    <t>Vaibhav</t>
  </si>
  <si>
    <t>B-25753</t>
  </si>
  <si>
    <t>17-08-2018</t>
  </si>
  <si>
    <t>B-25754</t>
  </si>
  <si>
    <t>18-08-2018</t>
  </si>
  <si>
    <t>Akshay</t>
  </si>
  <si>
    <t>B-25755</t>
  </si>
  <si>
    <t>19-08-2018</t>
  </si>
  <si>
    <t>Shourya</t>
  </si>
  <si>
    <t>B-25756</t>
  </si>
  <si>
    <t>20-08-2018</t>
  </si>
  <si>
    <t>Mohan</t>
  </si>
  <si>
    <t>B-25757</t>
  </si>
  <si>
    <t>21-08-2018</t>
  </si>
  <si>
    <t>Mohit</t>
  </si>
  <si>
    <t>B-25758</t>
  </si>
  <si>
    <t>22-08-2018</t>
  </si>
  <si>
    <t>B-25759</t>
  </si>
  <si>
    <t>23-08-2018</t>
  </si>
  <si>
    <t>Soumya</t>
  </si>
  <si>
    <t>B-25760</t>
  </si>
  <si>
    <t>24-08-2018</t>
  </si>
  <si>
    <t>B-25761</t>
  </si>
  <si>
    <t>25-08-2018</t>
  </si>
  <si>
    <t>B-25762</t>
  </si>
  <si>
    <t>26-08-2018</t>
  </si>
  <si>
    <t>Anudeep</t>
  </si>
  <si>
    <t>B-25763</t>
  </si>
  <si>
    <t>27-08-2018</t>
  </si>
  <si>
    <t>Noshiba</t>
  </si>
  <si>
    <t>B-25764</t>
  </si>
  <si>
    <t>28-08-2018</t>
  </si>
  <si>
    <t>Sanjova</t>
  </si>
  <si>
    <t>B-25765</t>
  </si>
  <si>
    <t>29-08-2018</t>
  </si>
  <si>
    <t>Meghana</t>
  </si>
  <si>
    <t>B-25766</t>
  </si>
  <si>
    <t>30-08-2018</t>
  </si>
  <si>
    <t>B-25767</t>
  </si>
  <si>
    <t>31-08-2018</t>
  </si>
  <si>
    <t>Ashmeet</t>
  </si>
  <si>
    <t>B-25768</t>
  </si>
  <si>
    <t>Shreyoshe</t>
  </si>
  <si>
    <t>B-25769</t>
  </si>
  <si>
    <t>Surbhi</t>
  </si>
  <si>
    <t>B-25770</t>
  </si>
  <si>
    <t>B-25771</t>
  </si>
  <si>
    <t>Vaibhavi</t>
  </si>
  <si>
    <t>B-25772</t>
  </si>
  <si>
    <t>Sanjana</t>
  </si>
  <si>
    <t>B-25773</t>
  </si>
  <si>
    <t>B-25774</t>
  </si>
  <si>
    <t>Snehal</t>
  </si>
  <si>
    <t>B-25775</t>
  </si>
  <si>
    <t>Duhita</t>
  </si>
  <si>
    <t>B-25776</t>
  </si>
  <si>
    <t>Mousam</t>
  </si>
  <si>
    <t>B-25777</t>
  </si>
  <si>
    <t>Aditi</t>
  </si>
  <si>
    <t>B-25778</t>
  </si>
  <si>
    <t>B-25779</t>
  </si>
  <si>
    <t>Savi</t>
  </si>
  <si>
    <t>B-25780</t>
  </si>
  <si>
    <t>13-09-2018</t>
  </si>
  <si>
    <t>Teena</t>
  </si>
  <si>
    <t>B-25781</t>
  </si>
  <si>
    <t>14-09-2018</t>
  </si>
  <si>
    <t>Rutuja</t>
  </si>
  <si>
    <t>B-25782</t>
  </si>
  <si>
    <t>15-09-2018</t>
  </si>
  <si>
    <t>B-25783</t>
  </si>
  <si>
    <t>Shivangi</t>
  </si>
  <si>
    <t>B-25784</t>
  </si>
  <si>
    <t>Rohit</t>
  </si>
  <si>
    <t>B-25785</t>
  </si>
  <si>
    <t>B-25786</t>
  </si>
  <si>
    <t>19-09-2018</t>
  </si>
  <si>
    <t>Abhishek</t>
  </si>
  <si>
    <t>B-25787</t>
  </si>
  <si>
    <t>20-09-2018</t>
  </si>
  <si>
    <t>Asish</t>
  </si>
  <si>
    <t>B-25788</t>
  </si>
  <si>
    <t>21-09-2018</t>
  </si>
  <si>
    <t>Dinesh</t>
  </si>
  <si>
    <t>B-25789</t>
  </si>
  <si>
    <t>22-09-2018</t>
  </si>
  <si>
    <t>B-25790</t>
  </si>
  <si>
    <t>23-09-2018</t>
  </si>
  <si>
    <t>Sajal</t>
  </si>
  <si>
    <t>B-25791</t>
  </si>
  <si>
    <t>24-09-2018</t>
  </si>
  <si>
    <t>Avish</t>
  </si>
  <si>
    <t>B-25792</t>
  </si>
  <si>
    <t>B-25793</t>
  </si>
  <si>
    <t>Siddharth</t>
  </si>
  <si>
    <t>B-25794</t>
  </si>
  <si>
    <t>B-25795</t>
  </si>
  <si>
    <t>Sukant</t>
  </si>
  <si>
    <t>B-25796</t>
  </si>
  <si>
    <t>Sukrith</t>
  </si>
  <si>
    <t>B-25797</t>
  </si>
  <si>
    <t>30-09-2018</t>
  </si>
  <si>
    <t>Sauptik</t>
  </si>
  <si>
    <t>B-25798</t>
  </si>
  <si>
    <t>Shishu</t>
  </si>
  <si>
    <t>B-25799</t>
  </si>
  <si>
    <t>Divyansh</t>
  </si>
  <si>
    <t>B-25800</t>
  </si>
  <si>
    <t>Ishit</t>
  </si>
  <si>
    <t>B-25801</t>
  </si>
  <si>
    <t>Aryan</t>
  </si>
  <si>
    <t>B-25802</t>
  </si>
  <si>
    <t>Yash</t>
  </si>
  <si>
    <t>B-25803</t>
  </si>
  <si>
    <t>Shivanshu</t>
  </si>
  <si>
    <t>B-25804</t>
  </si>
  <si>
    <t>Sudheer</t>
  </si>
  <si>
    <t>B-25805</t>
  </si>
  <si>
    <t>Ankit</t>
  </si>
  <si>
    <t>B-25806</t>
  </si>
  <si>
    <t>Dhanraj</t>
  </si>
  <si>
    <t>B-25807</t>
  </si>
  <si>
    <t>Vipul</t>
  </si>
  <si>
    <t>B-25808</t>
  </si>
  <si>
    <t>Apsingekar</t>
  </si>
  <si>
    <t>B-25809</t>
  </si>
  <si>
    <t>Suman</t>
  </si>
  <si>
    <t>B-25810</t>
  </si>
  <si>
    <t>Nripraj</t>
  </si>
  <si>
    <t>B-25811</t>
  </si>
  <si>
    <t>Utsav</t>
  </si>
  <si>
    <t>B-25812</t>
  </si>
  <si>
    <t>Kshitij</t>
  </si>
  <si>
    <t>B-25813</t>
  </si>
  <si>
    <t>Hrisheekesh</t>
  </si>
  <si>
    <t>B-25814</t>
  </si>
  <si>
    <t>Swapnil</t>
  </si>
  <si>
    <t>B-25815</t>
  </si>
  <si>
    <t>B-25816</t>
  </si>
  <si>
    <t>Mane</t>
  </si>
  <si>
    <t>B-25817</t>
  </si>
  <si>
    <t>13-10-2018</t>
  </si>
  <si>
    <t>Praneet</t>
  </si>
  <si>
    <t>B-25818</t>
  </si>
  <si>
    <t>14-10-2018</t>
  </si>
  <si>
    <t>Sandeep</t>
  </si>
  <si>
    <t>B-25819</t>
  </si>
  <si>
    <t>15-10-2018</t>
  </si>
  <si>
    <t>Ankur</t>
  </si>
  <si>
    <t>B-25820</t>
  </si>
  <si>
    <t>16-10-2018</t>
  </si>
  <si>
    <t>Dheeraj</t>
  </si>
  <si>
    <t>B-25821</t>
  </si>
  <si>
    <t>B-25822</t>
  </si>
  <si>
    <t>18-10-2018</t>
  </si>
  <si>
    <t>Tejas</t>
  </si>
  <si>
    <t>B-25823</t>
  </si>
  <si>
    <t>Rohan</t>
  </si>
  <si>
    <t>B-25824</t>
  </si>
  <si>
    <t>20-10-2018</t>
  </si>
  <si>
    <t>Shyam</t>
  </si>
  <si>
    <t>B-25825</t>
  </si>
  <si>
    <t>21-10-2018</t>
  </si>
  <si>
    <t>B-25826</t>
  </si>
  <si>
    <t>22-10-2018</t>
  </si>
  <si>
    <t>Tanushree</t>
  </si>
  <si>
    <t>B-25827</t>
  </si>
  <si>
    <t>23-10-2018</t>
  </si>
  <si>
    <t>B-25828</t>
  </si>
  <si>
    <t>24-10-2018</t>
  </si>
  <si>
    <t>Nikita</t>
  </si>
  <si>
    <t>B-25829</t>
  </si>
  <si>
    <t>25-10-2018</t>
  </si>
  <si>
    <t>Apoorva</t>
  </si>
  <si>
    <t>B-25830</t>
  </si>
  <si>
    <t>26-10-2018</t>
  </si>
  <si>
    <t>Aastha</t>
  </si>
  <si>
    <t>B-25831</t>
  </si>
  <si>
    <t>27-10-2018</t>
  </si>
  <si>
    <t>B-25832</t>
  </si>
  <si>
    <t>28-10-2018</t>
  </si>
  <si>
    <t>Harshita</t>
  </si>
  <si>
    <t>B-25833</t>
  </si>
  <si>
    <t>29-10-2018</t>
  </si>
  <si>
    <t>Krishna</t>
  </si>
  <si>
    <t>B-25834</t>
  </si>
  <si>
    <t>Ananya</t>
  </si>
  <si>
    <t>B-25835</t>
  </si>
  <si>
    <t>Moumita</t>
  </si>
  <si>
    <t>B-25836</t>
  </si>
  <si>
    <t>Arti</t>
  </si>
  <si>
    <t>B-25837</t>
  </si>
  <si>
    <t>Palak</t>
  </si>
  <si>
    <t>B-25838</t>
  </si>
  <si>
    <t>B-25839</t>
  </si>
  <si>
    <t>30-10-2018</t>
  </si>
  <si>
    <t>Pranjali</t>
  </si>
  <si>
    <t>B-25840</t>
  </si>
  <si>
    <t>31-10-2018</t>
  </si>
  <si>
    <t>Sneha</t>
  </si>
  <si>
    <t>B-25841</t>
  </si>
  <si>
    <t>Ashvini</t>
  </si>
  <si>
    <t>B-25842</t>
  </si>
  <si>
    <t>B-25843</t>
  </si>
  <si>
    <t>Mrunal</t>
  </si>
  <si>
    <t>B-25844</t>
  </si>
  <si>
    <t>Swati</t>
  </si>
  <si>
    <t>B-25845</t>
  </si>
  <si>
    <t>Snel</t>
  </si>
  <si>
    <t>B-25846</t>
  </si>
  <si>
    <t>Soodesh</t>
  </si>
  <si>
    <t>B-25847</t>
  </si>
  <si>
    <t>Aniket</t>
  </si>
  <si>
    <t>B-25848</t>
  </si>
  <si>
    <t>B-25849</t>
  </si>
  <si>
    <t>K</t>
  </si>
  <si>
    <t>B-25850</t>
  </si>
  <si>
    <t>B-25851</t>
  </si>
  <si>
    <t>Kushal</t>
  </si>
  <si>
    <t>B-25852</t>
  </si>
  <si>
    <t>Soumyabrata</t>
  </si>
  <si>
    <t>B-25853</t>
  </si>
  <si>
    <t>Gaurav</t>
  </si>
  <si>
    <t>B-25854</t>
  </si>
  <si>
    <t>B-25855</t>
  </si>
  <si>
    <t>Abhijeet</t>
  </si>
  <si>
    <t>B-25856</t>
  </si>
  <si>
    <t>B-25857</t>
  </si>
  <si>
    <t>Anand</t>
  </si>
  <si>
    <t>B-25858</t>
  </si>
  <si>
    <t>13-11-2018</t>
  </si>
  <si>
    <t>B-25859</t>
  </si>
  <si>
    <t>14-11-2018</t>
  </si>
  <si>
    <t>Chikku</t>
  </si>
  <si>
    <t>B-25860</t>
  </si>
  <si>
    <t>15-11-2018</t>
  </si>
  <si>
    <t>B-25861</t>
  </si>
  <si>
    <t>Aayush</t>
  </si>
  <si>
    <t>B-25862</t>
  </si>
  <si>
    <t>Amol</t>
  </si>
  <si>
    <t>B-25863</t>
  </si>
  <si>
    <t>Manibalan</t>
  </si>
  <si>
    <t>B-25864</t>
  </si>
  <si>
    <t>Aromal</t>
  </si>
  <si>
    <t>B-25865</t>
  </si>
  <si>
    <t>Arun</t>
  </si>
  <si>
    <t>B-25866</t>
  </si>
  <si>
    <t>16-11-2018</t>
  </si>
  <si>
    <t>Komal</t>
  </si>
  <si>
    <t>B-25867</t>
  </si>
  <si>
    <t>17-11-2018</t>
  </si>
  <si>
    <t>B-25868</t>
  </si>
  <si>
    <t>18-11-2018</t>
  </si>
  <si>
    <t>Vikash</t>
  </si>
  <si>
    <t>B-25869</t>
  </si>
  <si>
    <t>19-11-2018</t>
  </si>
  <si>
    <t>Parakh</t>
  </si>
  <si>
    <t>B-25870</t>
  </si>
  <si>
    <t>20-11-2018</t>
  </si>
  <si>
    <t>B-25871</t>
  </si>
  <si>
    <t>21-11-2018</t>
  </si>
  <si>
    <t>Gunjal</t>
  </si>
  <si>
    <t>Surat</t>
  </si>
  <si>
    <t>B-25872</t>
  </si>
  <si>
    <t>22-11-2018</t>
  </si>
  <si>
    <t>Saurabh</t>
  </si>
  <si>
    <t>B-25873</t>
  </si>
  <si>
    <t>23-11-2018</t>
  </si>
  <si>
    <t>Divyeta</t>
  </si>
  <si>
    <t>B-25874</t>
  </si>
  <si>
    <t>24-11-2018</t>
  </si>
  <si>
    <t>Udaipur</t>
  </si>
  <si>
    <t>B-25875</t>
  </si>
  <si>
    <t>Divyeshkumar</t>
  </si>
  <si>
    <t>Allahabad</t>
  </si>
  <si>
    <t>B-25876</t>
  </si>
  <si>
    <t>Bhosale</t>
  </si>
  <si>
    <t>Amritsar</t>
  </si>
  <si>
    <t>B-25877</t>
  </si>
  <si>
    <t>Dashyam</t>
  </si>
  <si>
    <t>B-25878</t>
  </si>
  <si>
    <t>Mrinal</t>
  </si>
  <si>
    <t>B-25879</t>
  </si>
  <si>
    <t>B-25880</t>
  </si>
  <si>
    <t>Apoorv</t>
  </si>
  <si>
    <t>B-25881</t>
  </si>
  <si>
    <t>25-11-2018</t>
  </si>
  <si>
    <t>B-25882</t>
  </si>
  <si>
    <t>26-11-2018</t>
  </si>
  <si>
    <t>Masurkar</t>
  </si>
  <si>
    <t>B-25883</t>
  </si>
  <si>
    <t>27-11-2018</t>
  </si>
  <si>
    <t>Saptadeep</t>
  </si>
  <si>
    <t>B-25884</t>
  </si>
  <si>
    <t>28-11-2018</t>
  </si>
  <si>
    <t>Sumeet</t>
  </si>
  <si>
    <t>B-25885</t>
  </si>
  <si>
    <t>Shatayu</t>
  </si>
  <si>
    <t>B-25886</t>
  </si>
  <si>
    <t>Brijesh</t>
  </si>
  <si>
    <t>B-25887</t>
  </si>
  <si>
    <t>Vedant</t>
  </si>
  <si>
    <t>B-25888</t>
  </si>
  <si>
    <t>B-25889</t>
  </si>
  <si>
    <t>B-25890</t>
  </si>
  <si>
    <t>Divyansha</t>
  </si>
  <si>
    <t>B-25891</t>
  </si>
  <si>
    <t>B-25892</t>
  </si>
  <si>
    <t>B-25893</t>
  </si>
  <si>
    <t>Aashna</t>
  </si>
  <si>
    <t>B-25894</t>
  </si>
  <si>
    <t>Monu</t>
  </si>
  <si>
    <t>B-25895</t>
  </si>
  <si>
    <t>Sathya</t>
  </si>
  <si>
    <t>B-25896</t>
  </si>
  <si>
    <t>B-25897</t>
  </si>
  <si>
    <t>B-25898</t>
  </si>
  <si>
    <t>B-25899</t>
  </si>
  <si>
    <t>Aishwarya</t>
  </si>
  <si>
    <t>B-25900</t>
  </si>
  <si>
    <t>B-25901</t>
  </si>
  <si>
    <t>Suraj</t>
  </si>
  <si>
    <t>B-25902</t>
  </si>
  <si>
    <t>Ishpreet</t>
  </si>
  <si>
    <t>B-25903</t>
  </si>
  <si>
    <t>Amlan</t>
  </si>
  <si>
    <t>B-25904</t>
  </si>
  <si>
    <t>Delhi</t>
  </si>
  <si>
    <t>B-25905</t>
  </si>
  <si>
    <t>Bhargav</t>
  </si>
  <si>
    <t>B-25906</t>
  </si>
  <si>
    <t>Abhijit</t>
  </si>
  <si>
    <t>B-25907</t>
  </si>
  <si>
    <t>Jaydeep</t>
  </si>
  <si>
    <t>B-25908</t>
  </si>
  <si>
    <t>Pradeep</t>
  </si>
  <si>
    <t>B-25909</t>
  </si>
  <si>
    <t>13-12-2018</t>
  </si>
  <si>
    <t>Sujay</t>
  </si>
  <si>
    <t>B-25910</t>
  </si>
  <si>
    <t>14-12-2018</t>
  </si>
  <si>
    <t>Jay</t>
  </si>
  <si>
    <t>B-25911</t>
  </si>
  <si>
    <t>15-12-2018</t>
  </si>
  <si>
    <t>Phalguni</t>
  </si>
  <si>
    <t>B-25912</t>
  </si>
  <si>
    <t>16-12-2018</t>
  </si>
  <si>
    <t>Preksha</t>
  </si>
  <si>
    <t>B-25913</t>
  </si>
  <si>
    <t>17-12-2018</t>
  </si>
  <si>
    <t>Geetanjali</t>
  </si>
  <si>
    <t>B-25914</t>
  </si>
  <si>
    <t>18-12-2018</t>
  </si>
  <si>
    <t>Kajal</t>
  </si>
  <si>
    <t>B-25915</t>
  </si>
  <si>
    <t>19-12-2018</t>
  </si>
  <si>
    <t>Sukruta</t>
  </si>
  <si>
    <t>B-25916</t>
  </si>
  <si>
    <t>20-12-2018</t>
  </si>
  <si>
    <t>Utkarsh</t>
  </si>
  <si>
    <t>B-25917</t>
  </si>
  <si>
    <t>21-12-2018</t>
  </si>
  <si>
    <t>B-25918</t>
  </si>
  <si>
    <t>22-12-2018</t>
  </si>
  <si>
    <t>Karandeep</t>
  </si>
  <si>
    <t>B-25919</t>
  </si>
  <si>
    <t>23-12-2018</t>
  </si>
  <si>
    <t>Neha</t>
  </si>
  <si>
    <t>B-25920</t>
  </si>
  <si>
    <t>24-12-2018</t>
  </si>
  <si>
    <t>Jayanti</t>
  </si>
  <si>
    <t>B-25921</t>
  </si>
  <si>
    <t>25-12-2018</t>
  </si>
  <si>
    <t>Sandra</t>
  </si>
  <si>
    <t>B-25922</t>
  </si>
  <si>
    <t>26-12-2018</t>
  </si>
  <si>
    <t>Akshata</t>
  </si>
  <si>
    <t>B-25923</t>
  </si>
  <si>
    <t>27-12-2018</t>
  </si>
  <si>
    <t>Vishakha</t>
  </si>
  <si>
    <t>B-25924</t>
  </si>
  <si>
    <t>28-12-2018</t>
  </si>
  <si>
    <t>Prajakta</t>
  </si>
  <si>
    <t>B-25925</t>
  </si>
  <si>
    <t>29-12-2018</t>
  </si>
  <si>
    <t>B-25926</t>
  </si>
  <si>
    <t>30-12-2018</t>
  </si>
  <si>
    <t>Dipali</t>
  </si>
  <si>
    <t>B-25927</t>
  </si>
  <si>
    <t>31-12-2018</t>
  </si>
  <si>
    <t>B-25928</t>
  </si>
  <si>
    <t>Smriti</t>
  </si>
  <si>
    <t>B-25929</t>
  </si>
  <si>
    <t>Girase</t>
  </si>
  <si>
    <t>B-25930</t>
  </si>
  <si>
    <t>Monica</t>
  </si>
  <si>
    <t>B-25931</t>
  </si>
  <si>
    <t>Sidharth</t>
  </si>
  <si>
    <t>B-25932</t>
  </si>
  <si>
    <t>Bhutekar</t>
  </si>
  <si>
    <t>B-25933</t>
  </si>
  <si>
    <t>Shikhar</t>
  </si>
  <si>
    <t>B-25934</t>
  </si>
  <si>
    <t>Rahul</t>
  </si>
  <si>
    <t>B-25935</t>
  </si>
  <si>
    <t>Sudhir</t>
  </si>
  <si>
    <t>B-25936</t>
  </si>
  <si>
    <t>Nikhil</t>
  </si>
  <si>
    <t>B-25937</t>
  </si>
  <si>
    <t>B-25938</t>
  </si>
  <si>
    <t>B-25939</t>
  </si>
  <si>
    <t>Vineet</t>
  </si>
  <si>
    <t>B-25940</t>
  </si>
  <si>
    <t>Vivek</t>
  </si>
  <si>
    <t>B-25941</t>
  </si>
  <si>
    <t>Jaideep</t>
  </si>
  <si>
    <t>B-25942</t>
  </si>
  <si>
    <t>B-25943</t>
  </si>
  <si>
    <t>Shardul</t>
  </si>
  <si>
    <t>B-25944</t>
  </si>
  <si>
    <t>Syed</t>
  </si>
  <si>
    <t>B-25945</t>
  </si>
  <si>
    <t>Mhatre</t>
  </si>
  <si>
    <t>B-25946</t>
  </si>
  <si>
    <t>B-25947</t>
  </si>
  <si>
    <t>13-01-2019</t>
  </si>
  <si>
    <t>Chetan</t>
  </si>
  <si>
    <t>B-25948</t>
  </si>
  <si>
    <t>Mukund</t>
  </si>
  <si>
    <t>B-25949</t>
  </si>
  <si>
    <t>Shantanu</t>
  </si>
  <si>
    <t>B-25950</t>
  </si>
  <si>
    <t>B-25951</t>
  </si>
  <si>
    <t>Jesal</t>
  </si>
  <si>
    <t>B-25952</t>
  </si>
  <si>
    <t>B-25953</t>
  </si>
  <si>
    <t>14-01-2019</t>
  </si>
  <si>
    <t>B-25954</t>
  </si>
  <si>
    <t>Trupti</t>
  </si>
  <si>
    <t>B-25955</t>
  </si>
  <si>
    <t>16-01-2019</t>
  </si>
  <si>
    <t>B-25956</t>
  </si>
  <si>
    <t>17-01-2019</t>
  </si>
  <si>
    <t>B-25957</t>
  </si>
  <si>
    <t>18-01-2019</t>
  </si>
  <si>
    <t>B-25958</t>
  </si>
  <si>
    <t>Aparajita</t>
  </si>
  <si>
    <t>B-25959</t>
  </si>
  <si>
    <t>Muskan</t>
  </si>
  <si>
    <t>B-25960</t>
  </si>
  <si>
    <t>B-25961</t>
  </si>
  <si>
    <t>B-25962</t>
  </si>
  <si>
    <t>19-01-2019</t>
  </si>
  <si>
    <t>Tejeswini</t>
  </si>
  <si>
    <t>B-25963</t>
  </si>
  <si>
    <t>Pratiksha</t>
  </si>
  <si>
    <t>B-25964</t>
  </si>
  <si>
    <t>20-01-2019</t>
  </si>
  <si>
    <t>Oshin</t>
  </si>
  <si>
    <t>B-25965</t>
  </si>
  <si>
    <t>21-01-2019</t>
  </si>
  <si>
    <t>Saloni</t>
  </si>
  <si>
    <t>B-25966</t>
  </si>
  <si>
    <t>B-25967</t>
  </si>
  <si>
    <t>B-25968</t>
  </si>
  <si>
    <t>Paromita</t>
  </si>
  <si>
    <t>B-25969</t>
  </si>
  <si>
    <t>Shreyshi</t>
  </si>
  <si>
    <t>B-25970</t>
  </si>
  <si>
    <t>22-01-2019</t>
  </si>
  <si>
    <t>B-25971</t>
  </si>
  <si>
    <t>B-25972</t>
  </si>
  <si>
    <t>23-01-2019</t>
  </si>
  <si>
    <t>Jesslyn</t>
  </si>
  <si>
    <t>B-25973</t>
  </si>
  <si>
    <t>24-01-2019</t>
  </si>
  <si>
    <t>Seema</t>
  </si>
  <si>
    <t>B-25974</t>
  </si>
  <si>
    <t>25-01-2019</t>
  </si>
  <si>
    <t>Manisha</t>
  </si>
  <si>
    <t>B-25975</t>
  </si>
  <si>
    <t>B-25976</t>
  </si>
  <si>
    <t>Piyam</t>
  </si>
  <si>
    <t>B-25977</t>
  </si>
  <si>
    <t>27-01-2019</t>
  </si>
  <si>
    <t>B-25978</t>
  </si>
  <si>
    <t>Parin</t>
  </si>
  <si>
    <t>B-25979</t>
  </si>
  <si>
    <t>B-25980</t>
  </si>
  <si>
    <t>B-25981</t>
  </si>
  <si>
    <t>28-01-2019</t>
  </si>
  <si>
    <t>Amruta</t>
  </si>
  <si>
    <t>B-25982</t>
  </si>
  <si>
    <t>29-01-2019</t>
  </si>
  <si>
    <t>Hemangi</t>
  </si>
  <si>
    <t>B-25983</t>
  </si>
  <si>
    <t>30-01-2019</t>
  </si>
  <si>
    <t>Atul</t>
  </si>
  <si>
    <t>B-25984</t>
  </si>
  <si>
    <t>B-25985</t>
  </si>
  <si>
    <t>31-01-2019</t>
  </si>
  <si>
    <t>Ginny</t>
  </si>
  <si>
    <t>B-25986</t>
  </si>
  <si>
    <t>B-25987</t>
  </si>
  <si>
    <t>Manjiri</t>
  </si>
  <si>
    <t>B-25988</t>
  </si>
  <si>
    <t>Nirja</t>
  </si>
  <si>
    <t>B-25989</t>
  </si>
  <si>
    <t>B-25990</t>
  </si>
  <si>
    <t>Mugdha</t>
  </si>
  <si>
    <t>B-25991</t>
  </si>
  <si>
    <t>Mansi</t>
  </si>
  <si>
    <t>B-25992</t>
  </si>
  <si>
    <t>B-25993</t>
  </si>
  <si>
    <t>Harshal</t>
  </si>
  <si>
    <t>B-25994</t>
  </si>
  <si>
    <t>Omkar</t>
  </si>
  <si>
    <t>B-25995</t>
  </si>
  <si>
    <t>Yohann</t>
  </si>
  <si>
    <t>B-25996</t>
  </si>
  <si>
    <t>Prashant</t>
  </si>
  <si>
    <t>B-25997</t>
  </si>
  <si>
    <t>B-25998</t>
  </si>
  <si>
    <t>Anmol</t>
  </si>
  <si>
    <t>B-25999</t>
  </si>
  <si>
    <t>Diwakar</t>
  </si>
  <si>
    <t>B-26000</t>
  </si>
  <si>
    <t>B-26001</t>
  </si>
  <si>
    <t>Patil</t>
  </si>
  <si>
    <t>B-26002</t>
  </si>
  <si>
    <t>B-26003</t>
  </si>
  <si>
    <t>Hitesh</t>
  </si>
  <si>
    <t>B-26004</t>
  </si>
  <si>
    <t>Nandita</t>
  </si>
  <si>
    <t>B-26005</t>
  </si>
  <si>
    <t>Parnavi</t>
  </si>
  <si>
    <t>B-26006</t>
  </si>
  <si>
    <t>Arpita</t>
  </si>
  <si>
    <t>B-26007</t>
  </si>
  <si>
    <t>B-26008</t>
  </si>
  <si>
    <t>Kalyani</t>
  </si>
  <si>
    <t>B-26009</t>
  </si>
  <si>
    <t>B-26010</t>
  </si>
  <si>
    <t>Kartikay</t>
  </si>
  <si>
    <t>B-26011</t>
  </si>
  <si>
    <t>B-26012</t>
  </si>
  <si>
    <t>13-02-2019</t>
  </si>
  <si>
    <t>B-26013</t>
  </si>
  <si>
    <t>B-26014</t>
  </si>
  <si>
    <t>B-26015</t>
  </si>
  <si>
    <t>14-02-2019</t>
  </si>
  <si>
    <t>B-26016</t>
  </si>
  <si>
    <t>B-26017</t>
  </si>
  <si>
    <t>B-26018</t>
  </si>
  <si>
    <t>B-26019</t>
  </si>
  <si>
    <t>15-02-2019</t>
  </si>
  <si>
    <t>B-26020</t>
  </si>
  <si>
    <t>16-02-2019</t>
  </si>
  <si>
    <t>B-26021</t>
  </si>
  <si>
    <t>17-02-2019</t>
  </si>
  <si>
    <t>B-26022</t>
  </si>
  <si>
    <t>18-02-2019</t>
  </si>
  <si>
    <t>B-26023</t>
  </si>
  <si>
    <t>19-02-2019</t>
  </si>
  <si>
    <t>B-26024</t>
  </si>
  <si>
    <t>B-26025</t>
  </si>
  <si>
    <t>B-26026</t>
  </si>
  <si>
    <t>B-26027</t>
  </si>
  <si>
    <t>20-02-2019</t>
  </si>
  <si>
    <t>B-26028</t>
  </si>
  <si>
    <t>B-26029</t>
  </si>
  <si>
    <t>B-26030</t>
  </si>
  <si>
    <t>21-02-2019</t>
  </si>
  <si>
    <t>B-26031</t>
  </si>
  <si>
    <t>22-02-2019</t>
  </si>
  <si>
    <t>B-26032</t>
  </si>
  <si>
    <t>B-26033</t>
  </si>
  <si>
    <t>B-26034</t>
  </si>
  <si>
    <t>23-02-2019</t>
  </si>
  <si>
    <t>B-26035</t>
  </si>
  <si>
    <t>B-26036</t>
  </si>
  <si>
    <t>B-26037</t>
  </si>
  <si>
    <t>B-26038</t>
  </si>
  <si>
    <t>24-02-2019</t>
  </si>
  <si>
    <t>B-26039</t>
  </si>
  <si>
    <t>25-02-2019</t>
  </si>
  <si>
    <t>B-26040</t>
  </si>
  <si>
    <t>26-02-2019</t>
  </si>
  <si>
    <t>B-26041</t>
  </si>
  <si>
    <t>27-02-2019</t>
  </si>
  <si>
    <t>B-26042</t>
  </si>
  <si>
    <t>28-02-2019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</si>
  <si>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</si>
  <si>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</si>
  <si>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</si>
  <si>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</si>
  <si>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</si>
  <si>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</si>
  <si>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</si>
  <si>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</si>
  <si>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</si>
  <si>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</si>
  <si>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</si>
  <si>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</si>
  <si>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</si>
  <si>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</si>
  <si>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</si>
  <si>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</si>
  <si>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</si>
  <si>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</si>
  <si>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13-03-2019</t>
  </si>
  <si>
    <t>B-26061</t>
  </si>
  <si>
    <t>14-03-2019</t>
  </si>
  <si>
    <t>B-26062</t>
  </si>
  <si>
    <t>15-03-2019</t>
  </si>
  <si>
    <t>B-26063</t>
  </si>
  <si>
    <t>B-26064</t>
  </si>
  <si>
    <t>16-03-2019</t>
  </si>
  <si>
    <t>Ankita</t>
  </si>
  <si>
    <t>B-26065</t>
  </si>
  <si>
    <t>B-26066</t>
  </si>
  <si>
    <t>B-26067</t>
  </si>
  <si>
    <t>B-26068</t>
  </si>
  <si>
    <t>B-26069</t>
  </si>
  <si>
    <t>17-03-2019</t>
  </si>
  <si>
    <t>B-26070</t>
  </si>
  <si>
    <t>18-03-2019</t>
  </si>
  <si>
    <t>B-26071</t>
  </si>
  <si>
    <t>19-03-2019</t>
  </si>
  <si>
    <t>B-26072</t>
  </si>
  <si>
    <t>20-03-2019</t>
  </si>
  <si>
    <t>B-26073</t>
  </si>
  <si>
    <t>21-03-2019</t>
  </si>
  <si>
    <t>B-26074</t>
  </si>
  <si>
    <t>B-26075</t>
  </si>
  <si>
    <t>B-26076</t>
  </si>
  <si>
    <t>B-26077</t>
  </si>
  <si>
    <t>22-03-2019</t>
  </si>
  <si>
    <t>B-26078</t>
  </si>
  <si>
    <t>B-26079</t>
  </si>
  <si>
    <t>B-26080</t>
  </si>
  <si>
    <t>B-26081</t>
  </si>
  <si>
    <t>B-26082</t>
  </si>
  <si>
    <t>23-03-2019</t>
  </si>
  <si>
    <t>B-26083</t>
  </si>
  <si>
    <t>24-03-2019</t>
  </si>
  <si>
    <t>B-26084</t>
  </si>
  <si>
    <t>25-03-2019</t>
  </si>
  <si>
    <t>B-26085</t>
  </si>
  <si>
    <t>26-03-2019</t>
  </si>
  <si>
    <t>B-26086</t>
  </si>
  <si>
    <t>B-26087</t>
  </si>
  <si>
    <t>B-26088</t>
  </si>
  <si>
    <t>B-26089</t>
  </si>
  <si>
    <t>B-26090</t>
  </si>
  <si>
    <t>27-03-2019</t>
  </si>
  <si>
    <t>B-26091</t>
  </si>
  <si>
    <t>B-26092</t>
  </si>
  <si>
    <t>B-26093</t>
  </si>
  <si>
    <t>B-26094</t>
  </si>
  <si>
    <t>B-26095</t>
  </si>
  <si>
    <t>28-03-2019</t>
  </si>
  <si>
    <t>B-26096</t>
  </si>
  <si>
    <t>B-26097</t>
  </si>
  <si>
    <t>B-26098</t>
  </si>
  <si>
    <t>29-03-2019</t>
  </si>
  <si>
    <t>B-26099</t>
  </si>
  <si>
    <t>30-03-2019</t>
  </si>
  <si>
    <t>B-26100</t>
  </si>
  <si>
    <t>31-03-2019</t>
  </si>
  <si>
    <t>Month of Order Date</t>
  </si>
  <si>
    <t>Category</t>
  </si>
  <si>
    <t>Target</t>
  </si>
  <si>
    <t>Furniture</t>
  </si>
  <si>
    <t>Clothing</t>
  </si>
  <si>
    <t>Electronics</t>
  </si>
  <si>
    <t>Year-Month</t>
  </si>
  <si>
    <t>Sum of Profit</t>
  </si>
  <si>
    <t>18-Apr</t>
  </si>
  <si>
    <t>18-May</t>
  </si>
  <si>
    <t>18-Jun</t>
  </si>
  <si>
    <t>18-Jul</t>
  </si>
  <si>
    <t>18-Aug</t>
  </si>
  <si>
    <t>18-Sep</t>
  </si>
  <si>
    <t>18-Oct</t>
  </si>
  <si>
    <t>18-Nov</t>
  </si>
  <si>
    <t>18-Dec</t>
  </si>
  <si>
    <t>19-Jan</t>
  </si>
  <si>
    <t>19-Feb</t>
  </si>
  <si>
    <t>19-Mar</t>
  </si>
  <si>
    <t>Grand Total</t>
  </si>
  <si>
    <t>Amount</t>
  </si>
  <si>
    <t>Profit</t>
  </si>
  <si>
    <t>Quantity</t>
  </si>
  <si>
    <t>Sub-Category</t>
  </si>
  <si>
    <t>Customer Name</t>
  </si>
  <si>
    <t>Profit Margin %</t>
  </si>
  <si>
    <t>Year</t>
  </si>
  <si>
    <t>Quarter</t>
  </si>
  <si>
    <t>Bookcases</t>
  </si>
  <si>
    <t>Stole</t>
  </si>
  <si>
    <t>Hankerchief</t>
  </si>
  <si>
    <t>Electronic Games</t>
  </si>
  <si>
    <t>Phones</t>
  </si>
  <si>
    <t>Saree</t>
  </si>
  <si>
    <t>Trousers</t>
  </si>
  <si>
    <t>Chairs</t>
  </si>
  <si>
    <t>Kurti</t>
  </si>
  <si>
    <t>T-shirt</t>
  </si>
  <si>
    <t>Shirt</t>
  </si>
  <si>
    <t>Leggings</t>
  </si>
  <si>
    <t>Tables</t>
  </si>
  <si>
    <t>Printers</t>
  </si>
  <si>
    <t>Accessories</t>
  </si>
  <si>
    <t>Furnishings</t>
  </si>
  <si>
    <t>Skirt</t>
  </si>
  <si>
    <t>(All)</t>
  </si>
  <si>
    <t>Sum of Amount</t>
  </si>
  <si>
    <t>Count of Order ID</t>
  </si>
  <si>
    <t>Actual vs Target</t>
  </si>
  <si>
    <t>overall profit margin%</t>
  </si>
  <si>
    <t>Clothing Total</t>
  </si>
  <si>
    <t>Electronics Total</t>
  </si>
  <si>
    <t>Furniture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</si>
</sst>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[$₹-4009]\ #,##0"/>
  </numFmts>
  <fonts count="4">
    <font>
      <sz val="11"/>
      <color theme="1"/>
      <name val="Calibri"/>
      <family val="2"/>
      <scheme val="minor"/>
    </font>
    <font>
      <sz val="10"/>
      <color rgb="FF000000"/>
      <name val="Arial"/>
      <charset val="1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Fill="1" applyBorder="1" applyAlignment="1"/>
    <xf numFmtId="14" fontId="1" fillId="0" borderId="0" xfId="0" applyNumberFormat="1" applyFont="1" applyFill="1" applyBorder="1" applyAlignment="1"/>
    <xf numFmtId="16" fontId="1" fillId="0" borderId="0" xfId="0" applyNumberFormat="1" applyFont="1" applyFill="1" applyBorder="1" applyAlignment="1"/>
    <xf numFmtId="14" fontId="0" fillId="0" borderId="0" xfId="0" applyNumberFormat="1"/>
    <xf numFmtId="164" fontId="1" fillId="0" borderId="0" xfId="0" applyNumberFormat="1" applyFont="1" applyFill="1" applyBorder="1" applyAlignment="1"/>
    <xf numFmtId="164" fontId="0" fillId="0" borderId="0" xfId="0" applyNumberFormat="1"/>
    <xf numFmtId="0" fontId="1" fillId="0" borderId="0" xfId="0" applyFont="1" applyFill="1" applyAlignment="1"/>
    <xf numFmtId="0" fontId="1" fillId="0" borderId="0" xfId="0" applyNumberFormat="1" applyFont="1" applyFill="1" applyAlignment="1"/>
    <xf numFmtId="0" fontId="0" fillId="0" borderId="0" xfId="0" applyNumberFormat="1"/>
    <xf numFmtId="164" fontId="1" fillId="0" borderId="0" xfId="0" applyNumberFormat="1" applyFont="1" applyFill="1" applyAlignment="1"/>
    <xf numFmtId="10" fontId="1" fillId="0" borderId="0" xfId="0" applyNumberFormat="1" applyFont="1" applyFill="1" applyAlignment="1"/>
    <xf numFmtId="10" fontId="0" fillId="0" borderId="0" xfId="0" applyNumberFormat="1"/>
    <xf numFmtId="0" fontId="0" fillId="0" borderId="0" xfId="0" pivotButton="1"/>
    <xf numFmtId="0" fontId="0" fillId="0" borderId="0" xfId="0" applyFont="1"/>
    <xf numFmtId="0" fontId="0" fillId="2" borderId="0" xfId="0" applyFont="1" applyFill="1"/>
    <xf numFmtId="0" fontId="2" fillId="3" borderId="2" xfId="0" applyFont="1" applyFill="1" applyBorder="1" applyAlignment="1">
      <alignment horizontal="center" vertical="center"/>
    </xf>
    <xf numFmtId="10" fontId="2" fillId="3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0"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4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21" formatCode="d\-mm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4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[Book1 - Copy.xlsx]Trend Analysis!PivotTable1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Six Months of Losses, Then a Turnaround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'Trend Analysis'!$A$4:$A$16</c:f>
              <c:strCache>
                <c:ptCount val="12"/>
                <c:pt idx="0">
                  <c:v>18-Apr</c:v>
                </c:pt>
                <c:pt idx="1">
                  <c:v>18-May</c:v>
                </c:pt>
                <c:pt idx="2">
                  <c:v>18-Jun</c:v>
                </c:pt>
                <c:pt idx="3">
                  <c:v>18-Jul</c:v>
                </c:pt>
                <c:pt idx="4">
                  <c:v>18-Aug</c:v>
                </c:pt>
                <c:pt idx="5">
                  <c:v>18-Sep</c:v>
                </c:pt>
                <c:pt idx="6">
                  <c:v>18-Oct</c:v>
                </c:pt>
                <c:pt idx="7">
                  <c:v>18-Nov</c:v>
                </c:pt>
                <c:pt idx="8">
                  <c:v>18-Dec</c:v>
                </c:pt>
                <c:pt idx="9">
                  <c:v>19-Jan</c:v>
                </c:pt>
                <c:pt idx="10">
                  <c:v>19-Feb</c:v>
                </c:pt>
                <c:pt idx="11">
                  <c:v>19-Mar</c:v>
                </c:pt>
              </c:strCache>
            </c:strRef>
          </c:cat>
          <c:val>
            <c:numRef>
              <c:f>'Trend Analysis'!$B$4:$B$16</c:f>
              <c:numCache>
                <c:formatCode>General</c:formatCode>
                <c:ptCount val="12"/>
                <c:pt idx="0">
                  <c:v>-3960</c:v>
                </c:pt>
                <c:pt idx="1">
                  <c:v>-3584</c:v>
                </c:pt>
                <c:pt idx="2">
                  <c:v>-4970</c:v>
                </c:pt>
                <c:pt idx="3">
                  <c:v>-2138</c:v>
                </c:pt>
                <c:pt idx="4">
                  <c:v>-2180</c:v>
                </c:pt>
                <c:pt idx="5">
                  <c:v>-4963</c:v>
                </c:pt>
                <c:pt idx="6">
                  <c:v>3093</c:v>
                </c:pt>
                <c:pt idx="7">
                  <c:v>11619</c:v>
                </c:pt>
                <c:pt idx="8">
                  <c:v>5284</c:v>
                </c:pt>
                <c:pt idx="9">
                  <c:v>9760</c:v>
                </c:pt>
                <c:pt idx="10">
                  <c:v>5917</c:v>
                </c:pt>
                <c:pt idx="11">
                  <c:v>10077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63-4518-951B-65E4C4A9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852487"/>
        <c:axId val="585176583"/>
      </c:lineChart>
      <c:catAx>
        <c:axId val="176852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176583"/>
        <c:crosses val="autoZero"/>
        <c:auto val="1"/>
        <c:lblAlgn val="ctr"/>
        <c:lblOffset val="100"/>
        <c:noMultiLvlLbl val="0"/>
      </c:catAx>
      <c:valAx>
        <c:axId val="585176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52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 %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384C-4DD2-88FF-1DC186EEFE9A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932-41D0-AD17-1A67E5A65B63}"/>
              </c:ext>
            </c:extLst>
          </c:dPt>
          <c:cat>
            <c:strRef>
              <c:f>'Profitability Analysis'!$G$8:$G$24</c:f>
              <c:strCache>
                <c:ptCount val="17"/>
                <c:pt idx="0">
                  <c:v>Tables</c:v>
                </c:pt>
                <c:pt idx="1">
                  <c:v>Electronic Games</c:v>
                </c:pt>
                <c:pt idx="2">
                  <c:v>Saree</c:v>
                </c:pt>
                <c:pt idx="3">
                  <c:v>Chairs</c:v>
                </c:pt>
                <c:pt idx="4">
                  <c:v>Phones</c:v>
                </c:pt>
                <c:pt idx="5">
                  <c:v>Kurti</c:v>
                </c:pt>
                <c:pt idx="6">
                  <c:v>Furnishings</c:v>
                </c:pt>
                <c:pt idx="7">
                  <c:v>Bookcases</c:v>
                </c:pt>
                <c:pt idx="8">
                  <c:v>Trousers</c:v>
                </c:pt>
                <c:pt idx="9">
                  <c:v>Printers</c:v>
                </c:pt>
                <c:pt idx="10">
                  <c:v>Skirt</c:v>
                </c:pt>
                <c:pt idx="11">
                  <c:v>Leggings</c:v>
                </c:pt>
                <c:pt idx="12">
                  <c:v>Stole</c:v>
                </c:pt>
                <c:pt idx="13">
                  <c:v>Hankerchief</c:v>
                </c:pt>
                <c:pt idx="14">
                  <c:v>Shirt</c:v>
                </c:pt>
                <c:pt idx="15">
                  <c:v>Accessories</c:v>
                </c:pt>
                <c:pt idx="16">
                  <c:v>T-shirt</c:v>
                </c:pt>
              </c:strCache>
            </c:strRef>
          </c:cat>
          <c:val>
            <c:numRef>
              <c:f>'Profitability Analysis'!$H$8:$H$24</c:f>
              <c:numCache>
                <c:formatCode>0.00%</c:formatCode>
                <c:ptCount val="17"/>
                <c:pt idx="0">
                  <c:v>-0.1774</c:v>
                </c:pt>
                <c:pt idx="1">
                  <c:v>-3.1600000000000003E-2</c:v>
                </c:pt>
                <c:pt idx="2">
                  <c:v>6.6E-3</c:v>
                </c:pt>
                <c:pt idx="3">
                  <c:v>1.6899999999999998E-2</c:v>
                </c:pt>
                <c:pt idx="4">
                  <c:v>4.7899999999999998E-2</c:v>
                </c:pt>
                <c:pt idx="5">
                  <c:v>5.3900000000000003E-2</c:v>
                </c:pt>
                <c:pt idx="6">
                  <c:v>6.2600000000000003E-2</c:v>
                </c:pt>
                <c:pt idx="7">
                  <c:v>8.5999999999999993E-2</c:v>
                </c:pt>
                <c:pt idx="8">
                  <c:v>9.4799999999999995E-2</c:v>
                </c:pt>
                <c:pt idx="9">
                  <c:v>0.1024</c:v>
                </c:pt>
                <c:pt idx="10">
                  <c:v>0.1208</c:v>
                </c:pt>
                <c:pt idx="11">
                  <c:v>0.1235</c:v>
                </c:pt>
                <c:pt idx="12">
                  <c:v>0.13800000000000001</c:v>
                </c:pt>
                <c:pt idx="13">
                  <c:v>0.14360000000000001</c:v>
                </c:pt>
                <c:pt idx="14">
                  <c:v>0.1497</c:v>
                </c:pt>
                <c:pt idx="15">
                  <c:v>0.1638</c:v>
                </c:pt>
                <c:pt idx="16">
                  <c:v>0.20319999999999999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4C-4DD2-88FF-1DC186EEF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9828744"/>
        <c:axId val="2139830792"/>
      </c:barChart>
      <c:catAx>
        <c:axId val="2139828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830792"/>
        <c:crosses val="autoZero"/>
        <c:auto val="1"/>
        <c:lblAlgn val="ctr"/>
        <c:lblOffset val="100"/>
        <c:noMultiLvlLbl val="0"/>
      </c:catAx>
      <c:valAx>
        <c:axId val="2139830792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828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Margins Vary Widely Across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'Geography Analysis'!$G$3</c:f>
              <c:strCache>
                <c:ptCount val="1"/>
                <c:pt idx="0">
                  <c:v>Profit Margin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DF0-4CB0-9D55-BCCE670F2F3A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F0-4CB0-9D55-BCCE670F2F3A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DF0-4CB0-9D55-BCCE670F2F3A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DF0-4CB0-9D55-BCCE670F2F3A}"/>
              </c:ext>
            </c:extLst>
          </c:dPt>
          <c:cat>
            <c:strRef>
              <c:f>'Geography Analysis'!$F$4:$F$22</c:f>
              <c:strCache>
                <c:ptCount val="19"/>
                <c:pt idx="0">
                  <c:v>Tamil Nadu</c:v>
                </c:pt>
                <c:pt idx="1">
                  <c:v>Andhra Pradesh</c:v>
                </c:pt>
                <c:pt idx="2">
                  <c:v>Punjab</c:v>
                </c:pt>
                <c:pt idx="3">
                  <c:v>Bihar</c:v>
                </c:pt>
                <c:pt idx="4">
                  <c:v>Jammu and Kashmir</c:v>
                </c:pt>
                <c:pt idx="5">
                  <c:v>Nagaland</c:v>
                </c:pt>
                <c:pt idx="6">
                  <c:v>Gujarat</c:v>
                </c:pt>
                <c:pt idx="7">
                  <c:v>Karnataka</c:v>
                </c:pt>
                <c:pt idx="8">
                  <c:v>Madhya Pradesh</c:v>
                </c:pt>
                <c:pt idx="9">
                  <c:v>Goa</c:v>
                </c:pt>
                <c:pt idx="10">
                  <c:v>Rajasthan</c:v>
                </c:pt>
                <c:pt idx="11">
                  <c:v>Maharashtra</c:v>
                </c:pt>
                <c:pt idx="12">
                  <c:v>Himachal Pradesh</c:v>
                </c:pt>
                <c:pt idx="13">
                  <c:v>Sikkim</c:v>
                </c:pt>
                <c:pt idx="14">
                  <c:v>Delhi</c:v>
                </c:pt>
                <c:pt idx="15">
                  <c:v>Kerala </c:v>
                </c:pt>
                <c:pt idx="16">
                  <c:v>Uttar Pradesh</c:v>
                </c:pt>
                <c:pt idx="17">
                  <c:v>Haryana</c:v>
                </c:pt>
                <c:pt idx="18">
                  <c:v>West Bengal</c:v>
                </c:pt>
              </c:strCache>
            </c:strRef>
          </c:cat>
          <c:val>
            <c:numRef>
              <c:f>'Geography Analysis'!$G$4:$G$22</c:f>
              <c:numCache>
                <c:formatCode>0.00%</c:formatCode>
                <c:ptCount val="19"/>
                <c:pt idx="0">
                  <c:v>-0.36405454246755381</c:v>
                </c:pt>
                <c:pt idx="1">
                  <c:v>-3.7417018708509352E-2</c:v>
                </c:pt>
                <c:pt idx="2">
                  <c:v>-3.6280233527939951E-2</c:v>
                </c:pt>
                <c:pt idx="3">
                  <c:v>-2.4801050761029127E-2</c:v>
                </c:pt>
                <c:pt idx="4">
                  <c:v>7.3875704127804971E-4</c:v>
                </c:pt>
                <c:pt idx="5">
                  <c:v>1.2433840208350836E-2</c:v>
                </c:pt>
                <c:pt idx="6">
                  <c:v>2.2081869123373541E-2</c:v>
                </c:pt>
                <c:pt idx="7">
                  <c:v>4.283437375481472E-2</c:v>
                </c:pt>
                <c:pt idx="8">
                  <c:v>5.2796271637816243E-2</c:v>
                </c:pt>
                <c:pt idx="9">
                  <c:v>5.5182699478001494E-2</c:v>
                </c:pt>
                <c:pt idx="10">
                  <c:v>5.9435434299494064E-2</c:v>
                </c:pt>
                <c:pt idx="11">
                  <c:v>6.4773251667575624E-2</c:v>
                </c:pt>
                <c:pt idx="12">
                  <c:v>7.5698130625432722E-2</c:v>
                </c:pt>
                <c:pt idx="13">
                  <c:v>7.6004548900682339E-2</c:v>
                </c:pt>
                <c:pt idx="14">
                  <c:v>0.13257289956060539</c:v>
                </c:pt>
                <c:pt idx="15">
                  <c:v>0.1390147856452931</c:v>
                </c:pt>
                <c:pt idx="16">
                  <c:v>0.14477391654367369</c:v>
                </c:pt>
                <c:pt idx="17">
                  <c:v>0.14949791267065327</c:v>
                </c:pt>
                <c:pt idx="18">
                  <c:v>0.17748118699417861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DF0-4CB0-9D55-BCCE670F2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855"/>
        <c:axId val="212999"/>
      </c:barChart>
      <c:catAx>
        <c:axId val="206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99"/>
        <c:crosses val="autoZero"/>
        <c:auto val="1"/>
        <c:lblAlgn val="ctr"/>
        <c:lblOffset val="100"/>
        <c:noMultiLvlLbl val="0"/>
      </c:catAx>
      <c:valAx>
        <c:axId val="212999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1009650</xdr:colOff>
      <xdr:row>15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3EA0B0-0B57-4DD6-845F-F5D52973E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485775</xdr:colOff>
      <xdr:row>2</xdr:row>
      <xdr:rowOff>123825</xdr:rowOff>
    </xdr:from>
    <xdr:to>
      <xdr:col>13</xdr:col>
      <xdr:colOff>571500</xdr:colOff>
      <xdr:row>15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CBCC24-236A-4E52-B85D-0314409C7694}"/>
            </a:ext>
            <a:ext uri="{147F2762-F138-4A5C-976F-8EAC2B608ADB}">
              <a16:predDERef xmlns:a16="http://schemas.microsoft.com/office/drawing/2014/main" pred="{423EA0B0-0B57-4DD6-845F-F5D52973E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1143000</xdr:colOff>
      <xdr:row>2</xdr:row>
      <xdr:rowOff>114300</xdr:rowOff>
    </xdr:from>
    <xdr:to>
      <xdr:col>7</xdr:col>
      <xdr:colOff>381000</xdr:colOff>
      <xdr:row>15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C955EF-6FD0-4ED5-A830-1F2DFCF801CD}"/>
            </a:ext>
            <a:ext uri="{147F2762-F138-4A5C-976F-8EAC2B608ADB}">
              <a16:predDERef xmlns:a16="http://schemas.microsoft.com/office/drawing/2014/main" pred="{B2CBCC24-236A-4E52-B85D-0314409C76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2000250</xdr:colOff>
      <xdr:row>17</xdr:row>
      <xdr:rowOff>9525</xdr:rowOff>
    </xdr:from>
    <xdr:to>
      <xdr:col>8</xdr:col>
      <xdr:colOff>438150</xdr:colOff>
      <xdr:row>22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9D630C3-D79E-865A-9F1E-1AA72A3C2533}"/>
            </a:ext>
            <a:ext uri="{147F2762-F138-4A5C-976F-8EAC2B608ADB}">
              <a16:predDERef xmlns:a16="http://schemas.microsoft.com/office/drawing/2014/main" pred="{4AC955EF-6FD0-4ED5-A830-1F2DFCF801CD}"/>
            </a:ext>
          </a:extLst>
        </xdr:cNvPr>
        <xdr:cNvSpPr txBox="1"/>
      </xdr:nvSpPr>
      <xdr:spPr>
        <a:xfrm>
          <a:off x="4791075" y="3467100"/>
          <a:ext cx="489585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b="0" i="0">
              <a:latin typeface="Times New Roman" panose="02020603050405020304" pitchFamily="18" charset="0"/>
              <a:cs typeface="Times New Roman" panose="02020603050405020304" pitchFamily="18" charset="0"/>
            </a:rPr>
            <a:t>Customer Health: 332 unique customers with healthy distribution, top 10 customers represent only 15.94% of total revenue. No concentration risk identified.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8.36417951389" createdVersion="8" refreshedVersion="8" minRefreshableVersion="3" recordCount="1500" xr:uid="{83BD7772-DF99-4692-A1AD-3227C171DED3}">
  <cacheSource type="worksheet">
    <worksheetSource name="Order_Details"/>
  </cacheSource>
  <cacheFields count="14">
    <cacheField name="Order ID" numFmtId="0">
      <sharedItems/>
    </cacheField>
    <cacheField name="Amount" numFmtId="0">
      <sharedItems containsSemiMixedTypes="0" containsString="0" containsNumber="1" containsInteger="1" minValue="4" maxValue="5729"/>
    </cacheField>
    <cacheField name="Profit" numFmtId="0">
      <sharedItems containsSemiMixedTypes="0" containsString="0" containsNumber="1" containsInteger="1" minValue="-1981" maxValue="1698"/>
    </cacheField>
    <cacheField name="Quantity" numFmtId="0">
      <sharedItems containsSemiMixedTypes="0" containsString="0" containsNumber="1" containsInteger="1" minValue="1" maxValue="14"/>
    </cacheField>
    <cacheField name="Category" numFmtId="0">
      <sharedItems count="3">
        <s v="Furniture"/>
        <s v="Clothing"/>
        <s v="Electronics"/>
      </sharedItems>
    </cacheField>
    <cacheField name="Sub-Category" numFmtId="0">
      <sharedItems count="17">
        <s v="Bookcases"/>
        <s v="Stole"/>
        <s v="Hankerchief"/>
        <s v="Electronic Games"/>
        <s v="Phones"/>
        <s v="Saree"/>
        <s v="Trousers"/>
        <s v="Chairs"/>
        <s v="Kurti"/>
        <s v="T-shirt"/>
        <s v="Shirt"/>
        <s v="Leggings"/>
        <s v="Tables"/>
        <s v="Printers"/>
        <s v="Accessories"/>
        <s v="Furnishings"/>
        <s v="Skirt"/>
      </sharedItems>
    </cacheField>
    <cacheField name="State" numFmtId="0">
      <sharedItems count="19">
        <s v="Gujarat"/>
        <s v="Maharashtra"/>
        <s v="Madhya Pradesh"/>
        <s v="Rajasthan"/>
        <s v="West Bengal"/>
        <s v="Karnataka"/>
        <s v="Jammu and Kashmir"/>
        <s v="Tamil Nadu"/>
        <s v="Uttar Pradesh"/>
        <s v="Bihar"/>
        <s v="Kerala "/>
        <s v="Punjab"/>
        <s v="Haryana"/>
        <s v="Himachal Pradesh"/>
        <s v="Sikkim"/>
        <s v="Goa"/>
        <s v="Nagaland"/>
        <s v="Andhra Pradesh"/>
        <s v="Delhi"/>
      </sharedItems>
    </cacheField>
    <cacheField name="Order Date" numFmtId="164">
      <sharedItems containsSemiMixedTypes="0" containsNonDate="0" containsDate="1" containsString="0" minDate="2018-04-01T00:00:00" maxDate="2019-04-01T00:00:00"/>
    </cacheField>
    <cacheField name="Customer Name" numFmtId="0">
      <sharedItems count="332">
        <s v="Bharat"/>
        <s v="Pearl"/>
        <s v="Jahan"/>
        <s v="Divsha"/>
        <s v="Kasheen"/>
        <s v="Hazel"/>
        <s v="Sonakshi"/>
        <s v="Aarushi"/>
        <s v="Jitesh"/>
        <s v="Yogesh"/>
        <s v="Anita"/>
        <s v="Shrichand"/>
        <s v="Mukesh"/>
        <s v="Vandana"/>
        <s v="Bhavna"/>
        <s v="Kanak"/>
        <s v="Sagar"/>
        <s v="Manju"/>
        <s v="Ramesh"/>
        <s v="Sarita"/>
        <s v="Deepak"/>
        <s v="Monisha"/>
        <s v="Atharv"/>
        <s v="Vini"/>
        <s v="Pinky"/>
        <s v="Bhishm"/>
        <s v="Hitika"/>
        <s v="Pooja"/>
        <s v="Hemant"/>
        <s v="Sahil"/>
        <s v="Ritu"/>
        <s v="Manish"/>
        <s v="Amit"/>
        <s v="Sanjay"/>
        <s v="Nidhi"/>
        <s v="Nishi"/>
        <s v="Ashmi"/>
        <s v="Parth"/>
        <s v="Lisha"/>
        <s v="Paridhi"/>
        <s v="Parishi"/>
        <s v="Ajay"/>
        <s v="Kirti"/>
        <s v="Mayank"/>
        <s v="Yaanvi"/>
        <s v="Sonal"/>
        <s v="Sharda"/>
        <s v="Aditya"/>
        <s v="Rachna"/>
        <s v="Chirag"/>
        <s v="Anurag"/>
        <s v="Tushina"/>
        <s v="Farah"/>
        <s v="Sabah"/>
        <s v="Nida"/>
        <s v="Priyanka"/>
        <s v="Tulika"/>
        <s v="Shefali"/>
        <s v="Sanskriti"/>
        <s v="Shruti"/>
        <s v="Subhashree"/>
        <s v="Sweta"/>
        <s v="Pournamasi"/>
        <s v="Pratyusmita"/>
        <s v="Chayanika"/>
        <s v="Tanvi"/>
        <s v="Anjali"/>
        <s v="Rhea"/>
        <s v="Piyali"/>
        <s v="Charika"/>
        <s v="Mitali"/>
        <s v="Akanksha"/>
        <s v="Arsheen"/>
        <s v="Mahima"/>
        <s v="Shreya"/>
        <s v="Chandni"/>
        <s v="Ekta"/>
        <s v="Bathina"/>
        <s v="Avni"/>
        <s v="Aayushi"/>
        <s v="Bhawna"/>
        <s v="Krutika"/>
        <s v="Samiksha"/>
        <s v="Sheetal"/>
        <s v="Sanjna"/>
        <s v="Swetha"/>
        <s v="Bhaggyasree"/>
        <s v="Gunjan"/>
        <s v="Akancha"/>
        <s v="Rashmi"/>
        <s v="Parna"/>
        <s v="Subhasmita"/>
        <s v="Suhani"/>
        <s v="Noopur"/>
        <s v="Vijay"/>
        <s v="Amisha"/>
        <s v="Kritika"/>
        <s v="Shubhi"/>
        <s v="Maithilee"/>
        <s v="Shaily"/>
        <s v="Riya"/>
        <s v="Shweta"/>
        <s v="Swetlana"/>
        <s v="Shivani"/>
        <s v="Kishwar"/>
        <s v="Aakanksha"/>
        <s v="Megha"/>
        <s v="Sakshi"/>
        <s v="Adhvaita"/>
        <s v="Raksha"/>
        <s v="Stuti"/>
        <s v="Srishti"/>
        <s v="Surabhi"/>
        <s v="Manshul"/>
        <s v="Namrata"/>
        <s v="Anchal"/>
        <s v="Inderpreet"/>
        <s v="Wale"/>
        <s v="Anisha"/>
        <s v="Kiran"/>
        <s v="Turumella"/>
        <s v="Ameesha"/>
        <s v="Madhulika"/>
        <s v="Rishabh"/>
        <s v="Akash"/>
        <s v="Anubhaw"/>
        <s v="Dhirajendu"/>
        <s v="Pranav"/>
        <s v="Arindam"/>
        <s v="Akshat"/>
        <s v="Shubham"/>
        <s v="Ayush"/>
        <s v="Daksh"/>
        <s v="Rane"/>
        <s v="Navdeep"/>
        <s v="Ashwin"/>
        <s v="Aman"/>
        <s v="Devendra"/>
        <s v="Kartik"/>
        <s v="Shivam"/>
        <s v="Harsh"/>
        <s v="Nitant"/>
        <s v="Priyanshu"/>
        <s v="Nishant"/>
        <s v="Vaibhav"/>
        <s v="Akshay"/>
        <s v="Shourya"/>
        <s v="Mohan"/>
        <s v="Mohit"/>
        <s v="Soumya"/>
        <s v="Anudeep"/>
        <s v="Noshiba"/>
        <s v="Sanjova"/>
        <s v="Meghana"/>
        <s v="Ashmeet"/>
        <s v="Shreyoshe"/>
        <s v="Surbhi"/>
        <s v="Vaibhavi"/>
        <s v="Sanjana"/>
        <s v="Snehal"/>
        <s v="Duhita"/>
        <s v="Mousam"/>
        <s v="Aditi"/>
        <s v="Savi"/>
        <s v="Teena"/>
        <s v="Rutuja"/>
        <s v="Shivangi"/>
        <s v="Rohit"/>
        <s v="Abhishek"/>
        <s v="Asish"/>
        <s v="Dinesh"/>
        <s v="Sajal"/>
        <s v="Avish"/>
        <s v="Siddharth"/>
        <s v="Sukant"/>
        <s v="Sukrith"/>
        <s v="Sauptik"/>
        <s v="Shishu"/>
        <s v="Divyansh"/>
        <s v="Ishit"/>
        <s v="Aryan"/>
        <s v="Yash"/>
        <s v="Shivanshu"/>
        <s v="Sudheer"/>
        <s v="Ankit"/>
        <s v="Dhanraj"/>
        <s v="Vipul"/>
        <s v="Apsingekar"/>
        <s v="Suman"/>
        <s v="Nripraj"/>
        <s v="Utsav"/>
        <s v="Kshitij"/>
        <s v="Hrisheekesh"/>
        <s v="Swapnil"/>
        <s v="Mane"/>
        <s v="Praneet"/>
        <s v="Sandeep"/>
        <s v="Ankur"/>
        <s v="Dheeraj"/>
        <s v="Tejas"/>
        <s v="Rohan"/>
        <s v="Shyam"/>
        <s v="Tanushree"/>
        <s v="Nikita"/>
        <s v="Apoorva"/>
        <s v="Aastha"/>
        <s v="Harshita"/>
        <s v="Krishna"/>
        <s v="Ananya"/>
        <s v="Moumita"/>
        <s v="Arti"/>
        <s v="Palak"/>
        <s v="Pranjali"/>
        <s v="Sneha"/>
        <s v="Ashvini"/>
        <s v="Mrunal"/>
        <s v="Swati"/>
        <s v="Snel"/>
        <s v="Soodesh"/>
        <s v="Aniket"/>
        <s v="K"/>
        <s v="Kushal"/>
        <s v="Soumyabrata"/>
        <s v="Gaurav"/>
        <s v="Abhijeet"/>
        <s v="Anand"/>
        <s v="Chikku"/>
        <s v="Aayush"/>
        <s v="Amol"/>
        <s v="Manibalan"/>
        <s v="Aromal"/>
        <s v="Arun"/>
        <s v="Komal"/>
        <s v="Vikash"/>
        <s v="Parakh"/>
        <s v="Gunjal"/>
        <s v="Saurabh"/>
        <s v="Divyeta"/>
        <s v="Divyeshkumar"/>
        <s v="Bhosale"/>
        <s v="Dashyam"/>
        <s v="Mrinal"/>
        <s v="Apoorv"/>
        <s v="Masurkar"/>
        <s v="Saptadeep"/>
        <s v="Sumeet"/>
        <s v="Shatayu"/>
        <s v="Brijesh"/>
        <s v="Vedant"/>
        <s v="Divyansha"/>
        <s v="Aashna"/>
        <s v="Monu"/>
        <s v="Sathya"/>
        <s v="Aishwarya"/>
        <s v="Suraj"/>
        <s v="Ishpreet"/>
        <s v="Amlan"/>
        <s v="Bhargav"/>
        <s v="Abhijit"/>
        <s v="Jaydeep"/>
        <s v="Pradeep"/>
        <s v="Sujay"/>
        <s v="Jay"/>
        <s v="Phalguni"/>
        <s v="Preksha"/>
        <s v="Geetanjali"/>
        <s v="Kajal"/>
        <s v="Sukruta"/>
        <s v="Utkarsh"/>
        <s v="Karandeep"/>
        <s v="Neha"/>
        <s v="Jayanti"/>
        <s v="Sandra"/>
        <s v="Akshata"/>
        <s v="Vishakha"/>
        <s v="Prajakta"/>
        <s v="Dipali"/>
        <s v="Smriti"/>
        <s v="Girase"/>
        <s v="Monica"/>
        <s v="Sidharth"/>
        <s v="Bhutekar"/>
        <s v="Shikhar"/>
        <s v="Rahul"/>
        <s v="Sudhir"/>
        <s v="Nikhil"/>
        <s v="Vineet"/>
        <s v="Vivek"/>
        <s v="Jaideep"/>
        <s v="Shardul"/>
        <s v="Syed"/>
        <s v="Mhatre"/>
        <s v="Chetan"/>
        <s v="Mukund"/>
        <s v="Shantanu"/>
        <s v="Jesal"/>
        <s v="Trupti"/>
        <s v="Aparajita"/>
        <s v="Muskan"/>
        <s v="Tejeswini"/>
        <s v="Pratiksha"/>
        <s v="Oshin"/>
        <s v="Saloni"/>
        <s v="Paromita"/>
        <s v="Shreyshi"/>
        <s v="Jesslyn"/>
        <s v="Seema"/>
        <s v="Manisha"/>
        <s v="Piyam"/>
        <s v="Parin"/>
        <s v="Amruta"/>
        <s v="Hemangi"/>
        <s v="Atul"/>
        <s v="Ginny"/>
        <s v="Manjiri"/>
        <s v="Nirja"/>
        <s v="Mugdha"/>
        <s v="Mansi"/>
        <s v="Harshal"/>
        <s v="Omkar"/>
        <s v="Yohann"/>
        <s v="Prashant"/>
        <s v="Anmol"/>
        <s v="Diwakar"/>
        <s v="Patil"/>
        <s v="Hitesh"/>
        <s v="Nandita"/>
        <s v="Parnavi"/>
        <s v="Arpita"/>
        <s v="Kalyani"/>
        <s v="Kartikay"/>
        <s v="Ankita"/>
      </sharedItems>
    </cacheField>
    <cacheField name="City" numFmtId="0">
      <sharedItems/>
    </cacheField>
    <cacheField name="Year-Month" numFmtId="0">
      <sharedItems count="12">
        <s v="18-Apr"/>
        <s v="18-May"/>
        <s v="18-Jun"/>
        <s v="18-Jul"/>
        <s v="18-Aug"/>
        <s v="18-Sep"/>
        <s v="18-Oct"/>
        <s v="18-Nov"/>
        <s v="18-Dec"/>
        <s v="19-Jan"/>
        <s v="19-Feb"/>
        <s v="19-Mar"/>
      </sharedItems>
    </cacheField>
    <cacheField name="Profit Margin %" numFmtId="10">
      <sharedItems containsSemiMixedTypes="0" containsString="0" containsNumber="1" minValue="-2.4255319148936172" maxValue="0.50847457627118642"/>
    </cacheField>
    <cacheField name="Year" numFmtId="0">
      <sharedItems containsSemiMixedTypes="0" containsString="0" containsNumber="1" containsInteger="1" minValue="2018" maxValue="2019"/>
    </cacheField>
    <cacheField name="Quarter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B-25601"/>
    <n v="1275"/>
    <n v="-1148"/>
    <n v="7"/>
    <x v="0"/>
    <x v="0"/>
    <x v="0"/>
    <d v="2018-04-01T00:00:00"/>
    <x v="0"/>
    <s v="Ahmedabad"/>
    <x v="0"/>
    <n v="-0.9003921568627451"/>
    <n v="2018"/>
    <n v="2"/>
  </r>
  <r>
    <s v="B-25601"/>
    <n v="66"/>
    <n v="-12"/>
    <n v="5"/>
    <x v="1"/>
    <x v="1"/>
    <x v="0"/>
    <d v="2018-04-01T00:00:00"/>
    <x v="0"/>
    <s v="Ahmedabad"/>
    <x v="0"/>
    <n v="-0.18181818181818182"/>
    <n v="2018"/>
    <n v="2"/>
  </r>
  <r>
    <s v="B-25601"/>
    <n v="8"/>
    <n v="-2"/>
    <n v="3"/>
    <x v="1"/>
    <x v="2"/>
    <x v="0"/>
    <d v="2018-04-01T00:00:00"/>
    <x v="0"/>
    <s v="Ahmedabad"/>
    <x v="0"/>
    <n v="-0.25"/>
    <n v="2018"/>
    <n v="2"/>
  </r>
  <r>
    <s v="B-25601"/>
    <n v="80"/>
    <n v="-56"/>
    <n v="4"/>
    <x v="2"/>
    <x v="3"/>
    <x v="0"/>
    <d v="2018-04-01T00:00:00"/>
    <x v="0"/>
    <s v="Ahmedabad"/>
    <x v="0"/>
    <n v="-0.7"/>
    <n v="2018"/>
    <n v="2"/>
  </r>
  <r>
    <s v="B-25602"/>
    <n v="168"/>
    <n v="-111"/>
    <n v="2"/>
    <x v="2"/>
    <x v="4"/>
    <x v="1"/>
    <d v="2018-04-01T00:00:00"/>
    <x v="1"/>
    <s v="Pune"/>
    <x v="0"/>
    <n v="-0.6607142857142857"/>
    <n v="2018"/>
    <n v="2"/>
  </r>
  <r>
    <s v="B-25602"/>
    <n v="424"/>
    <n v="-272"/>
    <n v="5"/>
    <x v="2"/>
    <x v="4"/>
    <x v="1"/>
    <d v="2018-04-01T00:00:00"/>
    <x v="1"/>
    <s v="Pune"/>
    <x v="0"/>
    <n v="-0.64150943396226412"/>
    <n v="2018"/>
    <n v="2"/>
  </r>
  <r>
    <s v="B-25602"/>
    <n v="2617"/>
    <n v="1151"/>
    <n v="4"/>
    <x v="2"/>
    <x v="4"/>
    <x v="1"/>
    <d v="2018-04-01T00:00:00"/>
    <x v="1"/>
    <s v="Pune"/>
    <x v="0"/>
    <n v="0.43981658387466566"/>
    <n v="2018"/>
    <n v="2"/>
  </r>
  <r>
    <s v="B-25602"/>
    <n v="561"/>
    <n v="212"/>
    <n v="3"/>
    <x v="1"/>
    <x v="5"/>
    <x v="1"/>
    <d v="2018-04-01T00:00:00"/>
    <x v="1"/>
    <s v="Pune"/>
    <x v="0"/>
    <n v="0.37789661319073081"/>
    <n v="2018"/>
    <n v="2"/>
  </r>
  <r>
    <s v="B-25602"/>
    <n v="119"/>
    <n v="-5"/>
    <n v="8"/>
    <x v="1"/>
    <x v="5"/>
    <x v="1"/>
    <d v="2018-04-01T00:00:00"/>
    <x v="1"/>
    <s v="Pune"/>
    <x v="0"/>
    <n v="-4.2016806722689079E-2"/>
    <n v="2018"/>
    <n v="2"/>
  </r>
  <r>
    <s v="B-25603"/>
    <n v="1355"/>
    <n v="-60"/>
    <n v="5"/>
    <x v="1"/>
    <x v="6"/>
    <x v="2"/>
    <d v="2018-04-03T00:00:00"/>
    <x v="2"/>
    <s v="Bhopal"/>
    <x v="0"/>
    <n v="-4.4280442804428041E-2"/>
    <n v="2018"/>
    <n v="2"/>
  </r>
  <r>
    <s v="B-25603"/>
    <n v="24"/>
    <n v="-30"/>
    <n v="1"/>
    <x v="0"/>
    <x v="7"/>
    <x v="2"/>
    <d v="2018-04-03T00:00:00"/>
    <x v="2"/>
    <s v="Bhopal"/>
    <x v="0"/>
    <n v="-1.25"/>
    <n v="2018"/>
    <n v="2"/>
  </r>
  <r>
    <s v="B-25603"/>
    <n v="193"/>
    <n v="-166"/>
    <n v="3"/>
    <x v="1"/>
    <x v="5"/>
    <x v="2"/>
    <d v="2018-04-03T00:00:00"/>
    <x v="2"/>
    <s v="Bhopal"/>
    <x v="0"/>
    <n v="-0.86010362694300513"/>
    <n v="2018"/>
    <n v="2"/>
  </r>
  <r>
    <s v="B-25603"/>
    <n v="180"/>
    <n v="5"/>
    <n v="3"/>
    <x v="1"/>
    <x v="6"/>
    <x v="2"/>
    <d v="2018-04-03T00:00:00"/>
    <x v="2"/>
    <s v="Bhopal"/>
    <x v="0"/>
    <n v="2.7777777777777776E-2"/>
    <n v="2018"/>
    <n v="2"/>
  </r>
  <r>
    <s v="B-25603"/>
    <n v="116"/>
    <n v="16"/>
    <n v="4"/>
    <x v="1"/>
    <x v="1"/>
    <x v="2"/>
    <d v="2018-04-03T00:00:00"/>
    <x v="2"/>
    <s v="Bhopal"/>
    <x v="0"/>
    <n v="0.13793103448275862"/>
    <n v="2018"/>
    <n v="2"/>
  </r>
  <r>
    <s v="B-25603"/>
    <n v="107"/>
    <n v="36"/>
    <n v="6"/>
    <x v="1"/>
    <x v="1"/>
    <x v="2"/>
    <d v="2018-04-03T00:00:00"/>
    <x v="2"/>
    <s v="Bhopal"/>
    <x v="0"/>
    <n v="0.3364485981308411"/>
    <n v="2018"/>
    <n v="2"/>
  </r>
  <r>
    <s v="B-25603"/>
    <n v="12"/>
    <n v="1"/>
    <n v="2"/>
    <x v="1"/>
    <x v="2"/>
    <x v="2"/>
    <d v="2018-04-03T00:00:00"/>
    <x v="2"/>
    <s v="Bhopal"/>
    <x v="0"/>
    <n v="8.3333333333333329E-2"/>
    <n v="2018"/>
    <n v="2"/>
  </r>
  <r>
    <s v="B-25603"/>
    <n v="38"/>
    <n v="18"/>
    <n v="1"/>
    <x v="1"/>
    <x v="8"/>
    <x v="2"/>
    <d v="2018-04-03T00:00:00"/>
    <x v="2"/>
    <s v="Bhopal"/>
    <x v="0"/>
    <n v="0.47368421052631576"/>
    <n v="2018"/>
    <n v="2"/>
  </r>
  <r>
    <s v="B-25604"/>
    <n v="65"/>
    <n v="17"/>
    <n v="2"/>
    <x v="1"/>
    <x v="9"/>
    <x v="3"/>
    <d v="2018-04-03T00:00:00"/>
    <x v="3"/>
    <s v="Jaipur"/>
    <x v="0"/>
    <n v="0.26153846153846155"/>
    <n v="2018"/>
    <n v="2"/>
  </r>
  <r>
    <s v="B-25604"/>
    <n v="157"/>
    <n v="5"/>
    <n v="9"/>
    <x v="1"/>
    <x v="5"/>
    <x v="3"/>
    <d v="2018-04-03T00:00:00"/>
    <x v="3"/>
    <s v="Jaipur"/>
    <x v="0"/>
    <n v="3.1847133757961783E-2"/>
    <n v="2018"/>
    <n v="2"/>
  </r>
  <r>
    <s v="B-25605"/>
    <n v="75"/>
    <n v="0"/>
    <n v="7"/>
    <x v="1"/>
    <x v="5"/>
    <x v="4"/>
    <d v="2018-04-05T00:00:00"/>
    <x v="4"/>
    <s v="Kolkata"/>
    <x v="0"/>
    <n v="0"/>
    <n v="2018"/>
    <n v="2"/>
  </r>
  <r>
    <s v="B-25606"/>
    <n v="87"/>
    <n v="4"/>
    <n v="2"/>
    <x v="1"/>
    <x v="10"/>
    <x v="5"/>
    <d v="2018-04-06T00:00:00"/>
    <x v="5"/>
    <s v="Bangalore"/>
    <x v="0"/>
    <n v="4.5977011494252873E-2"/>
    <n v="2018"/>
    <n v="2"/>
  </r>
  <r>
    <s v="B-25607"/>
    <n v="50"/>
    <n v="15"/>
    <n v="4"/>
    <x v="1"/>
    <x v="11"/>
    <x v="6"/>
    <d v="2018-04-06T00:00:00"/>
    <x v="6"/>
    <s v="Kashmir"/>
    <x v="0"/>
    <n v="0.3"/>
    <n v="2018"/>
    <n v="2"/>
  </r>
  <r>
    <s v="B-25608"/>
    <n v="1364"/>
    <n v="-1864"/>
    <n v="5"/>
    <x v="0"/>
    <x v="12"/>
    <x v="7"/>
    <d v="2018-04-08T00:00:00"/>
    <x v="7"/>
    <s v="Chennai"/>
    <x v="0"/>
    <n v="-1.3665689149560116"/>
    <n v="2018"/>
    <n v="2"/>
  </r>
  <r>
    <s v="B-25608"/>
    <n v="476"/>
    <n v="0"/>
    <n v="3"/>
    <x v="0"/>
    <x v="7"/>
    <x v="7"/>
    <d v="2018-04-08T00:00:00"/>
    <x v="7"/>
    <s v="Chennai"/>
    <x v="0"/>
    <n v="0"/>
    <n v="2018"/>
    <n v="2"/>
  </r>
  <r>
    <s v="B-25608"/>
    <n v="257"/>
    <n v="23"/>
    <n v="5"/>
    <x v="1"/>
    <x v="2"/>
    <x v="7"/>
    <d v="2018-04-08T00:00:00"/>
    <x v="7"/>
    <s v="Chennai"/>
    <x v="0"/>
    <n v="8.9494163424124515E-2"/>
    <n v="2018"/>
    <n v="2"/>
  </r>
  <r>
    <s v="B-25608"/>
    <n v="856"/>
    <n v="385"/>
    <n v="6"/>
    <x v="2"/>
    <x v="13"/>
    <x v="7"/>
    <d v="2018-04-08T00:00:00"/>
    <x v="7"/>
    <s v="Chennai"/>
    <x v="0"/>
    <n v="0.44976635514018692"/>
    <n v="2018"/>
    <n v="2"/>
  </r>
  <r>
    <s v="B-25609"/>
    <n v="485"/>
    <n v="29"/>
    <n v="4"/>
    <x v="2"/>
    <x v="3"/>
    <x v="8"/>
    <d v="2018-04-09T00:00:00"/>
    <x v="8"/>
    <s v="Lucknow"/>
    <x v="0"/>
    <n v="5.9793814432989693E-2"/>
    <n v="2018"/>
    <n v="2"/>
  </r>
  <r>
    <s v="B-25609"/>
    <n v="25"/>
    <n v="-5"/>
    <n v="4"/>
    <x v="1"/>
    <x v="5"/>
    <x v="8"/>
    <d v="2018-04-09T00:00:00"/>
    <x v="8"/>
    <s v="Lucknow"/>
    <x v="0"/>
    <n v="-0.2"/>
    <n v="2018"/>
    <n v="2"/>
  </r>
  <r>
    <s v="B-25610"/>
    <n v="1076"/>
    <n v="-38"/>
    <n v="4"/>
    <x v="2"/>
    <x v="13"/>
    <x v="9"/>
    <d v="2018-04-09T00:00:00"/>
    <x v="9"/>
    <s v="Patna"/>
    <x v="0"/>
    <n v="-3.5315985130111527E-2"/>
    <n v="2018"/>
    <n v="2"/>
  </r>
  <r>
    <s v="B-25610"/>
    <n v="107"/>
    <n v="-54"/>
    <n v="4"/>
    <x v="1"/>
    <x v="1"/>
    <x v="9"/>
    <d v="2018-04-09T00:00:00"/>
    <x v="9"/>
    <s v="Patna"/>
    <x v="0"/>
    <n v="-0.50467289719626163"/>
    <n v="2018"/>
    <n v="2"/>
  </r>
  <r>
    <s v="B-25610"/>
    <n v="68"/>
    <n v="-55"/>
    <n v="5"/>
    <x v="2"/>
    <x v="14"/>
    <x v="9"/>
    <d v="2018-04-09T00:00:00"/>
    <x v="9"/>
    <s v="Patna"/>
    <x v="0"/>
    <n v="-0.80882352941176472"/>
    <n v="2018"/>
    <n v="2"/>
  </r>
  <r>
    <s v="B-25610"/>
    <n v="781"/>
    <n v="-594"/>
    <n v="6"/>
    <x v="2"/>
    <x v="13"/>
    <x v="9"/>
    <d v="2018-04-09T00:00:00"/>
    <x v="9"/>
    <s v="Patna"/>
    <x v="0"/>
    <n v="-0.76056338028169013"/>
    <n v="2018"/>
    <n v="2"/>
  </r>
  <r>
    <s v="B-25610"/>
    <n v="43"/>
    <n v="0"/>
    <n v="3"/>
    <x v="1"/>
    <x v="5"/>
    <x v="9"/>
    <d v="2018-04-09T00:00:00"/>
    <x v="9"/>
    <s v="Patna"/>
    <x v="0"/>
    <n v="0"/>
    <n v="2018"/>
    <n v="2"/>
  </r>
  <r>
    <s v="B-25610"/>
    <n v="30"/>
    <n v="-5"/>
    <n v="2"/>
    <x v="0"/>
    <x v="15"/>
    <x v="9"/>
    <d v="2018-04-09T00:00:00"/>
    <x v="9"/>
    <s v="Patna"/>
    <x v="0"/>
    <n v="-0.16666666666666666"/>
    <n v="2018"/>
    <n v="2"/>
  </r>
  <r>
    <s v="B-25611"/>
    <n v="160"/>
    <n v="-59"/>
    <n v="2"/>
    <x v="1"/>
    <x v="5"/>
    <x v="10"/>
    <d v="2018-04-11T00:00:00"/>
    <x v="10"/>
    <s v="Thiruvananthapuram"/>
    <x v="0"/>
    <n v="-0.36875000000000002"/>
    <n v="2018"/>
    <n v="2"/>
  </r>
  <r>
    <s v="B-25612"/>
    <n v="259"/>
    <n v="-55"/>
    <n v="2"/>
    <x v="0"/>
    <x v="7"/>
    <x v="11"/>
    <d v="2018-04-12T00:00:00"/>
    <x v="11"/>
    <s v="Chandigarh"/>
    <x v="0"/>
    <n v="-0.21235521235521235"/>
    <n v="2018"/>
    <n v="2"/>
  </r>
  <r>
    <s v="B-25613"/>
    <n v="1603"/>
    <n v="0"/>
    <n v="9"/>
    <x v="1"/>
    <x v="5"/>
    <x v="12"/>
    <d v="2018-04-12T00:00:00"/>
    <x v="12"/>
    <s v="Chandigarh"/>
    <x v="0"/>
    <n v="0"/>
    <n v="2018"/>
    <n v="2"/>
  </r>
  <r>
    <s v="B-25614"/>
    <n v="494"/>
    <n v="54"/>
    <n v="4"/>
    <x v="0"/>
    <x v="0"/>
    <x v="13"/>
    <d v="2018-04-13T00:00:00"/>
    <x v="13"/>
    <s v="Simla"/>
    <x v="0"/>
    <n v="0.10931174089068826"/>
    <n v="2018"/>
    <n v="2"/>
  </r>
  <r>
    <s v="B-25614"/>
    <n v="98"/>
    <n v="-12"/>
    <n v="2"/>
    <x v="2"/>
    <x v="3"/>
    <x v="13"/>
    <d v="2018-04-13T00:00:00"/>
    <x v="13"/>
    <s v="Simla"/>
    <x v="0"/>
    <n v="-0.12244897959183673"/>
    <n v="2018"/>
    <n v="2"/>
  </r>
  <r>
    <s v="B-25615"/>
    <n v="68"/>
    <n v="20"/>
    <n v="5"/>
    <x v="1"/>
    <x v="2"/>
    <x v="14"/>
    <d v="2018-04-15T00:00:00"/>
    <x v="14"/>
    <s v="Gangtok"/>
    <x v="0"/>
    <n v="0.29411764705882354"/>
    <n v="2018"/>
    <n v="2"/>
  </r>
  <r>
    <s v="B-25616"/>
    <n v="42"/>
    <n v="12"/>
    <n v="5"/>
    <x v="1"/>
    <x v="2"/>
    <x v="15"/>
    <d v="2018-04-15T00:00:00"/>
    <x v="15"/>
    <s v="Goa"/>
    <x v="0"/>
    <n v="0.2857142857142857"/>
    <n v="2018"/>
    <n v="2"/>
  </r>
  <r>
    <s v="B-25616"/>
    <n v="116"/>
    <n v="-56"/>
    <n v="5"/>
    <x v="1"/>
    <x v="1"/>
    <x v="15"/>
    <d v="2018-04-15T00:00:00"/>
    <x v="15"/>
    <s v="Goa"/>
    <x v="0"/>
    <n v="-0.48275862068965519"/>
    <n v="2018"/>
    <n v="2"/>
  </r>
  <r>
    <s v="B-25616"/>
    <n v="22"/>
    <n v="-2"/>
    <n v="3"/>
    <x v="1"/>
    <x v="2"/>
    <x v="15"/>
    <d v="2018-04-15T00:00:00"/>
    <x v="15"/>
    <s v="Goa"/>
    <x v="0"/>
    <n v="-9.0909090909090912E-2"/>
    <n v="2018"/>
    <n v="2"/>
  </r>
  <r>
    <s v="B-25616"/>
    <n v="14"/>
    <n v="-2"/>
    <n v="3"/>
    <x v="1"/>
    <x v="2"/>
    <x v="15"/>
    <d v="2018-04-15T00:00:00"/>
    <x v="15"/>
    <s v="Goa"/>
    <x v="0"/>
    <n v="-0.14285714285714285"/>
    <n v="2018"/>
    <n v="2"/>
  </r>
  <r>
    <s v="B-25617"/>
    <n v="305"/>
    <n v="-270"/>
    <n v="5"/>
    <x v="2"/>
    <x v="3"/>
    <x v="16"/>
    <d v="2018-04-17T00:00:00"/>
    <x v="16"/>
    <s v="Kohima"/>
    <x v="0"/>
    <n v="-0.88524590163934425"/>
    <n v="2018"/>
    <n v="2"/>
  </r>
  <r>
    <s v="B-25618"/>
    <n v="362"/>
    <n v="127"/>
    <n v="1"/>
    <x v="0"/>
    <x v="0"/>
    <x v="17"/>
    <d v="2018-04-18T00:00:00"/>
    <x v="17"/>
    <s v="Hyderabad"/>
    <x v="0"/>
    <n v="0.35082872928176795"/>
    <n v="2018"/>
    <n v="2"/>
  </r>
  <r>
    <s v="B-25618"/>
    <n v="12"/>
    <n v="0"/>
    <n v="2"/>
    <x v="1"/>
    <x v="2"/>
    <x v="17"/>
    <d v="2018-04-18T00:00:00"/>
    <x v="17"/>
    <s v="Hyderabad"/>
    <x v="0"/>
    <n v="0"/>
    <n v="2018"/>
    <n v="2"/>
  </r>
  <r>
    <s v="B-25619"/>
    <n v="353"/>
    <n v="90"/>
    <n v="8"/>
    <x v="1"/>
    <x v="5"/>
    <x v="0"/>
    <d v="2018-04-18T00:00:00"/>
    <x v="18"/>
    <s v="Ahmedabad"/>
    <x v="0"/>
    <n v="0.25495750708215298"/>
    <n v="2018"/>
    <n v="2"/>
  </r>
  <r>
    <s v="B-25620"/>
    <n v="193"/>
    <n v="46"/>
    <n v="1"/>
    <x v="2"/>
    <x v="13"/>
    <x v="1"/>
    <d v="2018-04-20T00:00:00"/>
    <x v="19"/>
    <s v="Pune"/>
    <x v="0"/>
    <n v="0.23834196891191708"/>
    <n v="2018"/>
    <n v="2"/>
  </r>
  <r>
    <s v="B-25621"/>
    <n v="233"/>
    <n v="-10"/>
    <n v="5"/>
    <x v="2"/>
    <x v="3"/>
    <x v="2"/>
    <d v="2018-04-20T00:00:00"/>
    <x v="20"/>
    <s v="Bhopal"/>
    <x v="0"/>
    <n v="-4.2918454935622317E-2"/>
    <n v="2018"/>
    <n v="2"/>
  </r>
  <r>
    <s v="B-25621"/>
    <n v="228"/>
    <n v="63"/>
    <n v="3"/>
    <x v="2"/>
    <x v="3"/>
    <x v="2"/>
    <d v="2018-04-20T00:00:00"/>
    <x v="20"/>
    <s v="Bhopal"/>
    <x v="0"/>
    <n v="0.27631578947368424"/>
    <n v="2018"/>
    <n v="2"/>
  </r>
  <r>
    <s v="B-25621"/>
    <n v="333"/>
    <n v="-15"/>
    <n v="3"/>
    <x v="2"/>
    <x v="4"/>
    <x v="2"/>
    <d v="2018-04-20T00:00:00"/>
    <x v="20"/>
    <s v="Bhopal"/>
    <x v="0"/>
    <n v="-4.5045045045045043E-2"/>
    <n v="2018"/>
    <n v="2"/>
  </r>
  <r>
    <s v="B-25622"/>
    <n v="534"/>
    <n v="0"/>
    <n v="3"/>
    <x v="1"/>
    <x v="5"/>
    <x v="3"/>
    <d v="2018-04-22T00:00:00"/>
    <x v="21"/>
    <s v="Jaipur"/>
    <x v="0"/>
    <n v="0"/>
    <n v="2018"/>
    <n v="2"/>
  </r>
  <r>
    <s v="B-25623"/>
    <n v="53"/>
    <n v="1"/>
    <n v="4"/>
    <x v="1"/>
    <x v="1"/>
    <x v="4"/>
    <d v="2018-04-22T00:00:00"/>
    <x v="22"/>
    <s v="Kolkata"/>
    <x v="0"/>
    <n v="1.8867924528301886E-2"/>
    <n v="2018"/>
    <n v="2"/>
  </r>
  <r>
    <s v="B-25623"/>
    <n v="158"/>
    <n v="69"/>
    <n v="3"/>
    <x v="1"/>
    <x v="1"/>
    <x v="4"/>
    <d v="2018-04-22T00:00:00"/>
    <x v="22"/>
    <s v="Kolkata"/>
    <x v="0"/>
    <n v="0.43670886075949367"/>
    <n v="2018"/>
    <n v="2"/>
  </r>
  <r>
    <s v="B-25623"/>
    <n v="149"/>
    <n v="-87"/>
    <n v="4"/>
    <x v="1"/>
    <x v="5"/>
    <x v="4"/>
    <d v="2018-04-22T00:00:00"/>
    <x v="22"/>
    <s v="Kolkata"/>
    <x v="0"/>
    <n v="-0.58389261744966447"/>
    <n v="2018"/>
    <n v="2"/>
  </r>
  <r>
    <s v="B-25623"/>
    <n v="105"/>
    <n v="20"/>
    <n v="2"/>
    <x v="1"/>
    <x v="1"/>
    <x v="4"/>
    <d v="2018-04-22T00:00:00"/>
    <x v="22"/>
    <s v="Kolkata"/>
    <x v="0"/>
    <n v="0.19047619047619047"/>
    <n v="2018"/>
    <n v="2"/>
  </r>
  <r>
    <s v="B-25624"/>
    <n v="26"/>
    <n v="12"/>
    <n v="3"/>
    <x v="1"/>
    <x v="2"/>
    <x v="5"/>
    <d v="2018-04-22T00:00:00"/>
    <x v="23"/>
    <s v="Bangalore"/>
    <x v="0"/>
    <n v="0.46153846153846156"/>
    <n v="2018"/>
    <n v="2"/>
  </r>
  <r>
    <s v="B-25625"/>
    <n v="97"/>
    <n v="29"/>
    <n v="2"/>
    <x v="1"/>
    <x v="2"/>
    <x v="6"/>
    <d v="2018-04-23T00:00:00"/>
    <x v="24"/>
    <s v="Kashmir"/>
    <x v="0"/>
    <n v="0.29896907216494845"/>
    <n v="2018"/>
    <n v="2"/>
  </r>
  <r>
    <s v="B-25625"/>
    <n v="59"/>
    <n v="30"/>
    <n v="3"/>
    <x v="1"/>
    <x v="11"/>
    <x v="6"/>
    <d v="2018-04-23T00:00:00"/>
    <x v="24"/>
    <s v="Kashmir"/>
    <x v="0"/>
    <n v="0.50847457627118642"/>
    <n v="2018"/>
    <n v="2"/>
  </r>
  <r>
    <s v="B-25625"/>
    <n v="635"/>
    <n v="-349"/>
    <n v="5"/>
    <x v="1"/>
    <x v="5"/>
    <x v="6"/>
    <d v="2018-04-23T00:00:00"/>
    <x v="24"/>
    <s v="Kashmir"/>
    <x v="0"/>
    <n v="-0.5496062992125984"/>
    <n v="2018"/>
    <n v="2"/>
  </r>
  <r>
    <s v="B-25626"/>
    <n v="46"/>
    <n v="-14"/>
    <n v="1"/>
    <x v="2"/>
    <x v="4"/>
    <x v="1"/>
    <d v="2018-04-23T00:00:00"/>
    <x v="25"/>
    <s v="Mumbai"/>
    <x v="0"/>
    <n v="-0.30434782608695654"/>
    <n v="2018"/>
    <n v="2"/>
  </r>
  <r>
    <s v="B-25626"/>
    <n v="1103"/>
    <n v="-276"/>
    <n v="3"/>
    <x v="0"/>
    <x v="7"/>
    <x v="1"/>
    <d v="2018-04-23T00:00:00"/>
    <x v="25"/>
    <s v="Mumbai"/>
    <x v="0"/>
    <n v="-0.25022665457842247"/>
    <n v="2018"/>
    <n v="2"/>
  </r>
  <r>
    <s v="B-25627"/>
    <n v="55"/>
    <n v="-39"/>
    <n v="4"/>
    <x v="1"/>
    <x v="1"/>
    <x v="2"/>
    <d v="2018-04-23T00:00:00"/>
    <x v="26"/>
    <s v="Indore"/>
    <x v="0"/>
    <n v="-0.70909090909090911"/>
    <n v="2018"/>
    <n v="2"/>
  </r>
  <r>
    <s v="B-25628"/>
    <n v="45"/>
    <n v="13"/>
    <n v="4"/>
    <x v="1"/>
    <x v="16"/>
    <x v="9"/>
    <d v="2018-04-24T00:00:00"/>
    <x v="27"/>
    <s v="Patna"/>
    <x v="0"/>
    <n v="0.28888888888888886"/>
    <n v="2018"/>
    <n v="2"/>
  </r>
  <r>
    <s v="B-25628"/>
    <n v="24"/>
    <n v="-9"/>
    <n v="4"/>
    <x v="1"/>
    <x v="5"/>
    <x v="9"/>
    <d v="2018-04-24T00:00:00"/>
    <x v="27"/>
    <s v="Patna"/>
    <x v="0"/>
    <n v="-0.375"/>
    <n v="2018"/>
    <n v="2"/>
  </r>
  <r>
    <s v="B-25628"/>
    <n v="35"/>
    <n v="-8"/>
    <n v="2"/>
    <x v="0"/>
    <x v="15"/>
    <x v="9"/>
    <d v="2018-04-24T00:00:00"/>
    <x v="27"/>
    <s v="Patna"/>
    <x v="0"/>
    <n v="-0.22857142857142856"/>
    <n v="2018"/>
    <n v="2"/>
  </r>
  <r>
    <s v="B-25629"/>
    <n v="1560"/>
    <n v="421"/>
    <n v="3"/>
    <x v="1"/>
    <x v="6"/>
    <x v="10"/>
    <d v="2018-04-24T00:00:00"/>
    <x v="28"/>
    <s v="Thiruvananthapuram"/>
    <x v="0"/>
    <n v="0.26987179487179486"/>
    <n v="2018"/>
    <n v="2"/>
  </r>
  <r>
    <s v="B-25630"/>
    <n v="133"/>
    <n v="12"/>
    <n v="5"/>
    <x v="1"/>
    <x v="1"/>
    <x v="11"/>
    <d v="2018-04-24T00:00:00"/>
    <x v="29"/>
    <s v="Chandigarh"/>
    <x v="0"/>
    <n v="9.0225563909774431E-2"/>
    <n v="2018"/>
    <n v="2"/>
  </r>
  <r>
    <s v="B-25630"/>
    <n v="114"/>
    <n v="-39"/>
    <n v="5"/>
    <x v="1"/>
    <x v="8"/>
    <x v="11"/>
    <d v="2018-04-24T00:00:00"/>
    <x v="29"/>
    <s v="Chandigarh"/>
    <x v="0"/>
    <n v="-0.34210526315789475"/>
    <n v="2018"/>
    <n v="2"/>
  </r>
  <r>
    <s v="B-25630"/>
    <n v="143"/>
    <n v="-129"/>
    <n v="2"/>
    <x v="2"/>
    <x v="4"/>
    <x v="11"/>
    <d v="2018-04-24T00:00:00"/>
    <x v="29"/>
    <s v="Chandigarh"/>
    <x v="0"/>
    <n v="-0.90209790209790208"/>
    <n v="2018"/>
    <n v="2"/>
  </r>
  <r>
    <s v="B-25630"/>
    <n v="40"/>
    <n v="-7"/>
    <n v="3"/>
    <x v="1"/>
    <x v="1"/>
    <x v="11"/>
    <d v="2018-04-24T00:00:00"/>
    <x v="29"/>
    <s v="Chandigarh"/>
    <x v="0"/>
    <n v="-0.17499999999999999"/>
    <n v="2018"/>
    <n v="2"/>
  </r>
  <r>
    <s v="B-25630"/>
    <n v="34"/>
    <n v="-22"/>
    <n v="4"/>
    <x v="1"/>
    <x v="9"/>
    <x v="11"/>
    <d v="2018-04-24T00:00:00"/>
    <x v="29"/>
    <s v="Chandigarh"/>
    <x v="0"/>
    <n v="-0.6470588235294118"/>
    <n v="2018"/>
    <n v="2"/>
  </r>
  <r>
    <s v="B-25630"/>
    <n v="42"/>
    <n v="-26"/>
    <n v="2"/>
    <x v="1"/>
    <x v="8"/>
    <x v="11"/>
    <d v="2018-04-24T00:00:00"/>
    <x v="29"/>
    <s v="Chandigarh"/>
    <x v="0"/>
    <n v="-0.61904761904761907"/>
    <n v="2018"/>
    <n v="2"/>
  </r>
  <r>
    <s v="B-25631"/>
    <n v="89"/>
    <n v="-89"/>
    <n v="2"/>
    <x v="0"/>
    <x v="15"/>
    <x v="12"/>
    <d v="2018-04-24T00:00:00"/>
    <x v="30"/>
    <s v="Chandigarh"/>
    <x v="0"/>
    <n v="-1"/>
    <n v="2018"/>
    <n v="2"/>
  </r>
  <r>
    <s v="B-25632"/>
    <n v="19"/>
    <n v="-2"/>
    <n v="2"/>
    <x v="1"/>
    <x v="11"/>
    <x v="13"/>
    <d v="2018-04-25T00:00:00"/>
    <x v="31"/>
    <s v="Simla"/>
    <x v="0"/>
    <n v="-0.10526315789473684"/>
    <n v="2018"/>
    <n v="2"/>
  </r>
  <r>
    <s v="B-25633"/>
    <n v="249"/>
    <n v="-130"/>
    <n v="4"/>
    <x v="2"/>
    <x v="4"/>
    <x v="14"/>
    <d v="2018-04-26T00:00:00"/>
    <x v="32"/>
    <s v="Gangtok"/>
    <x v="0"/>
    <n v="-0.52208835341365467"/>
    <n v="2018"/>
    <n v="2"/>
  </r>
  <r>
    <s v="B-25633"/>
    <n v="711"/>
    <n v="-8"/>
    <n v="4"/>
    <x v="1"/>
    <x v="5"/>
    <x v="14"/>
    <d v="2018-04-26T00:00:00"/>
    <x v="32"/>
    <s v="Gangtok"/>
    <x v="0"/>
    <n v="-1.1251758087201125E-2"/>
    <n v="2018"/>
    <n v="2"/>
  </r>
  <r>
    <s v="B-25633"/>
    <n v="496"/>
    <n v="-79"/>
    <n v="2"/>
    <x v="1"/>
    <x v="6"/>
    <x v="14"/>
    <d v="2018-04-26T00:00:00"/>
    <x v="32"/>
    <s v="Gangtok"/>
    <x v="0"/>
    <n v="-0.15927419354838709"/>
    <n v="2018"/>
    <n v="2"/>
  </r>
  <r>
    <s v="B-25634"/>
    <n v="389"/>
    <n v="-83"/>
    <n v="3"/>
    <x v="0"/>
    <x v="7"/>
    <x v="15"/>
    <d v="2018-04-26T00:00:00"/>
    <x v="33"/>
    <s v="Goa"/>
    <x v="0"/>
    <n v="-0.21336760925449871"/>
    <n v="2018"/>
    <n v="2"/>
  </r>
  <r>
    <s v="B-25635"/>
    <n v="40"/>
    <n v="16"/>
    <n v="3"/>
    <x v="1"/>
    <x v="2"/>
    <x v="16"/>
    <d v="2018-04-26T00:00:00"/>
    <x v="34"/>
    <s v="Kohima"/>
    <x v="0"/>
    <n v="0.4"/>
    <n v="2018"/>
    <n v="2"/>
  </r>
  <r>
    <s v="B-25635"/>
    <n v="23"/>
    <n v="2"/>
    <n v="2"/>
    <x v="1"/>
    <x v="16"/>
    <x v="16"/>
    <d v="2018-04-26T00:00:00"/>
    <x v="34"/>
    <s v="Kohima"/>
    <x v="0"/>
    <n v="8.6956521739130432E-2"/>
    <n v="2018"/>
    <n v="2"/>
  </r>
  <r>
    <s v="B-25635"/>
    <n v="382"/>
    <n v="30"/>
    <n v="3"/>
    <x v="1"/>
    <x v="5"/>
    <x v="16"/>
    <d v="2018-04-26T00:00:00"/>
    <x v="34"/>
    <s v="Kohima"/>
    <x v="0"/>
    <n v="7.8534031413612565E-2"/>
    <n v="2018"/>
    <n v="2"/>
  </r>
  <r>
    <s v="B-25636"/>
    <n v="637"/>
    <n v="113"/>
    <n v="5"/>
    <x v="1"/>
    <x v="5"/>
    <x v="1"/>
    <d v="2018-04-26T00:00:00"/>
    <x v="35"/>
    <s v="Mumbai"/>
    <x v="0"/>
    <n v="0.17739403453689168"/>
    <n v="2018"/>
    <n v="2"/>
  </r>
  <r>
    <s v="B-25637"/>
    <n v="117"/>
    <n v="14"/>
    <n v="3"/>
    <x v="1"/>
    <x v="10"/>
    <x v="2"/>
    <d v="2018-04-26T00:00:00"/>
    <x v="36"/>
    <s v="Indore"/>
    <x v="0"/>
    <n v="0.11965811965811966"/>
    <n v="2018"/>
    <n v="2"/>
  </r>
  <r>
    <s v="B-25638"/>
    <n v="182"/>
    <n v="-11"/>
    <n v="3"/>
    <x v="0"/>
    <x v="0"/>
    <x v="1"/>
    <d v="2018-04-26T00:00:00"/>
    <x v="37"/>
    <s v="Pune"/>
    <x v="0"/>
    <n v="-6.043956043956044E-2"/>
    <n v="2018"/>
    <n v="2"/>
  </r>
  <r>
    <s v="B-25638"/>
    <n v="880"/>
    <n v="97"/>
    <n v="8"/>
    <x v="0"/>
    <x v="15"/>
    <x v="1"/>
    <d v="2018-04-26T00:00:00"/>
    <x v="37"/>
    <s v="Pune"/>
    <x v="0"/>
    <n v="0.11022727272727273"/>
    <n v="2018"/>
    <n v="2"/>
  </r>
  <r>
    <s v="B-25638"/>
    <n v="154"/>
    <n v="39"/>
    <n v="3"/>
    <x v="1"/>
    <x v="2"/>
    <x v="1"/>
    <d v="2018-04-26T00:00:00"/>
    <x v="37"/>
    <s v="Pune"/>
    <x v="0"/>
    <n v="0.25324675324675322"/>
    <n v="2018"/>
    <n v="2"/>
  </r>
  <r>
    <s v="B-25638"/>
    <n v="816"/>
    <n v="-96"/>
    <n v="3"/>
    <x v="2"/>
    <x v="13"/>
    <x v="1"/>
    <d v="2018-04-26T00:00:00"/>
    <x v="37"/>
    <s v="Pune"/>
    <x v="0"/>
    <n v="-0.11764705882352941"/>
    <n v="2018"/>
    <n v="2"/>
  </r>
  <r>
    <s v="B-25639"/>
    <n v="1629"/>
    <n v="-153"/>
    <n v="3"/>
    <x v="2"/>
    <x v="4"/>
    <x v="2"/>
    <d v="2018-04-27T00:00:00"/>
    <x v="38"/>
    <s v="Bhopal"/>
    <x v="0"/>
    <n v="-9.3922651933701654E-2"/>
    <n v="2018"/>
    <n v="2"/>
  </r>
  <r>
    <s v="B-25640"/>
    <n v="68"/>
    <n v="-62"/>
    <n v="2"/>
    <x v="1"/>
    <x v="6"/>
    <x v="3"/>
    <d v="2018-04-27T00:00:00"/>
    <x v="39"/>
    <s v="Jaipur"/>
    <x v="0"/>
    <n v="-0.91176470588235292"/>
    <n v="2018"/>
    <n v="2"/>
  </r>
  <r>
    <s v="B-25640"/>
    <n v="314"/>
    <n v="-239"/>
    <n v="13"/>
    <x v="1"/>
    <x v="2"/>
    <x v="3"/>
    <d v="2018-04-27T00:00:00"/>
    <x v="39"/>
    <s v="Jaipur"/>
    <x v="0"/>
    <n v="-0.76114649681528668"/>
    <n v="2018"/>
    <n v="2"/>
  </r>
  <r>
    <s v="B-25640"/>
    <n v="122"/>
    <n v="-47"/>
    <n v="4"/>
    <x v="1"/>
    <x v="5"/>
    <x v="3"/>
    <d v="2018-04-27T00:00:00"/>
    <x v="39"/>
    <s v="Jaipur"/>
    <x v="0"/>
    <n v="-0.38524590163934425"/>
    <n v="2018"/>
    <n v="2"/>
  </r>
  <r>
    <s v="B-25641"/>
    <n v="22"/>
    <n v="-6"/>
    <n v="1"/>
    <x v="0"/>
    <x v="15"/>
    <x v="4"/>
    <d v="2018-04-27T00:00:00"/>
    <x v="40"/>
    <s v="Kolkata"/>
    <x v="0"/>
    <n v="-0.27272727272727271"/>
    <n v="2018"/>
    <n v="2"/>
  </r>
  <r>
    <s v="B-25642"/>
    <n v="434"/>
    <n v="26"/>
    <n v="11"/>
    <x v="1"/>
    <x v="10"/>
    <x v="5"/>
    <d v="2018-04-28T00:00:00"/>
    <x v="41"/>
    <s v="Bangalore"/>
    <x v="0"/>
    <n v="5.9907834101382486E-2"/>
    <n v="2018"/>
    <n v="2"/>
  </r>
  <r>
    <s v="B-25643"/>
    <n v="1061"/>
    <n v="-36"/>
    <n v="8"/>
    <x v="0"/>
    <x v="0"/>
    <x v="6"/>
    <d v="2018-04-29T00:00:00"/>
    <x v="42"/>
    <s v="Kashmir"/>
    <x v="0"/>
    <n v="-3.3930254476908575E-2"/>
    <n v="2018"/>
    <n v="2"/>
  </r>
  <r>
    <s v="B-25643"/>
    <n v="50"/>
    <n v="-44"/>
    <n v="2"/>
    <x v="1"/>
    <x v="2"/>
    <x v="6"/>
    <d v="2018-04-29T00:00:00"/>
    <x v="42"/>
    <s v="Kashmir"/>
    <x v="0"/>
    <n v="-0.88"/>
    <n v="2018"/>
    <n v="2"/>
  </r>
  <r>
    <s v="B-25643"/>
    <n v="37"/>
    <n v="-23"/>
    <n v="4"/>
    <x v="1"/>
    <x v="10"/>
    <x v="6"/>
    <d v="2018-04-29T00:00:00"/>
    <x v="42"/>
    <s v="Kashmir"/>
    <x v="0"/>
    <n v="-0.6216216216216216"/>
    <n v="2018"/>
    <n v="2"/>
  </r>
  <r>
    <s v="B-25643"/>
    <n v="263"/>
    <n v="-63"/>
    <n v="2"/>
    <x v="2"/>
    <x v="3"/>
    <x v="6"/>
    <d v="2018-04-29T00:00:00"/>
    <x v="42"/>
    <s v="Kashmir"/>
    <x v="0"/>
    <n v="-0.23954372623574144"/>
    <n v="2018"/>
    <n v="2"/>
  </r>
  <r>
    <s v="B-25643"/>
    <n v="36"/>
    <n v="-7"/>
    <n v="1"/>
    <x v="2"/>
    <x v="3"/>
    <x v="6"/>
    <d v="2018-04-29T00:00:00"/>
    <x v="42"/>
    <s v="Kashmir"/>
    <x v="0"/>
    <n v="-0.19444444444444445"/>
    <n v="2018"/>
    <n v="2"/>
  </r>
  <r>
    <s v="B-25644"/>
    <n v="76"/>
    <n v="-92"/>
    <n v="8"/>
    <x v="0"/>
    <x v="15"/>
    <x v="1"/>
    <d v="2018-04-30T00:00:00"/>
    <x v="43"/>
    <s v="Mumbai"/>
    <x v="0"/>
    <n v="-1.2105263157894737"/>
    <n v="2018"/>
    <n v="2"/>
  </r>
  <r>
    <s v="B-25645"/>
    <n v="273"/>
    <n v="-87"/>
    <n v="4"/>
    <x v="2"/>
    <x v="4"/>
    <x v="2"/>
    <d v="2018-05-01T00:00:00"/>
    <x v="44"/>
    <s v="Indore"/>
    <x v="1"/>
    <n v="-0.31868131868131866"/>
    <n v="2018"/>
    <n v="2"/>
  </r>
  <r>
    <s v="B-25645"/>
    <n v="86"/>
    <n v="0"/>
    <n v="4"/>
    <x v="1"/>
    <x v="9"/>
    <x v="2"/>
    <d v="2018-05-01T00:00:00"/>
    <x v="44"/>
    <s v="Indore"/>
    <x v="1"/>
    <n v="0"/>
    <n v="2018"/>
    <n v="2"/>
  </r>
  <r>
    <s v="B-25645"/>
    <n v="133"/>
    <n v="-42"/>
    <n v="1"/>
    <x v="2"/>
    <x v="13"/>
    <x v="2"/>
    <d v="2018-05-01T00:00:00"/>
    <x v="44"/>
    <s v="Indore"/>
    <x v="1"/>
    <n v="-0.31578947368421051"/>
    <n v="2018"/>
    <n v="2"/>
  </r>
  <r>
    <s v="B-25645"/>
    <n v="183"/>
    <n v="-66"/>
    <n v="5"/>
    <x v="2"/>
    <x v="4"/>
    <x v="2"/>
    <d v="2018-05-01T00:00:00"/>
    <x v="44"/>
    <s v="Indore"/>
    <x v="1"/>
    <n v="-0.36065573770491804"/>
    <n v="2018"/>
    <n v="2"/>
  </r>
  <r>
    <s v="B-25646"/>
    <n v="20"/>
    <n v="-8"/>
    <n v="2"/>
    <x v="1"/>
    <x v="5"/>
    <x v="9"/>
    <d v="2018-05-01T00:00:00"/>
    <x v="45"/>
    <s v="Patna"/>
    <x v="1"/>
    <n v="-0.4"/>
    <n v="2018"/>
    <n v="2"/>
  </r>
  <r>
    <s v="B-25647"/>
    <n v="42"/>
    <n v="-6"/>
    <n v="4"/>
    <x v="1"/>
    <x v="5"/>
    <x v="10"/>
    <d v="2018-05-03T00:00:00"/>
    <x v="46"/>
    <s v="Thiruvananthapuram"/>
    <x v="1"/>
    <n v="-0.14285714285714285"/>
    <n v="2018"/>
    <n v="2"/>
  </r>
  <r>
    <s v="B-25648"/>
    <n v="100"/>
    <n v="-23"/>
    <n v="1"/>
    <x v="2"/>
    <x v="4"/>
    <x v="11"/>
    <d v="2018-05-04T00:00:00"/>
    <x v="47"/>
    <s v="Chandigarh"/>
    <x v="1"/>
    <n v="-0.23"/>
    <n v="2018"/>
    <n v="2"/>
  </r>
  <r>
    <s v="B-25648"/>
    <n v="30"/>
    <n v="13"/>
    <n v="1"/>
    <x v="1"/>
    <x v="9"/>
    <x v="11"/>
    <d v="2018-05-04T00:00:00"/>
    <x v="47"/>
    <s v="Chandigarh"/>
    <x v="1"/>
    <n v="0.43333333333333335"/>
    <n v="2018"/>
    <n v="2"/>
  </r>
  <r>
    <s v="B-25648"/>
    <n v="55"/>
    <n v="-26"/>
    <n v="4"/>
    <x v="1"/>
    <x v="5"/>
    <x v="11"/>
    <d v="2018-05-04T00:00:00"/>
    <x v="47"/>
    <s v="Chandigarh"/>
    <x v="1"/>
    <n v="-0.47272727272727272"/>
    <n v="2018"/>
    <n v="2"/>
  </r>
  <r>
    <s v="B-25648"/>
    <n v="130"/>
    <n v="-41"/>
    <n v="4"/>
    <x v="1"/>
    <x v="5"/>
    <x v="11"/>
    <d v="2018-05-04T00:00:00"/>
    <x v="47"/>
    <s v="Chandigarh"/>
    <x v="1"/>
    <n v="-0.31538461538461537"/>
    <n v="2018"/>
    <n v="2"/>
  </r>
  <r>
    <s v="B-25649"/>
    <n v="27"/>
    <n v="-25"/>
    <n v="2"/>
    <x v="1"/>
    <x v="1"/>
    <x v="12"/>
    <d v="2018-05-05T00:00:00"/>
    <x v="48"/>
    <s v="Chandigarh"/>
    <x v="1"/>
    <n v="-0.92592592592592593"/>
    <n v="2018"/>
    <n v="2"/>
  </r>
  <r>
    <s v="B-25650"/>
    <n v="245"/>
    <n v="-78"/>
    <n v="2"/>
    <x v="2"/>
    <x v="13"/>
    <x v="1"/>
    <d v="2018-05-06T00:00:00"/>
    <x v="49"/>
    <s v="Mumbai"/>
    <x v="1"/>
    <n v="-0.3183673469387755"/>
    <n v="2018"/>
    <n v="2"/>
  </r>
  <r>
    <s v="B-25650"/>
    <n v="211"/>
    <n v="-105"/>
    <n v="2"/>
    <x v="1"/>
    <x v="5"/>
    <x v="1"/>
    <d v="2018-05-06T00:00:00"/>
    <x v="49"/>
    <s v="Mumbai"/>
    <x v="1"/>
    <n v="-0.49763033175355448"/>
    <n v="2018"/>
    <n v="2"/>
  </r>
  <r>
    <s v="B-25650"/>
    <n v="31"/>
    <n v="-2"/>
    <n v="2"/>
    <x v="1"/>
    <x v="5"/>
    <x v="1"/>
    <d v="2018-05-06T00:00:00"/>
    <x v="49"/>
    <s v="Mumbai"/>
    <x v="1"/>
    <n v="-6.4516129032258063E-2"/>
    <n v="2018"/>
    <n v="2"/>
  </r>
  <r>
    <s v="B-25650"/>
    <n v="28"/>
    <n v="-26"/>
    <n v="2"/>
    <x v="1"/>
    <x v="1"/>
    <x v="1"/>
    <d v="2018-05-06T00:00:00"/>
    <x v="49"/>
    <s v="Mumbai"/>
    <x v="1"/>
    <n v="-0.9285714285714286"/>
    <n v="2018"/>
    <n v="2"/>
  </r>
  <r>
    <s v="B-25650"/>
    <n v="512"/>
    <n v="-225"/>
    <n v="5"/>
    <x v="1"/>
    <x v="5"/>
    <x v="1"/>
    <d v="2018-05-06T00:00:00"/>
    <x v="49"/>
    <s v="Mumbai"/>
    <x v="1"/>
    <n v="-0.439453125"/>
    <n v="2018"/>
    <n v="2"/>
  </r>
  <r>
    <s v="B-25650"/>
    <n v="925"/>
    <n v="-447"/>
    <n v="5"/>
    <x v="2"/>
    <x v="3"/>
    <x v="1"/>
    <d v="2018-05-06T00:00:00"/>
    <x v="49"/>
    <s v="Mumbai"/>
    <x v="1"/>
    <n v="-0.48324324324324325"/>
    <n v="2018"/>
    <n v="2"/>
  </r>
  <r>
    <s v="B-25650"/>
    <n v="238"/>
    <n v="20"/>
    <n v="2"/>
    <x v="1"/>
    <x v="5"/>
    <x v="1"/>
    <d v="2018-05-06T00:00:00"/>
    <x v="49"/>
    <s v="Mumbai"/>
    <x v="1"/>
    <n v="8.4033613445378158E-2"/>
    <n v="2018"/>
    <n v="2"/>
  </r>
  <r>
    <s v="B-25650"/>
    <n v="351"/>
    <n v="-47"/>
    <n v="8"/>
    <x v="2"/>
    <x v="4"/>
    <x v="1"/>
    <d v="2018-05-06T00:00:00"/>
    <x v="49"/>
    <s v="Mumbai"/>
    <x v="1"/>
    <n v="-0.13390313390313391"/>
    <n v="2018"/>
    <n v="2"/>
  </r>
  <r>
    <s v="B-25650"/>
    <n v="269"/>
    <n v="111"/>
    <n v="3"/>
    <x v="1"/>
    <x v="6"/>
    <x v="1"/>
    <d v="2018-05-06T00:00:00"/>
    <x v="49"/>
    <s v="Mumbai"/>
    <x v="1"/>
    <n v="0.41263940520446096"/>
    <n v="2018"/>
    <n v="2"/>
  </r>
  <r>
    <s v="B-25651"/>
    <n v="200"/>
    <n v="-60"/>
    <n v="4"/>
    <x v="0"/>
    <x v="0"/>
    <x v="2"/>
    <d v="2018-05-07T00:00:00"/>
    <x v="50"/>
    <s v="Indore"/>
    <x v="1"/>
    <n v="-0.3"/>
    <n v="2018"/>
    <n v="2"/>
  </r>
  <r>
    <s v="B-25651"/>
    <n v="44"/>
    <n v="-8"/>
    <n v="3"/>
    <x v="1"/>
    <x v="1"/>
    <x v="2"/>
    <d v="2018-05-07T00:00:00"/>
    <x v="50"/>
    <s v="Indore"/>
    <x v="1"/>
    <n v="-0.18181818181818182"/>
    <n v="2018"/>
    <n v="2"/>
  </r>
  <r>
    <s v="B-25651"/>
    <n v="7"/>
    <n v="0"/>
    <n v="1"/>
    <x v="1"/>
    <x v="11"/>
    <x v="2"/>
    <d v="2018-05-07T00:00:00"/>
    <x v="50"/>
    <s v="Indore"/>
    <x v="1"/>
    <n v="0"/>
    <n v="2018"/>
    <n v="2"/>
  </r>
  <r>
    <s v="B-25651"/>
    <n v="11"/>
    <n v="-4"/>
    <n v="2"/>
    <x v="1"/>
    <x v="16"/>
    <x v="2"/>
    <d v="2018-05-07T00:00:00"/>
    <x v="50"/>
    <s v="Indore"/>
    <x v="1"/>
    <n v="-0.36363636363636365"/>
    <n v="2018"/>
    <n v="2"/>
  </r>
  <r>
    <s v="B-25651"/>
    <n v="16"/>
    <n v="-10"/>
    <n v="2"/>
    <x v="1"/>
    <x v="9"/>
    <x v="2"/>
    <d v="2018-05-07T00:00:00"/>
    <x v="50"/>
    <s v="Indore"/>
    <x v="1"/>
    <n v="-0.625"/>
    <n v="2018"/>
    <n v="2"/>
  </r>
  <r>
    <s v="B-25651"/>
    <n v="172"/>
    <n v="-103"/>
    <n v="3"/>
    <x v="0"/>
    <x v="7"/>
    <x v="2"/>
    <d v="2018-05-07T00:00:00"/>
    <x v="50"/>
    <s v="Indore"/>
    <x v="1"/>
    <n v="-0.59883720930232553"/>
    <n v="2018"/>
    <n v="2"/>
  </r>
  <r>
    <s v="B-25651"/>
    <n v="49"/>
    <n v="3"/>
    <n v="1"/>
    <x v="1"/>
    <x v="10"/>
    <x v="2"/>
    <d v="2018-05-07T00:00:00"/>
    <x v="50"/>
    <s v="Indore"/>
    <x v="1"/>
    <n v="6.1224489795918366E-2"/>
    <n v="2018"/>
    <n v="2"/>
  </r>
  <r>
    <s v="B-25651"/>
    <n v="823"/>
    <n v="-18"/>
    <n v="7"/>
    <x v="0"/>
    <x v="7"/>
    <x v="2"/>
    <d v="2018-05-07T00:00:00"/>
    <x v="50"/>
    <s v="Indore"/>
    <x v="1"/>
    <n v="-2.187120291616039E-2"/>
    <n v="2018"/>
    <n v="2"/>
  </r>
  <r>
    <s v="B-25651"/>
    <n v="23"/>
    <n v="4"/>
    <n v="1"/>
    <x v="1"/>
    <x v="5"/>
    <x v="2"/>
    <d v="2018-05-07T00:00:00"/>
    <x v="50"/>
    <s v="Indore"/>
    <x v="1"/>
    <n v="0.17391304347826086"/>
    <n v="2018"/>
    <n v="2"/>
  </r>
  <r>
    <s v="B-25651"/>
    <n v="457"/>
    <n v="-41"/>
    <n v="4"/>
    <x v="1"/>
    <x v="5"/>
    <x v="2"/>
    <d v="2018-05-07T00:00:00"/>
    <x v="50"/>
    <s v="Indore"/>
    <x v="1"/>
    <n v="-8.9715536105032828E-2"/>
    <n v="2018"/>
    <n v="2"/>
  </r>
  <r>
    <s v="B-25652"/>
    <n v="24"/>
    <n v="-21"/>
    <n v="7"/>
    <x v="1"/>
    <x v="16"/>
    <x v="15"/>
    <d v="2018-05-08T00:00:00"/>
    <x v="51"/>
    <s v="Goa"/>
    <x v="1"/>
    <n v="-0.875"/>
    <n v="2018"/>
    <n v="2"/>
  </r>
  <r>
    <s v="B-25652"/>
    <n v="25"/>
    <n v="-2"/>
    <n v="5"/>
    <x v="1"/>
    <x v="2"/>
    <x v="15"/>
    <d v="2018-05-08T00:00:00"/>
    <x v="51"/>
    <s v="Goa"/>
    <x v="1"/>
    <n v="-0.08"/>
    <n v="2018"/>
    <n v="2"/>
  </r>
  <r>
    <s v="B-25652"/>
    <n v="174"/>
    <n v="-70"/>
    <n v="3"/>
    <x v="2"/>
    <x v="14"/>
    <x v="15"/>
    <d v="2018-05-08T00:00:00"/>
    <x v="51"/>
    <s v="Goa"/>
    <x v="1"/>
    <n v="-0.40229885057471265"/>
    <n v="2018"/>
    <n v="2"/>
  </r>
  <r>
    <s v="B-25652"/>
    <n v="206"/>
    <n v="-206"/>
    <n v="3"/>
    <x v="1"/>
    <x v="5"/>
    <x v="15"/>
    <d v="2018-05-08T00:00:00"/>
    <x v="51"/>
    <s v="Goa"/>
    <x v="1"/>
    <n v="-1"/>
    <n v="2018"/>
    <n v="2"/>
  </r>
  <r>
    <s v="B-25652"/>
    <n v="21"/>
    <n v="-13"/>
    <n v="3"/>
    <x v="1"/>
    <x v="11"/>
    <x v="15"/>
    <d v="2018-05-08T00:00:00"/>
    <x v="51"/>
    <s v="Goa"/>
    <x v="1"/>
    <n v="-0.61904761904761907"/>
    <n v="2018"/>
    <n v="2"/>
  </r>
  <r>
    <s v="B-25652"/>
    <n v="34"/>
    <n v="-6"/>
    <n v="4"/>
    <x v="1"/>
    <x v="11"/>
    <x v="15"/>
    <d v="2018-05-08T00:00:00"/>
    <x v="51"/>
    <s v="Goa"/>
    <x v="1"/>
    <n v="-0.17647058823529413"/>
    <n v="2018"/>
    <n v="2"/>
  </r>
  <r>
    <s v="B-25652"/>
    <n v="9"/>
    <n v="-6"/>
    <n v="2"/>
    <x v="1"/>
    <x v="2"/>
    <x v="15"/>
    <d v="2018-05-08T00:00:00"/>
    <x v="51"/>
    <s v="Goa"/>
    <x v="1"/>
    <n v="-0.66666666666666663"/>
    <n v="2018"/>
    <n v="2"/>
  </r>
  <r>
    <s v="B-25653"/>
    <n v="1279"/>
    <n v="-640"/>
    <n v="8"/>
    <x v="2"/>
    <x v="13"/>
    <x v="16"/>
    <d v="2018-05-08T00:00:00"/>
    <x v="52"/>
    <s v="Kohima"/>
    <x v="1"/>
    <n v="-0.5003909304143862"/>
    <n v="2018"/>
    <n v="2"/>
  </r>
  <r>
    <s v="B-25653"/>
    <n v="28"/>
    <n v="-3"/>
    <n v="2"/>
    <x v="1"/>
    <x v="5"/>
    <x v="16"/>
    <d v="2018-05-08T00:00:00"/>
    <x v="52"/>
    <s v="Kohima"/>
    <x v="1"/>
    <n v="-0.10714285714285714"/>
    <n v="2018"/>
    <n v="2"/>
  </r>
  <r>
    <s v="B-25653"/>
    <n v="427"/>
    <n v="-50"/>
    <n v="7"/>
    <x v="2"/>
    <x v="4"/>
    <x v="16"/>
    <d v="2018-05-08T00:00:00"/>
    <x v="52"/>
    <s v="Kohima"/>
    <x v="1"/>
    <n v="-0.117096018735363"/>
    <n v="2018"/>
    <n v="2"/>
  </r>
  <r>
    <s v="B-25653"/>
    <n v="168"/>
    <n v="-10"/>
    <n v="3"/>
    <x v="2"/>
    <x v="14"/>
    <x v="16"/>
    <d v="2018-05-08T00:00:00"/>
    <x v="52"/>
    <s v="Kohima"/>
    <x v="1"/>
    <n v="-5.9523809523809521E-2"/>
    <n v="2018"/>
    <n v="2"/>
  </r>
  <r>
    <s v="B-25653"/>
    <n v="1327"/>
    <n v="318"/>
    <n v="8"/>
    <x v="0"/>
    <x v="7"/>
    <x v="16"/>
    <d v="2018-05-08T00:00:00"/>
    <x v="52"/>
    <s v="Kohima"/>
    <x v="1"/>
    <n v="0.23963828183873398"/>
    <n v="2018"/>
    <n v="2"/>
  </r>
  <r>
    <s v="B-25653"/>
    <n v="195"/>
    <n v="-117"/>
    <n v="5"/>
    <x v="2"/>
    <x v="4"/>
    <x v="16"/>
    <d v="2018-05-08T00:00:00"/>
    <x v="52"/>
    <s v="Kohima"/>
    <x v="1"/>
    <n v="-0.6"/>
    <n v="2018"/>
    <n v="2"/>
  </r>
  <r>
    <s v="B-25653"/>
    <n v="115"/>
    <n v="25"/>
    <n v="1"/>
    <x v="2"/>
    <x v="14"/>
    <x v="16"/>
    <d v="2018-05-08T00:00:00"/>
    <x v="52"/>
    <s v="Kohima"/>
    <x v="1"/>
    <n v="0.21739130434782608"/>
    <n v="2018"/>
    <n v="2"/>
  </r>
  <r>
    <s v="B-25653"/>
    <n v="668"/>
    <n v="-31"/>
    <n v="3"/>
    <x v="2"/>
    <x v="13"/>
    <x v="16"/>
    <d v="2018-05-08T00:00:00"/>
    <x v="52"/>
    <s v="Kohima"/>
    <x v="1"/>
    <n v="-4.6407185628742513E-2"/>
    <n v="2018"/>
    <n v="2"/>
  </r>
  <r>
    <s v="B-25653"/>
    <n v="227"/>
    <n v="102"/>
    <n v="8"/>
    <x v="2"/>
    <x v="14"/>
    <x v="16"/>
    <d v="2018-05-08T00:00:00"/>
    <x v="52"/>
    <s v="Kohima"/>
    <x v="1"/>
    <n v="0.44933920704845814"/>
    <n v="2018"/>
    <n v="2"/>
  </r>
  <r>
    <s v="B-25654"/>
    <n v="34"/>
    <n v="12"/>
    <n v="3"/>
    <x v="1"/>
    <x v="2"/>
    <x v="1"/>
    <d v="2018-05-10T00:00:00"/>
    <x v="53"/>
    <s v="Mumbai"/>
    <x v="1"/>
    <n v="0.35294117647058826"/>
    <n v="2018"/>
    <n v="2"/>
  </r>
  <r>
    <s v="B-25654"/>
    <n v="229"/>
    <n v="-23"/>
    <n v="2"/>
    <x v="1"/>
    <x v="5"/>
    <x v="1"/>
    <d v="2018-05-10T00:00:00"/>
    <x v="53"/>
    <s v="Mumbai"/>
    <x v="1"/>
    <n v="-0.10043668122270742"/>
    <n v="2018"/>
    <n v="2"/>
  </r>
  <r>
    <s v="B-25654"/>
    <n v="54"/>
    <n v="-3"/>
    <n v="3"/>
    <x v="1"/>
    <x v="5"/>
    <x v="1"/>
    <d v="2018-05-10T00:00:00"/>
    <x v="53"/>
    <s v="Mumbai"/>
    <x v="1"/>
    <n v="-5.5555555555555552E-2"/>
    <n v="2018"/>
    <n v="2"/>
  </r>
  <r>
    <s v="B-25654"/>
    <n v="269"/>
    <n v="-86"/>
    <n v="2"/>
    <x v="2"/>
    <x v="3"/>
    <x v="1"/>
    <d v="2018-05-10T00:00:00"/>
    <x v="53"/>
    <s v="Mumbai"/>
    <x v="1"/>
    <n v="-0.31970260223048325"/>
    <n v="2018"/>
    <n v="2"/>
  </r>
  <r>
    <s v="B-25654"/>
    <n v="122"/>
    <n v="-21"/>
    <n v="3"/>
    <x v="0"/>
    <x v="15"/>
    <x v="1"/>
    <d v="2018-05-10T00:00:00"/>
    <x v="53"/>
    <s v="Mumbai"/>
    <x v="1"/>
    <n v="-0.1721311475409836"/>
    <n v="2018"/>
    <n v="2"/>
  </r>
  <r>
    <s v="B-25654"/>
    <n v="105"/>
    <n v="46"/>
    <n v="2"/>
    <x v="1"/>
    <x v="1"/>
    <x v="1"/>
    <d v="2018-05-10T00:00:00"/>
    <x v="53"/>
    <s v="Mumbai"/>
    <x v="1"/>
    <n v="0.43809523809523809"/>
    <n v="2018"/>
    <n v="2"/>
  </r>
  <r>
    <s v="B-25654"/>
    <n v="450"/>
    <n v="-90"/>
    <n v="3"/>
    <x v="2"/>
    <x v="13"/>
    <x v="1"/>
    <d v="2018-05-10T00:00:00"/>
    <x v="53"/>
    <s v="Mumbai"/>
    <x v="1"/>
    <n v="-0.2"/>
    <n v="2018"/>
    <n v="2"/>
  </r>
  <r>
    <s v="B-25654"/>
    <n v="121"/>
    <n v="-17"/>
    <n v="3"/>
    <x v="0"/>
    <x v="15"/>
    <x v="1"/>
    <d v="2018-05-10T00:00:00"/>
    <x v="53"/>
    <s v="Mumbai"/>
    <x v="1"/>
    <n v="-0.14049586776859505"/>
    <n v="2018"/>
    <n v="2"/>
  </r>
  <r>
    <s v="B-25655"/>
    <n v="44"/>
    <n v="-26"/>
    <n v="3"/>
    <x v="1"/>
    <x v="2"/>
    <x v="2"/>
    <d v="2018-05-11T00:00:00"/>
    <x v="54"/>
    <s v="Indore"/>
    <x v="1"/>
    <n v="-0.59090909090909094"/>
    <n v="2018"/>
    <n v="2"/>
  </r>
  <r>
    <s v="B-25655"/>
    <n v="7"/>
    <n v="-4"/>
    <n v="3"/>
    <x v="1"/>
    <x v="2"/>
    <x v="2"/>
    <d v="2018-05-11T00:00:00"/>
    <x v="54"/>
    <s v="Indore"/>
    <x v="1"/>
    <n v="-0.5714285714285714"/>
    <n v="2018"/>
    <n v="2"/>
  </r>
  <r>
    <s v="B-25655"/>
    <n v="396"/>
    <n v="-31"/>
    <n v="9"/>
    <x v="1"/>
    <x v="5"/>
    <x v="2"/>
    <d v="2018-05-11T00:00:00"/>
    <x v="54"/>
    <s v="Indore"/>
    <x v="1"/>
    <n v="-7.8282828282828287E-2"/>
    <n v="2018"/>
    <n v="2"/>
  </r>
  <r>
    <s v="B-25655"/>
    <n v="97"/>
    <n v="-62"/>
    <n v="2"/>
    <x v="1"/>
    <x v="6"/>
    <x v="2"/>
    <d v="2018-05-11T00:00:00"/>
    <x v="54"/>
    <s v="Indore"/>
    <x v="1"/>
    <n v="-0.63917525773195871"/>
    <n v="2018"/>
    <n v="2"/>
  </r>
  <r>
    <s v="B-25655"/>
    <n v="110"/>
    <n v="-68"/>
    <n v="4"/>
    <x v="1"/>
    <x v="5"/>
    <x v="2"/>
    <d v="2018-05-11T00:00:00"/>
    <x v="54"/>
    <s v="Indore"/>
    <x v="1"/>
    <n v="-0.61818181818181817"/>
    <n v="2018"/>
    <n v="2"/>
  </r>
  <r>
    <s v="B-25655"/>
    <n v="312"/>
    <n v="-312"/>
    <n v="7"/>
    <x v="0"/>
    <x v="7"/>
    <x v="2"/>
    <d v="2018-05-11T00:00:00"/>
    <x v="54"/>
    <s v="Indore"/>
    <x v="1"/>
    <n v="-1"/>
    <n v="2018"/>
    <n v="2"/>
  </r>
  <r>
    <s v="B-25655"/>
    <n v="9"/>
    <n v="-6"/>
    <n v="2"/>
    <x v="1"/>
    <x v="16"/>
    <x v="2"/>
    <d v="2018-05-11T00:00:00"/>
    <x v="54"/>
    <s v="Indore"/>
    <x v="1"/>
    <n v="-0.66666666666666663"/>
    <n v="2018"/>
    <n v="2"/>
  </r>
  <r>
    <s v="B-25655"/>
    <n v="6"/>
    <n v="-3"/>
    <n v="1"/>
    <x v="1"/>
    <x v="2"/>
    <x v="2"/>
    <d v="2018-05-11T00:00:00"/>
    <x v="54"/>
    <s v="Indore"/>
    <x v="1"/>
    <n v="-0.5"/>
    <n v="2018"/>
    <n v="2"/>
  </r>
  <r>
    <s v="B-25655"/>
    <n v="74"/>
    <n v="23"/>
    <n v="8"/>
    <x v="1"/>
    <x v="16"/>
    <x v="2"/>
    <d v="2018-05-11T00:00:00"/>
    <x v="54"/>
    <s v="Indore"/>
    <x v="1"/>
    <n v="0.3108108108108108"/>
    <n v="2018"/>
    <n v="2"/>
  </r>
  <r>
    <s v="B-25656"/>
    <n v="534"/>
    <n v="0"/>
    <n v="3"/>
    <x v="1"/>
    <x v="5"/>
    <x v="1"/>
    <d v="2018-05-11T00:00:00"/>
    <x v="55"/>
    <s v="Pune"/>
    <x v="1"/>
    <n v="0"/>
    <n v="2018"/>
    <n v="2"/>
  </r>
  <r>
    <s v="B-25656"/>
    <n v="30"/>
    <n v="-5"/>
    <n v="5"/>
    <x v="1"/>
    <x v="1"/>
    <x v="1"/>
    <d v="2018-05-11T00:00:00"/>
    <x v="55"/>
    <s v="Pune"/>
    <x v="1"/>
    <n v="-0.16666666666666666"/>
    <n v="2018"/>
    <n v="2"/>
  </r>
  <r>
    <s v="B-25656"/>
    <n v="61"/>
    <n v="-23"/>
    <n v="2"/>
    <x v="1"/>
    <x v="5"/>
    <x v="1"/>
    <d v="2018-05-11T00:00:00"/>
    <x v="55"/>
    <s v="Pune"/>
    <x v="1"/>
    <n v="-0.37704918032786883"/>
    <n v="2018"/>
    <n v="2"/>
  </r>
  <r>
    <s v="B-25656"/>
    <n v="6"/>
    <n v="3"/>
    <n v="1"/>
    <x v="1"/>
    <x v="2"/>
    <x v="1"/>
    <d v="2018-05-11T00:00:00"/>
    <x v="55"/>
    <s v="Pune"/>
    <x v="1"/>
    <n v="0.5"/>
    <n v="2018"/>
    <n v="2"/>
  </r>
  <r>
    <s v="B-25656"/>
    <n v="24"/>
    <n v="-1"/>
    <n v="2"/>
    <x v="1"/>
    <x v="2"/>
    <x v="1"/>
    <d v="2018-05-11T00:00:00"/>
    <x v="55"/>
    <s v="Pune"/>
    <x v="1"/>
    <n v="-4.1666666666666664E-2"/>
    <n v="2018"/>
    <n v="2"/>
  </r>
  <r>
    <s v="B-25656"/>
    <n v="56"/>
    <n v="18"/>
    <n v="2"/>
    <x v="1"/>
    <x v="2"/>
    <x v="1"/>
    <d v="2018-05-11T00:00:00"/>
    <x v="55"/>
    <s v="Pune"/>
    <x v="1"/>
    <n v="0.32142857142857145"/>
    <n v="2018"/>
    <n v="2"/>
  </r>
  <r>
    <s v="B-25656"/>
    <n v="406"/>
    <n v="126"/>
    <n v="2"/>
    <x v="1"/>
    <x v="5"/>
    <x v="1"/>
    <d v="2018-05-11T00:00:00"/>
    <x v="55"/>
    <s v="Pune"/>
    <x v="1"/>
    <n v="0.31034482758620691"/>
    <n v="2018"/>
    <n v="2"/>
  </r>
  <r>
    <s v="B-25656"/>
    <n v="624"/>
    <n v="37"/>
    <n v="2"/>
    <x v="2"/>
    <x v="3"/>
    <x v="1"/>
    <d v="2018-05-11T00:00:00"/>
    <x v="55"/>
    <s v="Pune"/>
    <x v="1"/>
    <n v="5.9294871794871792E-2"/>
    <n v="2018"/>
    <n v="2"/>
  </r>
  <r>
    <s v="B-25656"/>
    <n v="101"/>
    <n v="18"/>
    <n v="9"/>
    <x v="1"/>
    <x v="16"/>
    <x v="1"/>
    <d v="2018-05-11T00:00:00"/>
    <x v="55"/>
    <s v="Pune"/>
    <x v="1"/>
    <n v="0.17821782178217821"/>
    <n v="2018"/>
    <n v="2"/>
  </r>
  <r>
    <s v="B-25656"/>
    <n v="1389"/>
    <n v="680"/>
    <n v="7"/>
    <x v="1"/>
    <x v="5"/>
    <x v="1"/>
    <d v="2018-05-11T00:00:00"/>
    <x v="55"/>
    <s v="Pune"/>
    <x v="1"/>
    <n v="0.48956083513318932"/>
    <n v="2018"/>
    <n v="2"/>
  </r>
  <r>
    <s v="B-25656"/>
    <n v="651"/>
    <n v="169"/>
    <n v="5"/>
    <x v="2"/>
    <x v="13"/>
    <x v="1"/>
    <d v="2018-05-11T00:00:00"/>
    <x v="55"/>
    <s v="Pune"/>
    <x v="1"/>
    <n v="0.25960061443932414"/>
    <n v="2018"/>
    <n v="2"/>
  </r>
  <r>
    <s v="B-25656"/>
    <n v="13"/>
    <n v="-1"/>
    <n v="3"/>
    <x v="1"/>
    <x v="2"/>
    <x v="1"/>
    <d v="2018-05-11T00:00:00"/>
    <x v="55"/>
    <s v="Pune"/>
    <x v="1"/>
    <n v="-7.6923076923076927E-2"/>
    <n v="2018"/>
    <n v="2"/>
  </r>
  <r>
    <s v="B-25657"/>
    <n v="1021"/>
    <n v="-48"/>
    <n v="4"/>
    <x v="2"/>
    <x v="3"/>
    <x v="2"/>
    <d v="2018-05-13T00:00:00"/>
    <x v="56"/>
    <s v="Bhopal"/>
    <x v="1"/>
    <n v="-4.701273261508325E-2"/>
    <n v="2018"/>
    <n v="2"/>
  </r>
  <r>
    <s v="B-25657"/>
    <n v="32"/>
    <n v="-22"/>
    <n v="5"/>
    <x v="1"/>
    <x v="5"/>
    <x v="2"/>
    <d v="2018-05-13T00:00:00"/>
    <x v="56"/>
    <s v="Bhopal"/>
    <x v="1"/>
    <n v="-0.6875"/>
    <n v="2018"/>
    <n v="2"/>
  </r>
  <r>
    <s v="B-25657"/>
    <n v="332"/>
    <n v="-43"/>
    <n v="6"/>
    <x v="2"/>
    <x v="4"/>
    <x v="2"/>
    <d v="2018-05-13T00:00:00"/>
    <x v="56"/>
    <s v="Bhopal"/>
    <x v="1"/>
    <n v="-0.12951807228915663"/>
    <n v="2018"/>
    <n v="2"/>
  </r>
  <r>
    <s v="B-25657"/>
    <n v="288"/>
    <n v="-180"/>
    <n v="4"/>
    <x v="0"/>
    <x v="7"/>
    <x v="2"/>
    <d v="2018-05-13T00:00:00"/>
    <x v="56"/>
    <s v="Bhopal"/>
    <x v="1"/>
    <n v="-0.625"/>
    <n v="2018"/>
    <n v="2"/>
  </r>
  <r>
    <s v="B-25658"/>
    <n v="27"/>
    <n v="9"/>
    <n v="2"/>
    <x v="1"/>
    <x v="9"/>
    <x v="3"/>
    <d v="2018-05-14T00:00:00"/>
    <x v="57"/>
    <s v="Jaipur"/>
    <x v="1"/>
    <n v="0.33333333333333331"/>
    <n v="2018"/>
    <n v="2"/>
  </r>
  <r>
    <s v="B-25659"/>
    <n v="148"/>
    <n v="72"/>
    <n v="7"/>
    <x v="1"/>
    <x v="9"/>
    <x v="4"/>
    <d v="2018-05-15T00:00:00"/>
    <x v="58"/>
    <s v="Kolkata"/>
    <x v="1"/>
    <n v="0.48648648648648651"/>
    <n v="2018"/>
    <n v="2"/>
  </r>
  <r>
    <s v="B-25660"/>
    <n v="245"/>
    <n v="-78"/>
    <n v="3"/>
    <x v="1"/>
    <x v="5"/>
    <x v="5"/>
    <d v="2018-05-16T00:00:00"/>
    <x v="59"/>
    <s v="Bangalore"/>
    <x v="1"/>
    <n v="-0.3183673469387755"/>
    <n v="2018"/>
    <n v="2"/>
  </r>
  <r>
    <s v="B-25661"/>
    <n v="19"/>
    <n v="-15"/>
    <n v="3"/>
    <x v="1"/>
    <x v="2"/>
    <x v="6"/>
    <d v="2018-05-17T00:00:00"/>
    <x v="60"/>
    <s v="Kashmir"/>
    <x v="1"/>
    <n v="-0.78947368421052633"/>
    <n v="2018"/>
    <n v="2"/>
  </r>
  <r>
    <s v="B-25661"/>
    <n v="224"/>
    <n v="-81"/>
    <n v="3"/>
    <x v="0"/>
    <x v="7"/>
    <x v="6"/>
    <d v="2018-05-17T00:00:00"/>
    <x v="60"/>
    <s v="Kashmir"/>
    <x v="1"/>
    <n v="-0.36160714285714285"/>
    <n v="2018"/>
    <n v="2"/>
  </r>
  <r>
    <s v="B-25661"/>
    <n v="58"/>
    <n v="-42"/>
    <n v="2"/>
    <x v="0"/>
    <x v="7"/>
    <x v="6"/>
    <d v="2018-05-17T00:00:00"/>
    <x v="60"/>
    <s v="Kashmir"/>
    <x v="1"/>
    <n v="-0.72413793103448276"/>
    <n v="2018"/>
    <n v="2"/>
  </r>
  <r>
    <s v="B-25661"/>
    <n v="145"/>
    <n v="-104"/>
    <n v="5"/>
    <x v="0"/>
    <x v="7"/>
    <x v="6"/>
    <d v="2018-05-17T00:00:00"/>
    <x v="60"/>
    <s v="Kashmir"/>
    <x v="1"/>
    <n v="-0.71724137931034482"/>
    <n v="2018"/>
    <n v="2"/>
  </r>
  <r>
    <s v="B-25661"/>
    <n v="55"/>
    <n v="-33"/>
    <n v="2"/>
    <x v="0"/>
    <x v="7"/>
    <x v="6"/>
    <d v="2018-05-17T00:00:00"/>
    <x v="60"/>
    <s v="Kashmir"/>
    <x v="1"/>
    <n v="-0.6"/>
    <n v="2018"/>
    <n v="2"/>
  </r>
  <r>
    <s v="B-25661"/>
    <n v="7"/>
    <n v="-1"/>
    <n v="2"/>
    <x v="1"/>
    <x v="2"/>
    <x v="6"/>
    <d v="2018-05-17T00:00:00"/>
    <x v="60"/>
    <s v="Kashmir"/>
    <x v="1"/>
    <n v="-0.14285714285714285"/>
    <n v="2018"/>
    <n v="2"/>
  </r>
  <r>
    <s v="B-25662"/>
    <n v="24"/>
    <n v="-2"/>
    <n v="2"/>
    <x v="1"/>
    <x v="9"/>
    <x v="1"/>
    <d v="2018-05-17T00:00:00"/>
    <x v="61"/>
    <s v="Mumbai"/>
    <x v="1"/>
    <n v="-8.3333333333333329E-2"/>
    <n v="2018"/>
    <n v="2"/>
  </r>
  <r>
    <s v="B-25662"/>
    <n v="86"/>
    <n v="-21"/>
    <n v="1"/>
    <x v="2"/>
    <x v="3"/>
    <x v="1"/>
    <d v="2018-05-17T00:00:00"/>
    <x v="61"/>
    <s v="Mumbai"/>
    <x v="1"/>
    <n v="-0.2441860465116279"/>
    <n v="2018"/>
    <n v="2"/>
  </r>
  <r>
    <s v="B-25662"/>
    <n v="385"/>
    <n v="-77"/>
    <n v="11"/>
    <x v="0"/>
    <x v="15"/>
    <x v="1"/>
    <d v="2018-05-17T00:00:00"/>
    <x v="61"/>
    <s v="Mumbai"/>
    <x v="1"/>
    <n v="-0.2"/>
    <n v="2018"/>
    <n v="2"/>
  </r>
  <r>
    <s v="B-25663"/>
    <n v="294"/>
    <n v="138"/>
    <n v="2"/>
    <x v="2"/>
    <x v="13"/>
    <x v="2"/>
    <d v="2018-05-19T00:00:00"/>
    <x v="62"/>
    <s v="Indore"/>
    <x v="1"/>
    <n v="0.46938775510204084"/>
    <n v="2018"/>
    <n v="2"/>
  </r>
  <r>
    <s v="B-25664"/>
    <n v="444"/>
    <n v="-200"/>
    <n v="4"/>
    <x v="2"/>
    <x v="4"/>
    <x v="9"/>
    <d v="2018-05-20T00:00:00"/>
    <x v="63"/>
    <s v="Patna"/>
    <x v="1"/>
    <n v="-0.45045045045045046"/>
    <n v="2018"/>
    <n v="2"/>
  </r>
  <r>
    <s v="B-25664"/>
    <n v="785"/>
    <n v="52"/>
    <n v="2"/>
    <x v="2"/>
    <x v="4"/>
    <x v="9"/>
    <d v="2018-05-20T00:00:00"/>
    <x v="63"/>
    <s v="Patna"/>
    <x v="1"/>
    <n v="6.6242038216560509E-2"/>
    <n v="2018"/>
    <n v="2"/>
  </r>
  <r>
    <s v="B-25664"/>
    <n v="258"/>
    <n v="-27"/>
    <n v="2"/>
    <x v="2"/>
    <x v="4"/>
    <x v="9"/>
    <d v="2018-05-20T00:00:00"/>
    <x v="63"/>
    <s v="Patna"/>
    <x v="1"/>
    <n v="-0.10465116279069768"/>
    <n v="2018"/>
    <n v="2"/>
  </r>
  <r>
    <s v="B-25664"/>
    <n v="83"/>
    <n v="-48"/>
    <n v="1"/>
    <x v="0"/>
    <x v="0"/>
    <x v="9"/>
    <d v="2018-05-20T00:00:00"/>
    <x v="63"/>
    <s v="Patna"/>
    <x v="1"/>
    <n v="-0.57831325301204817"/>
    <n v="2018"/>
    <n v="2"/>
  </r>
  <r>
    <s v="B-25665"/>
    <n v="166"/>
    <n v="-113"/>
    <n v="4"/>
    <x v="2"/>
    <x v="14"/>
    <x v="10"/>
    <d v="2018-05-21T00:00:00"/>
    <x v="64"/>
    <s v="Thiruvananthapuram"/>
    <x v="1"/>
    <n v="-0.68072289156626509"/>
    <n v="2018"/>
    <n v="2"/>
  </r>
  <r>
    <s v="B-25666"/>
    <n v="934"/>
    <n v="-916"/>
    <n v="7"/>
    <x v="2"/>
    <x v="3"/>
    <x v="11"/>
    <d v="2018-05-22T00:00:00"/>
    <x v="65"/>
    <s v="Chandigarh"/>
    <x v="1"/>
    <n v="-0.98072805139186292"/>
    <n v="2018"/>
    <n v="2"/>
  </r>
  <r>
    <s v="B-25667"/>
    <n v="11"/>
    <n v="-2"/>
    <n v="4"/>
    <x v="1"/>
    <x v="2"/>
    <x v="12"/>
    <d v="2018-05-23T00:00:00"/>
    <x v="66"/>
    <s v="Chandigarh"/>
    <x v="1"/>
    <n v="-0.18181818181818182"/>
    <n v="2018"/>
    <n v="2"/>
  </r>
  <r>
    <s v="B-25667"/>
    <n v="41"/>
    <n v="6"/>
    <n v="5"/>
    <x v="1"/>
    <x v="16"/>
    <x v="12"/>
    <d v="2018-05-23T00:00:00"/>
    <x v="66"/>
    <s v="Chandigarh"/>
    <x v="1"/>
    <n v="0.14634146341463414"/>
    <n v="2018"/>
    <n v="2"/>
  </r>
  <r>
    <s v="B-25667"/>
    <n v="344"/>
    <n v="-34"/>
    <n v="3"/>
    <x v="1"/>
    <x v="5"/>
    <x v="12"/>
    <d v="2018-05-23T00:00:00"/>
    <x v="66"/>
    <s v="Chandigarh"/>
    <x v="1"/>
    <n v="-9.8837209302325577E-2"/>
    <n v="2018"/>
    <n v="2"/>
  </r>
  <r>
    <s v="B-25667"/>
    <n v="1030"/>
    <n v="206"/>
    <n v="8"/>
    <x v="2"/>
    <x v="13"/>
    <x v="12"/>
    <d v="2018-05-23T00:00:00"/>
    <x v="66"/>
    <s v="Chandigarh"/>
    <x v="1"/>
    <n v="0.2"/>
    <n v="2018"/>
    <n v="2"/>
  </r>
  <r>
    <s v="B-25667"/>
    <n v="516"/>
    <n v="69"/>
    <n v="4"/>
    <x v="0"/>
    <x v="0"/>
    <x v="12"/>
    <d v="2018-05-23T00:00:00"/>
    <x v="66"/>
    <s v="Chandigarh"/>
    <x v="1"/>
    <n v="0.13372093023255813"/>
    <n v="2018"/>
    <n v="2"/>
  </r>
  <r>
    <s v="B-25668"/>
    <n v="123"/>
    <n v="17"/>
    <n v="3"/>
    <x v="0"/>
    <x v="15"/>
    <x v="13"/>
    <d v="2018-05-24T00:00:00"/>
    <x v="67"/>
    <s v="Simla"/>
    <x v="1"/>
    <n v="0.13821138211382114"/>
    <n v="2018"/>
    <n v="2"/>
  </r>
  <r>
    <s v="B-25669"/>
    <n v="610"/>
    <n v="-66"/>
    <n v="2"/>
    <x v="0"/>
    <x v="12"/>
    <x v="14"/>
    <d v="2018-05-25T00:00:00"/>
    <x v="68"/>
    <s v="Gangtok"/>
    <x v="1"/>
    <n v="-0.10819672131147541"/>
    <n v="2018"/>
    <n v="2"/>
  </r>
  <r>
    <s v="B-25670"/>
    <n v="74"/>
    <n v="29"/>
    <n v="3"/>
    <x v="1"/>
    <x v="1"/>
    <x v="15"/>
    <d v="2018-05-25T00:00:00"/>
    <x v="69"/>
    <s v="Goa"/>
    <x v="1"/>
    <n v="0.39189189189189189"/>
    <n v="2018"/>
    <n v="2"/>
  </r>
  <r>
    <s v="B-25670"/>
    <n v="24"/>
    <n v="1"/>
    <n v="2"/>
    <x v="1"/>
    <x v="2"/>
    <x v="15"/>
    <d v="2018-05-25T00:00:00"/>
    <x v="69"/>
    <s v="Goa"/>
    <x v="1"/>
    <n v="4.1666666666666664E-2"/>
    <n v="2018"/>
    <n v="2"/>
  </r>
  <r>
    <s v="B-25670"/>
    <n v="14"/>
    <n v="2"/>
    <n v="1"/>
    <x v="1"/>
    <x v="2"/>
    <x v="15"/>
    <d v="2018-05-25T00:00:00"/>
    <x v="69"/>
    <s v="Goa"/>
    <x v="1"/>
    <n v="0.14285714285714285"/>
    <n v="2018"/>
    <n v="2"/>
  </r>
  <r>
    <s v="B-25670"/>
    <n v="656"/>
    <n v="-36"/>
    <n v="2"/>
    <x v="0"/>
    <x v="0"/>
    <x v="15"/>
    <d v="2018-05-25T00:00:00"/>
    <x v="69"/>
    <s v="Goa"/>
    <x v="1"/>
    <n v="-5.4878048780487805E-2"/>
    <n v="2018"/>
    <n v="2"/>
  </r>
  <r>
    <s v="B-25671"/>
    <n v="832"/>
    <n v="0"/>
    <n v="3"/>
    <x v="1"/>
    <x v="6"/>
    <x v="16"/>
    <d v="2018-05-27T00:00:00"/>
    <x v="70"/>
    <s v="Kohima"/>
    <x v="1"/>
    <n v="0"/>
    <n v="2018"/>
    <n v="2"/>
  </r>
  <r>
    <s v="B-25672"/>
    <n v="27"/>
    <n v="-15"/>
    <n v="1"/>
    <x v="1"/>
    <x v="1"/>
    <x v="17"/>
    <d v="2018-05-28T00:00:00"/>
    <x v="71"/>
    <s v="Hyderabad"/>
    <x v="1"/>
    <n v="-0.55555555555555558"/>
    <n v="2018"/>
    <n v="2"/>
  </r>
  <r>
    <s v="B-25673"/>
    <n v="143"/>
    <n v="-124"/>
    <n v="5"/>
    <x v="1"/>
    <x v="5"/>
    <x v="0"/>
    <d v="2018-05-28T00:00:00"/>
    <x v="72"/>
    <s v="Ahmedabad"/>
    <x v="1"/>
    <n v="-0.86713286713286708"/>
    <n v="2018"/>
    <n v="2"/>
  </r>
  <r>
    <s v="B-25673"/>
    <n v="44"/>
    <n v="-17"/>
    <n v="5"/>
    <x v="1"/>
    <x v="5"/>
    <x v="0"/>
    <d v="2018-05-28T00:00:00"/>
    <x v="72"/>
    <s v="Ahmedabad"/>
    <x v="1"/>
    <n v="-0.38636363636363635"/>
    <n v="2018"/>
    <n v="2"/>
  </r>
  <r>
    <s v="B-25673"/>
    <n v="45"/>
    <n v="-2"/>
    <n v="4"/>
    <x v="1"/>
    <x v="10"/>
    <x v="0"/>
    <d v="2018-05-28T00:00:00"/>
    <x v="72"/>
    <s v="Ahmedabad"/>
    <x v="1"/>
    <n v="-4.4444444444444446E-2"/>
    <n v="2018"/>
    <n v="2"/>
  </r>
  <r>
    <s v="B-25673"/>
    <n v="16"/>
    <n v="-1"/>
    <n v="1"/>
    <x v="1"/>
    <x v="5"/>
    <x v="0"/>
    <d v="2018-05-28T00:00:00"/>
    <x v="72"/>
    <s v="Ahmedabad"/>
    <x v="1"/>
    <n v="-6.25E-2"/>
    <n v="2018"/>
    <n v="2"/>
  </r>
  <r>
    <s v="B-25673"/>
    <n v="37"/>
    <n v="-5"/>
    <n v="3"/>
    <x v="1"/>
    <x v="9"/>
    <x v="0"/>
    <d v="2018-05-28T00:00:00"/>
    <x v="72"/>
    <s v="Ahmedabad"/>
    <x v="1"/>
    <n v="-0.13513513513513514"/>
    <n v="2018"/>
    <n v="2"/>
  </r>
  <r>
    <s v="B-25674"/>
    <n v="17"/>
    <n v="-12"/>
    <n v="5"/>
    <x v="1"/>
    <x v="16"/>
    <x v="1"/>
    <d v="2018-05-28T00:00:00"/>
    <x v="73"/>
    <s v="Pune"/>
    <x v="1"/>
    <n v="-0.70588235294117652"/>
    <n v="2018"/>
    <n v="2"/>
  </r>
  <r>
    <s v="B-25675"/>
    <n v="929"/>
    <n v="-93"/>
    <n v="9"/>
    <x v="1"/>
    <x v="5"/>
    <x v="2"/>
    <d v="2018-05-31T00:00:00"/>
    <x v="74"/>
    <s v="Bhopal"/>
    <x v="1"/>
    <n v="-0.10010764262648009"/>
    <n v="2018"/>
    <n v="2"/>
  </r>
  <r>
    <s v="B-25676"/>
    <n v="342"/>
    <n v="-103"/>
    <n v="4"/>
    <x v="2"/>
    <x v="3"/>
    <x v="3"/>
    <d v="2018-06-01T00:00:00"/>
    <x v="75"/>
    <s v="Jaipur"/>
    <x v="2"/>
    <n v="-0.30116959064327486"/>
    <n v="2018"/>
    <n v="2"/>
  </r>
  <r>
    <s v="B-25676"/>
    <n v="1263"/>
    <n v="-56"/>
    <n v="5"/>
    <x v="1"/>
    <x v="6"/>
    <x v="3"/>
    <d v="2018-06-01T00:00:00"/>
    <x v="75"/>
    <s v="Jaipur"/>
    <x v="2"/>
    <n v="-4.4338875692794932E-2"/>
    <n v="2018"/>
    <n v="2"/>
  </r>
  <r>
    <s v="B-25676"/>
    <n v="674"/>
    <n v="-187"/>
    <n v="2"/>
    <x v="0"/>
    <x v="12"/>
    <x v="3"/>
    <d v="2018-06-01T00:00:00"/>
    <x v="75"/>
    <s v="Jaipur"/>
    <x v="2"/>
    <n v="-0.27744807121661719"/>
    <n v="2018"/>
    <n v="2"/>
  </r>
  <r>
    <s v="B-25676"/>
    <n v="32"/>
    <n v="6"/>
    <n v="3"/>
    <x v="1"/>
    <x v="10"/>
    <x v="3"/>
    <d v="2018-06-01T00:00:00"/>
    <x v="75"/>
    <s v="Jaipur"/>
    <x v="2"/>
    <n v="0.1875"/>
    <n v="2018"/>
    <n v="2"/>
  </r>
  <r>
    <s v="B-25676"/>
    <n v="79"/>
    <n v="36"/>
    <n v="4"/>
    <x v="1"/>
    <x v="10"/>
    <x v="3"/>
    <d v="2018-06-01T00:00:00"/>
    <x v="75"/>
    <s v="Jaipur"/>
    <x v="2"/>
    <n v="0.45569620253164556"/>
    <n v="2018"/>
    <n v="2"/>
  </r>
  <r>
    <s v="B-25677"/>
    <n v="20"/>
    <n v="-2"/>
    <n v="1"/>
    <x v="2"/>
    <x v="14"/>
    <x v="4"/>
    <d v="2018-06-02T00:00:00"/>
    <x v="76"/>
    <s v="Kolkata"/>
    <x v="2"/>
    <n v="-0.1"/>
    <n v="2018"/>
    <n v="2"/>
  </r>
  <r>
    <s v="B-25678"/>
    <n v="64"/>
    <n v="-7"/>
    <n v="3"/>
    <x v="1"/>
    <x v="5"/>
    <x v="5"/>
    <d v="2018-06-03T00:00:00"/>
    <x v="77"/>
    <s v="Bangalore"/>
    <x v="2"/>
    <n v="-0.109375"/>
    <n v="2018"/>
    <n v="2"/>
  </r>
  <r>
    <s v="B-25678"/>
    <n v="7"/>
    <n v="-3"/>
    <n v="2"/>
    <x v="1"/>
    <x v="16"/>
    <x v="5"/>
    <d v="2018-06-03T00:00:00"/>
    <x v="77"/>
    <s v="Bangalore"/>
    <x v="2"/>
    <n v="-0.42857142857142855"/>
    <n v="2018"/>
    <n v="2"/>
  </r>
  <r>
    <s v="B-25678"/>
    <n v="327"/>
    <n v="-39"/>
    <n v="1"/>
    <x v="2"/>
    <x v="4"/>
    <x v="5"/>
    <d v="2018-06-03T00:00:00"/>
    <x v="77"/>
    <s v="Bangalore"/>
    <x v="2"/>
    <n v="-0.11926605504587157"/>
    <n v="2018"/>
    <n v="2"/>
  </r>
  <r>
    <s v="B-25678"/>
    <n v="27"/>
    <n v="-25"/>
    <n v="2"/>
    <x v="1"/>
    <x v="10"/>
    <x v="5"/>
    <d v="2018-06-03T00:00:00"/>
    <x v="77"/>
    <s v="Bangalore"/>
    <x v="2"/>
    <n v="-0.92592592592592593"/>
    <n v="2018"/>
    <n v="2"/>
  </r>
  <r>
    <s v="B-25679"/>
    <n v="76"/>
    <n v="-50"/>
    <n v="1"/>
    <x v="1"/>
    <x v="5"/>
    <x v="1"/>
    <d v="2018-06-04T00:00:00"/>
    <x v="78"/>
    <s v="Mumbai"/>
    <x v="2"/>
    <n v="-0.65789473684210531"/>
    <n v="2018"/>
    <n v="2"/>
  </r>
  <r>
    <s v="B-25680"/>
    <n v="73"/>
    <n v="-25"/>
    <n v="3"/>
    <x v="1"/>
    <x v="5"/>
    <x v="2"/>
    <d v="2018-06-04T00:00:00"/>
    <x v="79"/>
    <s v="Indore"/>
    <x v="2"/>
    <n v="-0.34246575342465752"/>
    <n v="2018"/>
    <n v="2"/>
  </r>
  <r>
    <s v="B-25681"/>
    <n v="68"/>
    <n v="-27"/>
    <n v="3"/>
    <x v="2"/>
    <x v="14"/>
    <x v="2"/>
    <d v="2018-06-04T00:00:00"/>
    <x v="80"/>
    <s v="Indore"/>
    <x v="2"/>
    <n v="-0.39705882352941174"/>
    <n v="2018"/>
    <n v="2"/>
  </r>
  <r>
    <s v="B-25681"/>
    <n v="523"/>
    <n v="204"/>
    <n v="7"/>
    <x v="1"/>
    <x v="6"/>
    <x v="2"/>
    <d v="2018-06-04T00:00:00"/>
    <x v="80"/>
    <s v="Indore"/>
    <x v="2"/>
    <n v="0.39005736137667302"/>
    <n v="2018"/>
    <n v="2"/>
  </r>
  <r>
    <s v="B-25681"/>
    <n v="44"/>
    <n v="-3"/>
    <n v="1"/>
    <x v="1"/>
    <x v="5"/>
    <x v="2"/>
    <d v="2018-06-04T00:00:00"/>
    <x v="80"/>
    <s v="Indore"/>
    <x v="2"/>
    <n v="-6.8181818181818177E-2"/>
    <n v="2018"/>
    <n v="2"/>
  </r>
  <r>
    <s v="B-25681"/>
    <n v="243"/>
    <n v="-14"/>
    <n v="2"/>
    <x v="0"/>
    <x v="7"/>
    <x v="2"/>
    <d v="2018-06-04T00:00:00"/>
    <x v="80"/>
    <s v="Indore"/>
    <x v="2"/>
    <n v="-5.7613168724279837E-2"/>
    <n v="2018"/>
    <n v="2"/>
  </r>
  <r>
    <s v="B-25681"/>
    <n v="1625"/>
    <n v="-77"/>
    <n v="3"/>
    <x v="2"/>
    <x v="4"/>
    <x v="2"/>
    <d v="2018-06-04T00:00:00"/>
    <x v="80"/>
    <s v="Indore"/>
    <x v="2"/>
    <n v="-4.7384615384615386E-2"/>
    <n v="2018"/>
    <n v="2"/>
  </r>
  <r>
    <s v="B-25681"/>
    <n v="1096"/>
    <n v="-658"/>
    <n v="7"/>
    <x v="2"/>
    <x v="3"/>
    <x v="2"/>
    <d v="2018-06-04T00:00:00"/>
    <x v="80"/>
    <s v="Indore"/>
    <x v="2"/>
    <n v="-0.60036496350364965"/>
    <n v="2018"/>
    <n v="2"/>
  </r>
  <r>
    <s v="B-25682"/>
    <n v="545"/>
    <n v="-73"/>
    <n v="11"/>
    <x v="2"/>
    <x v="4"/>
    <x v="9"/>
    <d v="2018-06-07T00:00:00"/>
    <x v="81"/>
    <s v="Patna"/>
    <x v="2"/>
    <n v="-0.13394495412844037"/>
    <n v="2018"/>
    <n v="2"/>
  </r>
  <r>
    <s v="B-25683"/>
    <n v="433"/>
    <n v="26"/>
    <n v="3"/>
    <x v="2"/>
    <x v="13"/>
    <x v="10"/>
    <d v="2018-06-08T00:00:00"/>
    <x v="74"/>
    <s v="Thiruvananthapuram"/>
    <x v="2"/>
    <n v="6.0046189376443418E-2"/>
    <n v="2018"/>
    <n v="2"/>
  </r>
  <r>
    <s v="B-25683"/>
    <n v="245"/>
    <n v="-3"/>
    <n v="4"/>
    <x v="2"/>
    <x v="4"/>
    <x v="10"/>
    <d v="2018-06-08T00:00:00"/>
    <x v="74"/>
    <s v="Thiruvananthapuram"/>
    <x v="2"/>
    <n v="-1.2244897959183673E-2"/>
    <n v="2018"/>
    <n v="2"/>
  </r>
  <r>
    <s v="B-25683"/>
    <n v="155"/>
    <n v="56"/>
    <n v="3"/>
    <x v="0"/>
    <x v="15"/>
    <x v="10"/>
    <d v="2018-06-08T00:00:00"/>
    <x v="74"/>
    <s v="Thiruvananthapuram"/>
    <x v="2"/>
    <n v="0.36129032258064514"/>
    <n v="2018"/>
    <n v="2"/>
  </r>
  <r>
    <s v="B-25683"/>
    <n v="148"/>
    <n v="52"/>
    <n v="5"/>
    <x v="1"/>
    <x v="1"/>
    <x v="10"/>
    <d v="2018-06-08T00:00:00"/>
    <x v="74"/>
    <s v="Thiruvananthapuram"/>
    <x v="2"/>
    <n v="0.35135135135135137"/>
    <n v="2018"/>
    <n v="2"/>
  </r>
  <r>
    <s v="B-25683"/>
    <n v="86"/>
    <n v="-55"/>
    <n v="6"/>
    <x v="1"/>
    <x v="5"/>
    <x v="10"/>
    <d v="2018-06-08T00:00:00"/>
    <x v="74"/>
    <s v="Thiruvananthapuram"/>
    <x v="2"/>
    <n v="-0.63953488372093026"/>
    <n v="2018"/>
    <n v="2"/>
  </r>
  <r>
    <s v="B-25684"/>
    <n v="134"/>
    <n v="42"/>
    <n v="2"/>
    <x v="0"/>
    <x v="7"/>
    <x v="1"/>
    <d v="2018-06-09T00:00:00"/>
    <x v="82"/>
    <s v="Mumbai"/>
    <x v="2"/>
    <n v="0.31343283582089554"/>
    <n v="2018"/>
    <n v="2"/>
  </r>
  <r>
    <s v="B-25685"/>
    <n v="51"/>
    <n v="7"/>
    <n v="2"/>
    <x v="0"/>
    <x v="15"/>
    <x v="2"/>
    <d v="2018-06-10T00:00:00"/>
    <x v="83"/>
    <s v="Indore"/>
    <x v="2"/>
    <n v="0.13725490196078433"/>
    <n v="2018"/>
    <n v="2"/>
  </r>
  <r>
    <s v="B-25685"/>
    <n v="529"/>
    <n v="137"/>
    <n v="3"/>
    <x v="2"/>
    <x v="4"/>
    <x v="2"/>
    <d v="2018-06-10T00:00:00"/>
    <x v="83"/>
    <s v="Indore"/>
    <x v="2"/>
    <n v="0.25897920604914931"/>
    <n v="2018"/>
    <n v="2"/>
  </r>
  <r>
    <s v="B-25685"/>
    <n v="264"/>
    <n v="-30"/>
    <n v="3"/>
    <x v="0"/>
    <x v="15"/>
    <x v="2"/>
    <d v="2018-06-10T00:00:00"/>
    <x v="83"/>
    <s v="Indore"/>
    <x v="2"/>
    <n v="-0.11363636363636363"/>
    <n v="2018"/>
    <n v="2"/>
  </r>
  <r>
    <s v="B-25685"/>
    <n v="45"/>
    <n v="-2"/>
    <n v="4"/>
    <x v="1"/>
    <x v="10"/>
    <x v="2"/>
    <d v="2018-06-10T00:00:00"/>
    <x v="83"/>
    <s v="Indore"/>
    <x v="2"/>
    <n v="-4.4444444444444446E-2"/>
    <n v="2018"/>
    <n v="2"/>
  </r>
  <r>
    <s v="B-25686"/>
    <n v="381"/>
    <n v="-13"/>
    <n v="2"/>
    <x v="1"/>
    <x v="5"/>
    <x v="13"/>
    <d v="2018-06-11T00:00:00"/>
    <x v="27"/>
    <s v="Simla"/>
    <x v="2"/>
    <n v="-3.4120734908136482E-2"/>
    <n v="2018"/>
    <n v="2"/>
  </r>
  <r>
    <s v="B-25686"/>
    <n v="332"/>
    <n v="-503"/>
    <n v="3"/>
    <x v="2"/>
    <x v="13"/>
    <x v="13"/>
    <d v="2018-06-11T00:00:00"/>
    <x v="27"/>
    <s v="Simla"/>
    <x v="2"/>
    <n v="-1.5150602409638554"/>
    <n v="2018"/>
    <n v="2"/>
  </r>
  <r>
    <s v="B-25686"/>
    <n v="1829"/>
    <n v="-56"/>
    <n v="6"/>
    <x v="0"/>
    <x v="12"/>
    <x v="13"/>
    <d v="2018-06-11T00:00:00"/>
    <x v="27"/>
    <s v="Simla"/>
    <x v="2"/>
    <n v="-3.06178239475123E-2"/>
    <n v="2018"/>
    <n v="2"/>
  </r>
  <r>
    <s v="B-25687"/>
    <n v="17"/>
    <n v="6"/>
    <n v="1"/>
    <x v="1"/>
    <x v="1"/>
    <x v="1"/>
    <d v="2018-06-11T00:00:00"/>
    <x v="84"/>
    <s v="Mumbai"/>
    <x v="2"/>
    <n v="0.35294117647058826"/>
    <n v="2018"/>
    <n v="2"/>
  </r>
  <r>
    <s v="B-25687"/>
    <n v="357"/>
    <n v="139"/>
    <n v="2"/>
    <x v="1"/>
    <x v="5"/>
    <x v="1"/>
    <d v="2018-06-11T00:00:00"/>
    <x v="84"/>
    <s v="Mumbai"/>
    <x v="2"/>
    <n v="0.38935574229691877"/>
    <n v="2018"/>
    <n v="2"/>
  </r>
  <r>
    <s v="B-25687"/>
    <n v="51"/>
    <n v="21"/>
    <n v="3"/>
    <x v="1"/>
    <x v="9"/>
    <x v="1"/>
    <d v="2018-06-11T00:00:00"/>
    <x v="84"/>
    <s v="Mumbai"/>
    <x v="2"/>
    <n v="0.41176470588235292"/>
    <n v="2018"/>
    <n v="2"/>
  </r>
  <r>
    <s v="B-25687"/>
    <n v="387"/>
    <n v="-213"/>
    <n v="5"/>
    <x v="1"/>
    <x v="5"/>
    <x v="1"/>
    <d v="2018-06-11T00:00:00"/>
    <x v="84"/>
    <s v="Mumbai"/>
    <x v="2"/>
    <n v="-0.55038759689922478"/>
    <n v="2018"/>
    <n v="2"/>
  </r>
  <r>
    <s v="B-25687"/>
    <n v="14"/>
    <n v="-1"/>
    <n v="4"/>
    <x v="1"/>
    <x v="8"/>
    <x v="1"/>
    <d v="2018-06-11T00:00:00"/>
    <x v="84"/>
    <s v="Mumbai"/>
    <x v="2"/>
    <n v="-7.1428571428571425E-2"/>
    <n v="2018"/>
    <n v="2"/>
  </r>
  <r>
    <s v="B-25688"/>
    <n v="352"/>
    <n v="-345"/>
    <n v="5"/>
    <x v="1"/>
    <x v="5"/>
    <x v="2"/>
    <d v="2018-06-11T00:00:00"/>
    <x v="85"/>
    <s v="Indore"/>
    <x v="2"/>
    <n v="-0.98011363636363635"/>
    <n v="2018"/>
    <n v="2"/>
  </r>
  <r>
    <s v="B-25689"/>
    <n v="469"/>
    <n v="-459"/>
    <n v="3"/>
    <x v="2"/>
    <x v="3"/>
    <x v="1"/>
    <d v="2018-06-14T00:00:00"/>
    <x v="86"/>
    <s v="Mumbai"/>
    <x v="2"/>
    <n v="-0.97867803837953093"/>
    <n v="2018"/>
    <n v="2"/>
  </r>
  <r>
    <s v="B-25689"/>
    <n v="97"/>
    <n v="17"/>
    <n v="2"/>
    <x v="1"/>
    <x v="1"/>
    <x v="1"/>
    <d v="2018-06-14T00:00:00"/>
    <x v="86"/>
    <s v="Mumbai"/>
    <x v="2"/>
    <n v="0.17525773195876287"/>
    <n v="2018"/>
    <n v="2"/>
  </r>
  <r>
    <s v="B-25689"/>
    <n v="149"/>
    <n v="36"/>
    <n v="3"/>
    <x v="1"/>
    <x v="1"/>
    <x v="1"/>
    <d v="2018-06-14T00:00:00"/>
    <x v="86"/>
    <s v="Mumbai"/>
    <x v="2"/>
    <n v="0.24161073825503357"/>
    <n v="2018"/>
    <n v="2"/>
  </r>
  <r>
    <s v="B-25690"/>
    <n v="31"/>
    <n v="10"/>
    <n v="3"/>
    <x v="1"/>
    <x v="16"/>
    <x v="2"/>
    <d v="2018-06-15T00:00:00"/>
    <x v="87"/>
    <s v="Indore"/>
    <x v="2"/>
    <n v="0.32258064516129031"/>
    <n v="2018"/>
    <n v="2"/>
  </r>
  <r>
    <s v="B-25691"/>
    <n v="714"/>
    <n v="56"/>
    <n v="4"/>
    <x v="1"/>
    <x v="5"/>
    <x v="1"/>
    <d v="2018-06-16T00:00:00"/>
    <x v="88"/>
    <s v="Mumbai"/>
    <x v="2"/>
    <n v="7.8431372549019607E-2"/>
    <n v="2018"/>
    <n v="2"/>
  </r>
  <r>
    <s v="B-25691"/>
    <n v="75"/>
    <n v="-25"/>
    <n v="3"/>
    <x v="1"/>
    <x v="1"/>
    <x v="1"/>
    <d v="2018-06-16T00:00:00"/>
    <x v="88"/>
    <s v="Mumbai"/>
    <x v="2"/>
    <n v="-0.33333333333333331"/>
    <n v="2018"/>
    <n v="2"/>
  </r>
  <r>
    <s v="B-25691"/>
    <n v="17"/>
    <n v="-9"/>
    <n v="3"/>
    <x v="1"/>
    <x v="1"/>
    <x v="1"/>
    <d v="2018-06-16T00:00:00"/>
    <x v="88"/>
    <s v="Mumbai"/>
    <x v="2"/>
    <n v="-0.52941176470588236"/>
    <n v="2018"/>
    <n v="2"/>
  </r>
  <r>
    <s v="B-25692"/>
    <n v="141"/>
    <n v="28"/>
    <n v="7"/>
    <x v="0"/>
    <x v="15"/>
    <x v="2"/>
    <d v="2018-06-17T00:00:00"/>
    <x v="89"/>
    <s v="Indore"/>
    <x v="2"/>
    <n v="0.19858156028368795"/>
    <n v="2018"/>
    <n v="2"/>
  </r>
  <r>
    <s v="B-25693"/>
    <n v="76"/>
    <n v="-72"/>
    <n v="9"/>
    <x v="1"/>
    <x v="2"/>
    <x v="2"/>
    <d v="2018-06-18T00:00:00"/>
    <x v="90"/>
    <s v="Bhopal"/>
    <x v="2"/>
    <n v="-0.94736842105263153"/>
    <n v="2018"/>
    <n v="2"/>
  </r>
  <r>
    <s v="B-25693"/>
    <n v="632"/>
    <n v="-316"/>
    <n v="6"/>
    <x v="1"/>
    <x v="5"/>
    <x v="2"/>
    <d v="2018-06-18T00:00:00"/>
    <x v="90"/>
    <s v="Bhopal"/>
    <x v="2"/>
    <n v="-0.5"/>
    <n v="2018"/>
    <n v="2"/>
  </r>
  <r>
    <s v="B-25693"/>
    <n v="32"/>
    <n v="-16"/>
    <n v="6"/>
    <x v="1"/>
    <x v="5"/>
    <x v="2"/>
    <d v="2018-06-18T00:00:00"/>
    <x v="90"/>
    <s v="Bhopal"/>
    <x v="2"/>
    <n v="-0.5"/>
    <n v="2018"/>
    <n v="2"/>
  </r>
  <r>
    <s v="B-25693"/>
    <n v="68"/>
    <n v="-30"/>
    <n v="1"/>
    <x v="2"/>
    <x v="4"/>
    <x v="2"/>
    <d v="2018-06-18T00:00:00"/>
    <x v="90"/>
    <s v="Bhopal"/>
    <x v="2"/>
    <n v="-0.44117647058823528"/>
    <n v="2018"/>
    <n v="2"/>
  </r>
  <r>
    <s v="B-25693"/>
    <n v="82"/>
    <n v="-39"/>
    <n v="5"/>
    <x v="1"/>
    <x v="9"/>
    <x v="2"/>
    <d v="2018-06-18T00:00:00"/>
    <x v="90"/>
    <s v="Bhopal"/>
    <x v="2"/>
    <n v="-0.47560975609756095"/>
    <n v="2018"/>
    <n v="2"/>
  </r>
  <r>
    <s v="B-25693"/>
    <n v="72"/>
    <n v="-49"/>
    <n v="1"/>
    <x v="2"/>
    <x v="4"/>
    <x v="2"/>
    <d v="2018-06-18T00:00:00"/>
    <x v="90"/>
    <s v="Bhopal"/>
    <x v="2"/>
    <n v="-0.68055555555555558"/>
    <n v="2018"/>
    <n v="2"/>
  </r>
  <r>
    <s v="B-25693"/>
    <n v="13"/>
    <n v="-13"/>
    <n v="2"/>
    <x v="1"/>
    <x v="16"/>
    <x v="2"/>
    <d v="2018-06-18T00:00:00"/>
    <x v="90"/>
    <s v="Bhopal"/>
    <x v="2"/>
    <n v="-1"/>
    <n v="2018"/>
    <n v="2"/>
  </r>
  <r>
    <s v="B-25694"/>
    <n v="167"/>
    <n v="43"/>
    <n v="7"/>
    <x v="1"/>
    <x v="9"/>
    <x v="3"/>
    <d v="2018-06-18T00:00:00"/>
    <x v="91"/>
    <s v="Jaipur"/>
    <x v="2"/>
    <n v="0.25748502994011974"/>
    <n v="2018"/>
    <n v="2"/>
  </r>
  <r>
    <s v="B-25695"/>
    <n v="171"/>
    <n v="14"/>
    <n v="9"/>
    <x v="1"/>
    <x v="10"/>
    <x v="4"/>
    <d v="2018-06-18T00:00:00"/>
    <x v="92"/>
    <s v="Kolkata"/>
    <x v="2"/>
    <n v="8.1871345029239762E-2"/>
    <n v="2018"/>
    <n v="2"/>
  </r>
  <r>
    <s v="B-25696"/>
    <n v="117"/>
    <n v="-6"/>
    <n v="3"/>
    <x v="2"/>
    <x v="4"/>
    <x v="5"/>
    <d v="2018-06-21T00:00:00"/>
    <x v="93"/>
    <s v="Bangalore"/>
    <x v="2"/>
    <n v="-5.128205128205128E-2"/>
    <n v="2018"/>
    <n v="2"/>
  </r>
  <r>
    <s v="B-25696"/>
    <n v="116"/>
    <n v="-4"/>
    <n v="1"/>
    <x v="1"/>
    <x v="5"/>
    <x v="5"/>
    <d v="2018-06-21T00:00:00"/>
    <x v="93"/>
    <s v="Bangalore"/>
    <x v="2"/>
    <n v="-3.4482758620689655E-2"/>
    <n v="2018"/>
    <n v="2"/>
  </r>
  <r>
    <s v="B-25696"/>
    <n v="887"/>
    <n v="80"/>
    <n v="3"/>
    <x v="2"/>
    <x v="13"/>
    <x v="5"/>
    <d v="2018-06-21T00:00:00"/>
    <x v="93"/>
    <s v="Bangalore"/>
    <x v="2"/>
    <n v="9.0191657271702363E-2"/>
    <n v="2018"/>
    <n v="2"/>
  </r>
  <r>
    <s v="B-25696"/>
    <n v="275"/>
    <n v="-275"/>
    <n v="4"/>
    <x v="1"/>
    <x v="5"/>
    <x v="5"/>
    <d v="2018-06-21T00:00:00"/>
    <x v="93"/>
    <s v="Bangalore"/>
    <x v="2"/>
    <n v="-1"/>
    <n v="2018"/>
    <n v="2"/>
  </r>
  <r>
    <s v="B-25696"/>
    <n v="44"/>
    <n v="7"/>
    <n v="3"/>
    <x v="1"/>
    <x v="8"/>
    <x v="5"/>
    <d v="2018-06-21T00:00:00"/>
    <x v="93"/>
    <s v="Bangalore"/>
    <x v="2"/>
    <n v="0.15909090909090909"/>
    <n v="2018"/>
    <n v="2"/>
  </r>
  <r>
    <s v="B-25696"/>
    <n v="168"/>
    <n v="-9"/>
    <n v="3"/>
    <x v="1"/>
    <x v="5"/>
    <x v="5"/>
    <d v="2018-06-21T00:00:00"/>
    <x v="93"/>
    <s v="Bangalore"/>
    <x v="2"/>
    <n v="-5.3571428571428568E-2"/>
    <n v="2018"/>
    <n v="2"/>
  </r>
  <r>
    <s v="B-25697"/>
    <n v="114"/>
    <n v="8"/>
    <n v="3"/>
    <x v="2"/>
    <x v="14"/>
    <x v="6"/>
    <d v="2018-06-22T00:00:00"/>
    <x v="94"/>
    <s v="Kashmir"/>
    <x v="2"/>
    <n v="7.0175438596491224E-2"/>
    <n v="2018"/>
    <n v="2"/>
  </r>
  <r>
    <s v="B-25697"/>
    <n v="1300"/>
    <n v="-16"/>
    <n v="8"/>
    <x v="2"/>
    <x v="13"/>
    <x v="6"/>
    <d v="2018-06-22T00:00:00"/>
    <x v="94"/>
    <s v="Kashmir"/>
    <x v="2"/>
    <n v="-1.2307692307692308E-2"/>
    <n v="2018"/>
    <n v="2"/>
  </r>
  <r>
    <s v="B-25697"/>
    <n v="4"/>
    <n v="-3"/>
    <n v="1"/>
    <x v="1"/>
    <x v="16"/>
    <x v="6"/>
    <d v="2018-06-22T00:00:00"/>
    <x v="94"/>
    <s v="Kashmir"/>
    <x v="2"/>
    <n v="-0.75"/>
    <n v="2018"/>
    <n v="2"/>
  </r>
  <r>
    <s v="B-25697"/>
    <n v="73"/>
    <n v="-7"/>
    <n v="1"/>
    <x v="2"/>
    <x v="4"/>
    <x v="6"/>
    <d v="2018-06-22T00:00:00"/>
    <x v="94"/>
    <s v="Kashmir"/>
    <x v="2"/>
    <n v="-9.5890410958904104E-2"/>
    <n v="2018"/>
    <n v="2"/>
  </r>
  <r>
    <s v="B-25697"/>
    <n v="67"/>
    <n v="-42"/>
    <n v="3"/>
    <x v="1"/>
    <x v="1"/>
    <x v="6"/>
    <d v="2018-06-22T00:00:00"/>
    <x v="94"/>
    <s v="Kashmir"/>
    <x v="2"/>
    <n v="-0.62686567164179108"/>
    <n v="2018"/>
    <n v="2"/>
  </r>
  <r>
    <s v="B-25697"/>
    <n v="322"/>
    <n v="-193"/>
    <n v="5"/>
    <x v="2"/>
    <x v="13"/>
    <x v="6"/>
    <d v="2018-06-22T00:00:00"/>
    <x v="94"/>
    <s v="Kashmir"/>
    <x v="2"/>
    <n v="-0.59937888198757761"/>
    <n v="2018"/>
    <n v="2"/>
  </r>
  <r>
    <s v="B-25697"/>
    <n v="115"/>
    <n v="-39"/>
    <n v="3"/>
    <x v="1"/>
    <x v="6"/>
    <x v="6"/>
    <d v="2018-06-22T00:00:00"/>
    <x v="94"/>
    <s v="Kashmir"/>
    <x v="2"/>
    <n v="-0.33913043478260868"/>
    <n v="2018"/>
    <n v="2"/>
  </r>
  <r>
    <s v="B-25698"/>
    <n v="87"/>
    <n v="-83"/>
    <n v="5"/>
    <x v="1"/>
    <x v="8"/>
    <x v="7"/>
    <d v="2018-06-23T00:00:00"/>
    <x v="95"/>
    <s v="Chennai"/>
    <x v="2"/>
    <n v="-0.95402298850574707"/>
    <n v="2018"/>
    <n v="2"/>
  </r>
  <r>
    <s v="B-25698"/>
    <n v="27"/>
    <n v="-6"/>
    <n v="4"/>
    <x v="1"/>
    <x v="2"/>
    <x v="7"/>
    <d v="2018-06-23T00:00:00"/>
    <x v="95"/>
    <s v="Chennai"/>
    <x v="2"/>
    <n v="-0.22222222222222221"/>
    <n v="2018"/>
    <n v="2"/>
  </r>
  <r>
    <s v="B-25698"/>
    <n v="207"/>
    <n v="-153"/>
    <n v="3"/>
    <x v="1"/>
    <x v="5"/>
    <x v="7"/>
    <d v="2018-06-23T00:00:00"/>
    <x v="95"/>
    <s v="Chennai"/>
    <x v="2"/>
    <n v="-0.73913043478260865"/>
    <n v="2018"/>
    <n v="2"/>
  </r>
  <r>
    <s v="B-25698"/>
    <n v="516"/>
    <n v="-392"/>
    <n v="8"/>
    <x v="0"/>
    <x v="7"/>
    <x v="7"/>
    <d v="2018-06-23T00:00:00"/>
    <x v="95"/>
    <s v="Chennai"/>
    <x v="2"/>
    <n v="-0.75968992248062017"/>
    <n v="2018"/>
    <n v="2"/>
  </r>
  <r>
    <s v="B-25698"/>
    <n v="7"/>
    <n v="-2"/>
    <n v="1"/>
    <x v="1"/>
    <x v="2"/>
    <x v="7"/>
    <d v="2018-06-23T00:00:00"/>
    <x v="95"/>
    <s v="Chennai"/>
    <x v="2"/>
    <n v="-0.2857142857142857"/>
    <n v="2018"/>
    <n v="2"/>
  </r>
  <r>
    <s v="B-25698"/>
    <n v="65"/>
    <n v="-16"/>
    <n v="2"/>
    <x v="2"/>
    <x v="4"/>
    <x v="7"/>
    <d v="2018-06-23T00:00:00"/>
    <x v="95"/>
    <s v="Chennai"/>
    <x v="2"/>
    <n v="-0.24615384615384617"/>
    <n v="2018"/>
    <n v="2"/>
  </r>
  <r>
    <s v="B-25699"/>
    <n v="20"/>
    <n v="-22"/>
    <n v="1"/>
    <x v="0"/>
    <x v="15"/>
    <x v="8"/>
    <d v="2018-06-24T00:00:00"/>
    <x v="96"/>
    <s v="Lucknow"/>
    <x v="2"/>
    <n v="-1.1000000000000001"/>
    <n v="2018"/>
    <n v="2"/>
  </r>
  <r>
    <s v="B-25699"/>
    <n v="49"/>
    <n v="-31"/>
    <n v="2"/>
    <x v="1"/>
    <x v="1"/>
    <x v="8"/>
    <d v="2018-06-24T00:00:00"/>
    <x v="96"/>
    <s v="Lucknow"/>
    <x v="2"/>
    <n v="-0.63265306122448983"/>
    <n v="2018"/>
    <n v="2"/>
  </r>
  <r>
    <s v="B-25699"/>
    <n v="34"/>
    <n v="-13"/>
    <n v="5"/>
    <x v="1"/>
    <x v="11"/>
    <x v="8"/>
    <d v="2018-06-24T00:00:00"/>
    <x v="96"/>
    <s v="Lucknow"/>
    <x v="2"/>
    <n v="-0.38235294117647056"/>
    <n v="2018"/>
    <n v="2"/>
  </r>
  <r>
    <s v="B-25699"/>
    <n v="21"/>
    <n v="-5"/>
    <n v="1"/>
    <x v="2"/>
    <x v="14"/>
    <x v="8"/>
    <d v="2018-06-24T00:00:00"/>
    <x v="96"/>
    <s v="Lucknow"/>
    <x v="2"/>
    <n v="-0.23809523809523808"/>
    <n v="2018"/>
    <n v="2"/>
  </r>
  <r>
    <s v="B-25700"/>
    <n v="129"/>
    <n v="-75"/>
    <n v="5"/>
    <x v="1"/>
    <x v="10"/>
    <x v="1"/>
    <d v="2018-06-25T00:00:00"/>
    <x v="97"/>
    <s v="Mumbai"/>
    <x v="2"/>
    <n v="-0.58139534883720934"/>
    <n v="2018"/>
    <n v="2"/>
  </r>
  <r>
    <s v="B-25700"/>
    <n v="44"/>
    <n v="-32"/>
    <n v="3"/>
    <x v="1"/>
    <x v="1"/>
    <x v="1"/>
    <d v="2018-06-25T00:00:00"/>
    <x v="97"/>
    <s v="Mumbai"/>
    <x v="2"/>
    <n v="-0.72727272727272729"/>
    <n v="2018"/>
    <n v="2"/>
  </r>
  <r>
    <s v="B-25700"/>
    <n v="7"/>
    <n v="-3"/>
    <n v="2"/>
    <x v="1"/>
    <x v="2"/>
    <x v="1"/>
    <d v="2018-06-25T00:00:00"/>
    <x v="97"/>
    <s v="Mumbai"/>
    <x v="2"/>
    <n v="-0.42857142857142855"/>
    <n v="2018"/>
    <n v="2"/>
  </r>
  <r>
    <s v="B-25701"/>
    <n v="10"/>
    <n v="-8"/>
    <n v="2"/>
    <x v="1"/>
    <x v="16"/>
    <x v="2"/>
    <d v="2018-06-26T00:00:00"/>
    <x v="98"/>
    <s v="Indore"/>
    <x v="2"/>
    <n v="-0.8"/>
    <n v="2018"/>
    <n v="2"/>
  </r>
  <r>
    <s v="B-25701"/>
    <n v="33"/>
    <n v="-29"/>
    <n v="3"/>
    <x v="1"/>
    <x v="10"/>
    <x v="2"/>
    <d v="2018-06-26T00:00:00"/>
    <x v="98"/>
    <s v="Indore"/>
    <x v="2"/>
    <n v="-0.87878787878787878"/>
    <n v="2018"/>
    <n v="2"/>
  </r>
  <r>
    <s v="B-25701"/>
    <n v="98"/>
    <n v="-45"/>
    <n v="2"/>
    <x v="0"/>
    <x v="7"/>
    <x v="2"/>
    <d v="2018-06-26T00:00:00"/>
    <x v="98"/>
    <s v="Indore"/>
    <x v="2"/>
    <n v="-0.45918367346938777"/>
    <n v="2018"/>
    <n v="2"/>
  </r>
  <r>
    <s v="B-25701"/>
    <n v="33"/>
    <n v="-12"/>
    <n v="5"/>
    <x v="1"/>
    <x v="2"/>
    <x v="2"/>
    <d v="2018-06-26T00:00:00"/>
    <x v="98"/>
    <s v="Indore"/>
    <x v="2"/>
    <n v="-0.36363636363636365"/>
    <n v="2018"/>
    <n v="2"/>
  </r>
  <r>
    <s v="B-25702"/>
    <n v="75"/>
    <n v="0"/>
    <n v="3"/>
    <x v="1"/>
    <x v="10"/>
    <x v="1"/>
    <d v="2018-06-27T00:00:00"/>
    <x v="99"/>
    <s v="Mumbai"/>
    <x v="2"/>
    <n v="0"/>
    <n v="2018"/>
    <n v="2"/>
  </r>
  <r>
    <s v="B-25702"/>
    <n v="424"/>
    <n v="-17"/>
    <n v="9"/>
    <x v="0"/>
    <x v="7"/>
    <x v="1"/>
    <d v="2018-06-27T00:00:00"/>
    <x v="99"/>
    <s v="Mumbai"/>
    <x v="2"/>
    <n v="-4.0094339622641507E-2"/>
    <n v="2018"/>
    <n v="2"/>
  </r>
  <r>
    <s v="B-25702"/>
    <n v="31"/>
    <n v="-3"/>
    <n v="4"/>
    <x v="1"/>
    <x v="5"/>
    <x v="1"/>
    <d v="2018-06-27T00:00:00"/>
    <x v="99"/>
    <s v="Mumbai"/>
    <x v="2"/>
    <n v="-9.6774193548387094E-2"/>
    <n v="2018"/>
    <n v="2"/>
  </r>
  <r>
    <s v="B-25702"/>
    <n v="941"/>
    <n v="-203"/>
    <n v="3"/>
    <x v="0"/>
    <x v="12"/>
    <x v="1"/>
    <d v="2018-06-27T00:00:00"/>
    <x v="99"/>
    <s v="Mumbai"/>
    <x v="2"/>
    <n v="-0.21572794899043571"/>
    <n v="2018"/>
    <n v="2"/>
  </r>
  <r>
    <s v="B-25702"/>
    <n v="306"/>
    <n v="-147"/>
    <n v="3"/>
    <x v="1"/>
    <x v="5"/>
    <x v="1"/>
    <d v="2018-06-27T00:00:00"/>
    <x v="99"/>
    <s v="Mumbai"/>
    <x v="2"/>
    <n v="-0.48039215686274511"/>
    <n v="2018"/>
    <n v="2"/>
  </r>
  <r>
    <s v="B-25703"/>
    <n v="42"/>
    <n v="-23"/>
    <n v="2"/>
    <x v="0"/>
    <x v="15"/>
    <x v="2"/>
    <d v="2018-06-28T00:00:00"/>
    <x v="76"/>
    <s v="Indore"/>
    <x v="2"/>
    <n v="-0.54761904761904767"/>
    <n v="2018"/>
    <n v="2"/>
  </r>
  <r>
    <s v="B-25703"/>
    <n v="17"/>
    <n v="-3"/>
    <n v="2"/>
    <x v="1"/>
    <x v="1"/>
    <x v="2"/>
    <d v="2018-06-28T00:00:00"/>
    <x v="76"/>
    <s v="Indore"/>
    <x v="2"/>
    <n v="-0.17647058823529413"/>
    <n v="2018"/>
    <n v="2"/>
  </r>
  <r>
    <s v="B-25703"/>
    <n v="32"/>
    <n v="-5"/>
    <n v="5"/>
    <x v="1"/>
    <x v="2"/>
    <x v="2"/>
    <d v="2018-06-28T00:00:00"/>
    <x v="76"/>
    <s v="Indore"/>
    <x v="2"/>
    <n v="-0.15625"/>
    <n v="2018"/>
    <n v="2"/>
  </r>
  <r>
    <s v="B-25703"/>
    <n v="231"/>
    <n v="-190"/>
    <n v="9"/>
    <x v="1"/>
    <x v="2"/>
    <x v="2"/>
    <d v="2018-06-28T00:00:00"/>
    <x v="76"/>
    <s v="Indore"/>
    <x v="2"/>
    <n v="-0.82251082251082253"/>
    <n v="2018"/>
    <n v="2"/>
  </r>
  <r>
    <s v="B-25703"/>
    <n v="22"/>
    <n v="-15"/>
    <n v="4"/>
    <x v="1"/>
    <x v="8"/>
    <x v="2"/>
    <d v="2018-06-28T00:00:00"/>
    <x v="76"/>
    <s v="Indore"/>
    <x v="2"/>
    <n v="-0.68181818181818177"/>
    <n v="2018"/>
    <n v="2"/>
  </r>
  <r>
    <s v="B-25703"/>
    <n v="97"/>
    <n v="-45"/>
    <n v="4"/>
    <x v="1"/>
    <x v="5"/>
    <x v="2"/>
    <d v="2018-06-28T00:00:00"/>
    <x v="76"/>
    <s v="Indore"/>
    <x v="2"/>
    <n v="-0.46391752577319589"/>
    <n v="2018"/>
    <n v="2"/>
  </r>
  <r>
    <s v="B-25703"/>
    <n v="47"/>
    <n v="-27"/>
    <n v="4"/>
    <x v="1"/>
    <x v="5"/>
    <x v="2"/>
    <d v="2018-06-28T00:00:00"/>
    <x v="76"/>
    <s v="Indore"/>
    <x v="2"/>
    <n v="-0.57446808510638303"/>
    <n v="2018"/>
    <n v="2"/>
  </r>
  <r>
    <s v="B-25703"/>
    <n v="186"/>
    <n v="-141"/>
    <n v="9"/>
    <x v="1"/>
    <x v="10"/>
    <x v="2"/>
    <d v="2018-06-28T00:00:00"/>
    <x v="76"/>
    <s v="Indore"/>
    <x v="2"/>
    <n v="-0.75806451612903225"/>
    <n v="2018"/>
    <n v="2"/>
  </r>
  <r>
    <s v="B-25704"/>
    <n v="126"/>
    <n v="-63"/>
    <n v="3"/>
    <x v="2"/>
    <x v="14"/>
    <x v="1"/>
    <d v="2018-06-29T00:00:00"/>
    <x v="100"/>
    <s v="Mumbai"/>
    <x v="2"/>
    <n v="-0.5"/>
    <n v="2018"/>
    <n v="2"/>
  </r>
  <r>
    <s v="B-25704"/>
    <n v="102"/>
    <n v="0"/>
    <n v="3"/>
    <x v="2"/>
    <x v="4"/>
    <x v="1"/>
    <d v="2018-06-29T00:00:00"/>
    <x v="100"/>
    <s v="Mumbai"/>
    <x v="2"/>
    <n v="0"/>
    <n v="2018"/>
    <n v="2"/>
  </r>
  <r>
    <s v="B-25705"/>
    <n v="46"/>
    <n v="0"/>
    <n v="2"/>
    <x v="2"/>
    <x v="3"/>
    <x v="2"/>
    <d v="2018-06-30T00:00:00"/>
    <x v="101"/>
    <s v="Indore"/>
    <x v="2"/>
    <n v="0"/>
    <n v="2018"/>
    <n v="2"/>
  </r>
  <r>
    <s v="B-25706"/>
    <n v="31"/>
    <n v="-11"/>
    <n v="4"/>
    <x v="1"/>
    <x v="1"/>
    <x v="15"/>
    <d v="2018-07-01T00:00:00"/>
    <x v="102"/>
    <s v="Goa"/>
    <x v="3"/>
    <n v="-0.35483870967741937"/>
    <n v="2018"/>
    <n v="3"/>
  </r>
  <r>
    <s v="B-25707"/>
    <n v="8"/>
    <n v="-6"/>
    <n v="1"/>
    <x v="1"/>
    <x v="1"/>
    <x v="1"/>
    <d v="2018-07-01T00:00:00"/>
    <x v="103"/>
    <s v="Mumbai"/>
    <x v="3"/>
    <n v="-0.75"/>
    <n v="2018"/>
    <n v="3"/>
  </r>
  <r>
    <s v="B-25708"/>
    <n v="191"/>
    <n v="13"/>
    <n v="8"/>
    <x v="0"/>
    <x v="15"/>
    <x v="2"/>
    <d v="2018-07-01T00:00:00"/>
    <x v="104"/>
    <s v="Indore"/>
    <x v="3"/>
    <n v="6.8062827225130892E-2"/>
    <n v="2018"/>
    <n v="3"/>
  </r>
  <r>
    <s v="B-25708"/>
    <n v="709"/>
    <n v="-100"/>
    <n v="5"/>
    <x v="2"/>
    <x v="4"/>
    <x v="2"/>
    <d v="2018-07-01T00:00:00"/>
    <x v="104"/>
    <s v="Indore"/>
    <x v="3"/>
    <n v="-0.14104372355430184"/>
    <n v="2018"/>
    <n v="3"/>
  </r>
  <r>
    <s v="B-25708"/>
    <n v="81"/>
    <n v="-51"/>
    <n v="7"/>
    <x v="1"/>
    <x v="1"/>
    <x v="2"/>
    <d v="2018-07-01T00:00:00"/>
    <x v="104"/>
    <s v="Indore"/>
    <x v="3"/>
    <n v="-0.62962962962962965"/>
    <n v="2018"/>
    <n v="3"/>
  </r>
  <r>
    <s v="B-25708"/>
    <n v="32"/>
    <n v="-8"/>
    <n v="2"/>
    <x v="1"/>
    <x v="1"/>
    <x v="2"/>
    <d v="2018-07-01T00:00:00"/>
    <x v="104"/>
    <s v="Indore"/>
    <x v="3"/>
    <n v="-0.25"/>
    <n v="2018"/>
    <n v="3"/>
  </r>
  <r>
    <s v="B-25709"/>
    <n v="33"/>
    <n v="-12"/>
    <n v="7"/>
    <x v="1"/>
    <x v="5"/>
    <x v="2"/>
    <d v="2018-07-01T00:00:00"/>
    <x v="105"/>
    <s v="Indore"/>
    <x v="3"/>
    <n v="-0.36363636363636365"/>
    <n v="2018"/>
    <n v="3"/>
  </r>
  <r>
    <s v="B-25709"/>
    <n v="41"/>
    <n v="-6"/>
    <n v="1"/>
    <x v="0"/>
    <x v="7"/>
    <x v="2"/>
    <d v="2018-07-01T00:00:00"/>
    <x v="105"/>
    <s v="Indore"/>
    <x v="3"/>
    <n v="-0.14634146341463414"/>
    <n v="2018"/>
    <n v="3"/>
  </r>
  <r>
    <s v="B-25710"/>
    <n v="216"/>
    <n v="-38"/>
    <n v="6"/>
    <x v="0"/>
    <x v="15"/>
    <x v="1"/>
    <d v="2018-07-05T00:00:00"/>
    <x v="106"/>
    <s v="Pune"/>
    <x v="3"/>
    <n v="-0.17592592592592593"/>
    <n v="2018"/>
    <n v="3"/>
  </r>
  <r>
    <s v="B-25710"/>
    <n v="616"/>
    <n v="-69"/>
    <n v="7"/>
    <x v="0"/>
    <x v="15"/>
    <x v="1"/>
    <d v="2018-07-05T00:00:00"/>
    <x v="106"/>
    <s v="Pune"/>
    <x v="3"/>
    <n v="-0.11201298701298701"/>
    <n v="2018"/>
    <n v="3"/>
  </r>
  <r>
    <s v="B-25710"/>
    <n v="10"/>
    <n v="-1"/>
    <n v="1"/>
    <x v="1"/>
    <x v="11"/>
    <x v="1"/>
    <d v="2018-07-05T00:00:00"/>
    <x v="106"/>
    <s v="Pune"/>
    <x v="3"/>
    <n v="-0.1"/>
    <n v="2018"/>
    <n v="3"/>
  </r>
  <r>
    <s v="B-25710"/>
    <n v="25"/>
    <n v="0"/>
    <n v="4"/>
    <x v="1"/>
    <x v="16"/>
    <x v="1"/>
    <d v="2018-07-05T00:00:00"/>
    <x v="106"/>
    <s v="Pune"/>
    <x v="3"/>
    <n v="0"/>
    <n v="2018"/>
    <n v="3"/>
  </r>
  <r>
    <s v="B-25710"/>
    <n v="53"/>
    <n v="-18"/>
    <n v="4"/>
    <x v="1"/>
    <x v="9"/>
    <x v="1"/>
    <d v="2018-07-05T00:00:00"/>
    <x v="106"/>
    <s v="Pune"/>
    <x v="3"/>
    <n v="-0.33962264150943394"/>
    <n v="2018"/>
    <n v="3"/>
  </r>
  <r>
    <s v="B-25710"/>
    <n v="13"/>
    <n v="-8"/>
    <n v="1"/>
    <x v="1"/>
    <x v="9"/>
    <x v="1"/>
    <d v="2018-07-05T00:00:00"/>
    <x v="106"/>
    <s v="Pune"/>
    <x v="3"/>
    <n v="-0.61538461538461542"/>
    <n v="2018"/>
    <n v="3"/>
  </r>
  <r>
    <s v="B-25711"/>
    <n v="100"/>
    <n v="-58"/>
    <n v="4"/>
    <x v="1"/>
    <x v="2"/>
    <x v="2"/>
    <d v="2018-07-06T00:00:00"/>
    <x v="107"/>
    <s v="Bhopal"/>
    <x v="3"/>
    <n v="-0.57999999999999996"/>
    <n v="2018"/>
    <n v="3"/>
  </r>
  <r>
    <s v="B-25712"/>
    <n v="193"/>
    <n v="-275"/>
    <n v="3"/>
    <x v="2"/>
    <x v="4"/>
    <x v="3"/>
    <d v="2018-07-07T00:00:00"/>
    <x v="108"/>
    <s v="Jaipur"/>
    <x v="3"/>
    <n v="-1.4248704663212435"/>
    <n v="2018"/>
    <n v="3"/>
  </r>
  <r>
    <s v="B-25713"/>
    <n v="158"/>
    <n v="-63"/>
    <n v="4"/>
    <x v="0"/>
    <x v="7"/>
    <x v="4"/>
    <d v="2018-07-08T00:00:00"/>
    <x v="109"/>
    <s v="Kolkata"/>
    <x v="3"/>
    <n v="-0.39873417721518989"/>
    <n v="2018"/>
    <n v="3"/>
  </r>
  <r>
    <s v="B-25714"/>
    <n v="11"/>
    <n v="-5"/>
    <n v="2"/>
    <x v="1"/>
    <x v="2"/>
    <x v="5"/>
    <d v="2018-07-09T00:00:00"/>
    <x v="110"/>
    <s v="Bangalore"/>
    <x v="3"/>
    <n v="-0.45454545454545453"/>
    <n v="2018"/>
    <n v="3"/>
  </r>
  <r>
    <s v="B-25714"/>
    <n v="340"/>
    <n v="20"/>
    <n v="7"/>
    <x v="1"/>
    <x v="10"/>
    <x v="5"/>
    <d v="2018-07-09T00:00:00"/>
    <x v="110"/>
    <s v="Bangalore"/>
    <x v="3"/>
    <n v="5.8823529411764705E-2"/>
    <n v="2018"/>
    <n v="3"/>
  </r>
  <r>
    <s v="B-25715"/>
    <n v="416"/>
    <n v="137"/>
    <n v="3"/>
    <x v="2"/>
    <x v="4"/>
    <x v="6"/>
    <d v="2018-07-10T00:00:00"/>
    <x v="111"/>
    <s v="Kashmir"/>
    <x v="3"/>
    <n v="0.32932692307692307"/>
    <n v="2018"/>
    <n v="3"/>
  </r>
  <r>
    <s v="B-25716"/>
    <n v="58"/>
    <n v="0"/>
    <n v="4"/>
    <x v="1"/>
    <x v="5"/>
    <x v="7"/>
    <d v="2018-07-11T00:00:00"/>
    <x v="112"/>
    <s v="Chennai"/>
    <x v="3"/>
    <n v="0"/>
    <n v="2018"/>
    <n v="3"/>
  </r>
  <r>
    <s v="B-25717"/>
    <n v="561"/>
    <n v="212"/>
    <n v="3"/>
    <x v="1"/>
    <x v="5"/>
    <x v="8"/>
    <d v="2018-07-12T00:00:00"/>
    <x v="113"/>
    <s v="Lucknow"/>
    <x v="3"/>
    <n v="0.37789661319073081"/>
    <n v="2018"/>
    <n v="3"/>
  </r>
  <r>
    <s v="B-25717"/>
    <n v="138"/>
    <n v="-3"/>
    <n v="5"/>
    <x v="1"/>
    <x v="5"/>
    <x v="8"/>
    <d v="2018-07-12T00:00:00"/>
    <x v="113"/>
    <s v="Lucknow"/>
    <x v="3"/>
    <n v="-2.1739130434782608E-2"/>
    <n v="2018"/>
    <n v="3"/>
  </r>
  <r>
    <s v="B-25717"/>
    <n v="90"/>
    <n v="17"/>
    <n v="3"/>
    <x v="1"/>
    <x v="10"/>
    <x v="8"/>
    <d v="2018-07-12T00:00:00"/>
    <x v="113"/>
    <s v="Lucknow"/>
    <x v="3"/>
    <n v="0.18888888888888888"/>
    <n v="2018"/>
    <n v="3"/>
  </r>
  <r>
    <s v="B-25717"/>
    <n v="55"/>
    <n v="-33"/>
    <n v="2"/>
    <x v="0"/>
    <x v="7"/>
    <x v="8"/>
    <d v="2018-07-12T00:00:00"/>
    <x v="113"/>
    <s v="Lucknow"/>
    <x v="3"/>
    <n v="-0.6"/>
    <n v="2018"/>
    <n v="3"/>
  </r>
  <r>
    <s v="B-25718"/>
    <n v="371"/>
    <n v="115"/>
    <n v="1"/>
    <x v="0"/>
    <x v="0"/>
    <x v="1"/>
    <d v="2018-07-12T00:00:00"/>
    <x v="66"/>
    <s v="Mumbai"/>
    <x v="3"/>
    <n v="0.30997304582210244"/>
    <n v="2018"/>
    <n v="3"/>
  </r>
  <r>
    <s v="B-25718"/>
    <n v="460"/>
    <n v="31"/>
    <n v="3"/>
    <x v="0"/>
    <x v="0"/>
    <x v="1"/>
    <d v="2018-07-12T00:00:00"/>
    <x v="66"/>
    <s v="Mumbai"/>
    <x v="3"/>
    <n v="6.7391304347826086E-2"/>
    <n v="2018"/>
    <n v="3"/>
  </r>
  <r>
    <s v="B-25719"/>
    <n v="29"/>
    <n v="10"/>
    <n v="2"/>
    <x v="1"/>
    <x v="1"/>
    <x v="2"/>
    <d v="2018-07-12T00:00:00"/>
    <x v="89"/>
    <s v="Indore"/>
    <x v="3"/>
    <n v="0.34482758620689657"/>
    <n v="2018"/>
    <n v="3"/>
  </r>
  <r>
    <s v="B-25720"/>
    <n v="30"/>
    <n v="-35"/>
    <n v="1"/>
    <x v="0"/>
    <x v="7"/>
    <x v="11"/>
    <d v="2018-07-15T00:00:00"/>
    <x v="114"/>
    <s v="Chandigarh"/>
    <x v="3"/>
    <n v="-1.1666666666666667"/>
    <n v="2018"/>
    <n v="3"/>
  </r>
  <r>
    <s v="B-25721"/>
    <n v="29"/>
    <n v="-18"/>
    <n v="7"/>
    <x v="1"/>
    <x v="16"/>
    <x v="12"/>
    <d v="2018-07-16T00:00:00"/>
    <x v="115"/>
    <s v="Chandigarh"/>
    <x v="3"/>
    <n v="-0.62068965517241381"/>
    <n v="2018"/>
    <n v="3"/>
  </r>
  <r>
    <s v="B-25721"/>
    <n v="191"/>
    <n v="51"/>
    <n v="5"/>
    <x v="1"/>
    <x v="10"/>
    <x v="12"/>
    <d v="2018-07-16T00:00:00"/>
    <x v="115"/>
    <s v="Chandigarh"/>
    <x v="3"/>
    <n v="0.26701570680628273"/>
    <n v="2018"/>
    <n v="3"/>
  </r>
  <r>
    <s v="B-25721"/>
    <n v="149"/>
    <n v="-40"/>
    <n v="2"/>
    <x v="2"/>
    <x v="4"/>
    <x v="12"/>
    <d v="2018-07-16T00:00:00"/>
    <x v="115"/>
    <s v="Chandigarh"/>
    <x v="3"/>
    <n v="-0.26845637583892618"/>
    <n v="2018"/>
    <n v="3"/>
  </r>
  <r>
    <s v="B-25722"/>
    <n v="48"/>
    <n v="-8"/>
    <n v="8"/>
    <x v="1"/>
    <x v="1"/>
    <x v="13"/>
    <d v="2018-07-17T00:00:00"/>
    <x v="116"/>
    <s v="Simla"/>
    <x v="3"/>
    <n v="-0.16666666666666666"/>
    <n v="2018"/>
    <n v="3"/>
  </r>
  <r>
    <s v="B-25723"/>
    <n v="26"/>
    <n v="-24"/>
    <n v="1"/>
    <x v="1"/>
    <x v="1"/>
    <x v="1"/>
    <d v="2018-07-18T00:00:00"/>
    <x v="117"/>
    <s v="Mumbai"/>
    <x v="3"/>
    <n v="-0.92307692307692313"/>
    <n v="2018"/>
    <n v="3"/>
  </r>
  <r>
    <s v="B-25723"/>
    <n v="16"/>
    <n v="-12"/>
    <n v="2"/>
    <x v="1"/>
    <x v="1"/>
    <x v="1"/>
    <d v="2018-07-18T00:00:00"/>
    <x v="117"/>
    <s v="Mumbai"/>
    <x v="3"/>
    <n v="-0.75"/>
    <n v="2018"/>
    <n v="3"/>
  </r>
  <r>
    <s v="B-25723"/>
    <n v="12"/>
    <n v="-7"/>
    <n v="2"/>
    <x v="1"/>
    <x v="11"/>
    <x v="1"/>
    <d v="2018-07-18T00:00:00"/>
    <x v="117"/>
    <s v="Mumbai"/>
    <x v="3"/>
    <n v="-0.58333333333333337"/>
    <n v="2018"/>
    <n v="3"/>
  </r>
  <r>
    <s v="B-25723"/>
    <n v="76"/>
    <n v="-54"/>
    <n v="3"/>
    <x v="2"/>
    <x v="3"/>
    <x v="1"/>
    <d v="2018-07-18T00:00:00"/>
    <x v="117"/>
    <s v="Mumbai"/>
    <x v="3"/>
    <n v="-0.71052631578947367"/>
    <n v="2018"/>
    <n v="3"/>
  </r>
  <r>
    <s v="B-25724"/>
    <n v="168"/>
    <n v="-51"/>
    <n v="2"/>
    <x v="0"/>
    <x v="0"/>
    <x v="2"/>
    <d v="2018-07-19T00:00:00"/>
    <x v="83"/>
    <s v="Indore"/>
    <x v="3"/>
    <n v="-0.30357142857142855"/>
    <n v="2018"/>
    <n v="3"/>
  </r>
  <r>
    <s v="B-25725"/>
    <n v="23"/>
    <n v="-5"/>
    <n v="7"/>
    <x v="1"/>
    <x v="2"/>
    <x v="16"/>
    <d v="2018-07-20T00:00:00"/>
    <x v="118"/>
    <s v="Kohima"/>
    <x v="3"/>
    <n v="-0.21739130434782608"/>
    <n v="2018"/>
    <n v="3"/>
  </r>
  <r>
    <s v="B-25725"/>
    <n v="26"/>
    <n v="-5"/>
    <n v="2"/>
    <x v="1"/>
    <x v="1"/>
    <x v="16"/>
    <d v="2018-07-20T00:00:00"/>
    <x v="118"/>
    <s v="Kohima"/>
    <x v="3"/>
    <n v="-0.19230769230769232"/>
    <n v="2018"/>
    <n v="3"/>
  </r>
  <r>
    <s v="B-25725"/>
    <n v="144"/>
    <n v="-7"/>
    <n v="4"/>
    <x v="2"/>
    <x v="3"/>
    <x v="16"/>
    <d v="2018-07-20T00:00:00"/>
    <x v="118"/>
    <s v="Kohima"/>
    <x v="3"/>
    <n v="-4.8611111111111112E-2"/>
    <n v="2018"/>
    <n v="3"/>
  </r>
  <r>
    <s v="B-25726"/>
    <n v="490"/>
    <n v="-128"/>
    <n v="8"/>
    <x v="0"/>
    <x v="0"/>
    <x v="1"/>
    <d v="2018-07-21T00:00:00"/>
    <x v="119"/>
    <s v="Mumbai"/>
    <x v="3"/>
    <n v="-0.26122448979591839"/>
    <n v="2018"/>
    <n v="3"/>
  </r>
  <r>
    <s v="B-25727"/>
    <n v="57"/>
    <n v="-48"/>
    <n v="6"/>
    <x v="1"/>
    <x v="11"/>
    <x v="2"/>
    <d v="2018-07-22T00:00:00"/>
    <x v="120"/>
    <s v="Indore"/>
    <x v="3"/>
    <n v="-0.84210526315789469"/>
    <n v="2018"/>
    <n v="3"/>
  </r>
  <r>
    <s v="B-25727"/>
    <n v="327"/>
    <n v="114"/>
    <n v="4"/>
    <x v="1"/>
    <x v="6"/>
    <x v="2"/>
    <d v="2018-07-22T00:00:00"/>
    <x v="120"/>
    <s v="Indore"/>
    <x v="3"/>
    <n v="0.34862385321100919"/>
    <n v="2018"/>
    <n v="3"/>
  </r>
  <r>
    <s v="B-25728"/>
    <n v="1055"/>
    <n v="264"/>
    <n v="4"/>
    <x v="2"/>
    <x v="13"/>
    <x v="1"/>
    <d v="2018-07-22T00:00:00"/>
    <x v="121"/>
    <s v="Pune"/>
    <x v="3"/>
    <n v="0.25023696682464452"/>
    <n v="2018"/>
    <n v="3"/>
  </r>
  <r>
    <s v="B-25728"/>
    <n v="771"/>
    <n v="-424"/>
    <n v="2"/>
    <x v="2"/>
    <x v="4"/>
    <x v="1"/>
    <d v="2018-07-22T00:00:00"/>
    <x v="121"/>
    <s v="Pune"/>
    <x v="3"/>
    <n v="-0.54993514915693908"/>
    <n v="2018"/>
    <n v="3"/>
  </r>
  <r>
    <s v="B-25728"/>
    <n v="322"/>
    <n v="-113"/>
    <n v="4"/>
    <x v="1"/>
    <x v="5"/>
    <x v="1"/>
    <d v="2018-07-22T00:00:00"/>
    <x v="121"/>
    <s v="Pune"/>
    <x v="3"/>
    <n v="-0.35093167701863354"/>
    <n v="2018"/>
    <n v="3"/>
  </r>
  <r>
    <s v="B-25729"/>
    <n v="1549"/>
    <n v="-439"/>
    <n v="4"/>
    <x v="2"/>
    <x v="4"/>
    <x v="2"/>
    <d v="2018-07-22T00:00:00"/>
    <x v="122"/>
    <s v="Bhopal"/>
    <x v="3"/>
    <n v="-0.28340865074241445"/>
    <n v="2018"/>
    <n v="3"/>
  </r>
  <r>
    <s v="B-25730"/>
    <n v="1145"/>
    <n v="-706"/>
    <n v="3"/>
    <x v="2"/>
    <x v="4"/>
    <x v="3"/>
    <d v="2018-07-22T00:00:00"/>
    <x v="123"/>
    <s v="Jaipur"/>
    <x v="3"/>
    <n v="-0.61659388646288205"/>
    <n v="2018"/>
    <n v="3"/>
  </r>
  <r>
    <s v="B-25730"/>
    <n v="473"/>
    <n v="42"/>
    <n v="4"/>
    <x v="0"/>
    <x v="7"/>
    <x v="3"/>
    <d v="2018-07-22T00:00:00"/>
    <x v="123"/>
    <s v="Jaipur"/>
    <x v="3"/>
    <n v="8.8794926004228336E-2"/>
    <n v="2018"/>
    <n v="3"/>
  </r>
  <r>
    <s v="B-25730"/>
    <n v="96"/>
    <n v="22"/>
    <n v="5"/>
    <x v="1"/>
    <x v="1"/>
    <x v="3"/>
    <d v="2018-07-22T00:00:00"/>
    <x v="123"/>
    <s v="Jaipur"/>
    <x v="3"/>
    <n v="0.22916666666666666"/>
    <n v="2018"/>
    <n v="3"/>
  </r>
  <r>
    <s v="B-25730"/>
    <n v="18"/>
    <n v="8"/>
    <n v="2"/>
    <x v="1"/>
    <x v="2"/>
    <x v="3"/>
    <d v="2018-07-22T00:00:00"/>
    <x v="123"/>
    <s v="Jaipur"/>
    <x v="3"/>
    <n v="0.44444444444444442"/>
    <n v="2018"/>
    <n v="3"/>
  </r>
  <r>
    <s v="B-25730"/>
    <n v="187"/>
    <n v="30"/>
    <n v="4"/>
    <x v="2"/>
    <x v="14"/>
    <x v="3"/>
    <d v="2018-07-22T00:00:00"/>
    <x v="123"/>
    <s v="Jaipur"/>
    <x v="3"/>
    <n v="0.16042780748663102"/>
    <n v="2018"/>
    <n v="3"/>
  </r>
  <r>
    <s v="B-25730"/>
    <n v="83"/>
    <n v="-81"/>
    <n v="3"/>
    <x v="0"/>
    <x v="7"/>
    <x v="3"/>
    <d v="2018-07-22T00:00:00"/>
    <x v="123"/>
    <s v="Jaipur"/>
    <x v="3"/>
    <n v="-0.97590361445783136"/>
    <n v="2018"/>
    <n v="3"/>
  </r>
  <r>
    <s v="B-25731"/>
    <n v="131"/>
    <n v="-154"/>
    <n v="8"/>
    <x v="0"/>
    <x v="15"/>
    <x v="4"/>
    <d v="2018-07-26T00:00:00"/>
    <x v="124"/>
    <s v="Kolkata"/>
    <x v="3"/>
    <n v="-1.1755725190839694"/>
    <n v="2018"/>
    <n v="3"/>
  </r>
  <r>
    <s v="B-25732"/>
    <n v="16"/>
    <n v="-5"/>
    <n v="2"/>
    <x v="1"/>
    <x v="1"/>
    <x v="5"/>
    <d v="2018-07-27T00:00:00"/>
    <x v="125"/>
    <s v="Bangalore"/>
    <x v="3"/>
    <n v="-0.3125"/>
    <n v="2018"/>
    <n v="3"/>
  </r>
  <r>
    <s v="B-25733"/>
    <n v="43"/>
    <n v="-43"/>
    <n v="7"/>
    <x v="1"/>
    <x v="1"/>
    <x v="1"/>
    <d v="2018-07-28T00:00:00"/>
    <x v="126"/>
    <s v="Mumbai"/>
    <x v="3"/>
    <n v="-1"/>
    <n v="2018"/>
    <n v="3"/>
  </r>
  <r>
    <s v="B-25733"/>
    <n v="30"/>
    <n v="-10"/>
    <n v="2"/>
    <x v="1"/>
    <x v="1"/>
    <x v="1"/>
    <d v="2018-07-28T00:00:00"/>
    <x v="126"/>
    <s v="Mumbai"/>
    <x v="3"/>
    <n v="-0.33333333333333331"/>
    <n v="2018"/>
    <n v="3"/>
  </r>
  <r>
    <s v="B-25733"/>
    <n v="23"/>
    <n v="-6"/>
    <n v="4"/>
    <x v="1"/>
    <x v="2"/>
    <x v="1"/>
    <d v="2018-07-28T00:00:00"/>
    <x v="126"/>
    <s v="Mumbai"/>
    <x v="3"/>
    <n v="-0.2608695652173913"/>
    <n v="2018"/>
    <n v="3"/>
  </r>
  <r>
    <s v="B-25734"/>
    <n v="108"/>
    <n v="-19"/>
    <n v="3"/>
    <x v="2"/>
    <x v="3"/>
    <x v="2"/>
    <d v="2018-07-29T00:00:00"/>
    <x v="127"/>
    <s v="Indore"/>
    <x v="3"/>
    <n v="-0.17592592592592593"/>
    <n v="2018"/>
    <n v="3"/>
  </r>
  <r>
    <s v="B-25735"/>
    <n v="12"/>
    <n v="-2"/>
    <n v="3"/>
    <x v="1"/>
    <x v="2"/>
    <x v="8"/>
    <d v="2018-07-30T00:00:00"/>
    <x v="128"/>
    <s v="Lucknow"/>
    <x v="3"/>
    <n v="-0.16666666666666666"/>
    <n v="2018"/>
    <n v="3"/>
  </r>
  <r>
    <s v="B-25735"/>
    <n v="7"/>
    <n v="-1"/>
    <n v="2"/>
    <x v="1"/>
    <x v="16"/>
    <x v="8"/>
    <d v="2018-07-30T00:00:00"/>
    <x v="128"/>
    <s v="Lucknow"/>
    <x v="3"/>
    <n v="-0.14285714285714285"/>
    <n v="2018"/>
    <n v="3"/>
  </r>
  <r>
    <s v="B-25735"/>
    <n v="15"/>
    <n v="-7"/>
    <n v="1"/>
    <x v="1"/>
    <x v="2"/>
    <x v="8"/>
    <d v="2018-07-30T00:00:00"/>
    <x v="128"/>
    <s v="Lucknow"/>
    <x v="3"/>
    <n v="-0.46666666666666667"/>
    <n v="2018"/>
    <n v="3"/>
  </r>
  <r>
    <s v="B-25736"/>
    <n v="31"/>
    <n v="-7"/>
    <n v="5"/>
    <x v="1"/>
    <x v="16"/>
    <x v="1"/>
    <d v="2018-07-31T00:00:00"/>
    <x v="129"/>
    <s v="Mumbai"/>
    <x v="3"/>
    <n v="-0.22580645161290322"/>
    <n v="2018"/>
    <n v="3"/>
  </r>
  <r>
    <s v="B-25737"/>
    <n v="187"/>
    <n v="-15"/>
    <n v="3"/>
    <x v="1"/>
    <x v="6"/>
    <x v="2"/>
    <d v="2018-08-01T00:00:00"/>
    <x v="130"/>
    <s v="Indore"/>
    <x v="4"/>
    <n v="-8.0213903743315509E-2"/>
    <n v="2018"/>
    <n v="3"/>
  </r>
  <r>
    <s v="B-25738"/>
    <n v="70"/>
    <n v="-14"/>
    <n v="2"/>
    <x v="0"/>
    <x v="15"/>
    <x v="11"/>
    <d v="2018-08-02T00:00:00"/>
    <x v="131"/>
    <s v="Chandigarh"/>
    <x v="4"/>
    <n v="-0.2"/>
    <n v="2018"/>
    <n v="3"/>
  </r>
  <r>
    <s v="B-25738"/>
    <n v="72"/>
    <n v="-6"/>
    <n v="3"/>
    <x v="1"/>
    <x v="5"/>
    <x v="11"/>
    <d v="2018-08-02T00:00:00"/>
    <x v="131"/>
    <s v="Chandigarh"/>
    <x v="4"/>
    <n v="-8.3333333333333329E-2"/>
    <n v="2018"/>
    <n v="3"/>
  </r>
  <r>
    <s v="B-25738"/>
    <n v="1069"/>
    <n v="0"/>
    <n v="6"/>
    <x v="1"/>
    <x v="5"/>
    <x v="11"/>
    <d v="2018-08-02T00:00:00"/>
    <x v="131"/>
    <s v="Chandigarh"/>
    <x v="4"/>
    <n v="0"/>
    <n v="2018"/>
    <n v="3"/>
  </r>
  <r>
    <s v="B-25738"/>
    <n v="148"/>
    <n v="-91"/>
    <n v="2"/>
    <x v="2"/>
    <x v="4"/>
    <x v="11"/>
    <d v="2018-08-02T00:00:00"/>
    <x v="131"/>
    <s v="Chandigarh"/>
    <x v="4"/>
    <n v="-0.61486486486486491"/>
    <n v="2018"/>
    <n v="3"/>
  </r>
  <r>
    <s v="B-25739"/>
    <n v="133"/>
    <n v="-56"/>
    <n v="2"/>
    <x v="0"/>
    <x v="7"/>
    <x v="12"/>
    <d v="2018-08-03T00:00:00"/>
    <x v="132"/>
    <s v="Chandigarh"/>
    <x v="4"/>
    <n v="-0.42105263157894735"/>
    <n v="2018"/>
    <n v="3"/>
  </r>
  <r>
    <s v="B-25740"/>
    <n v="40"/>
    <n v="-37"/>
    <n v="3"/>
    <x v="1"/>
    <x v="1"/>
    <x v="1"/>
    <d v="2018-08-03T00:00:00"/>
    <x v="133"/>
    <s v="Mumbai"/>
    <x v="4"/>
    <n v="-0.92500000000000004"/>
    <n v="2018"/>
    <n v="3"/>
  </r>
  <r>
    <s v="B-25740"/>
    <n v="7"/>
    <n v="0"/>
    <n v="2"/>
    <x v="1"/>
    <x v="16"/>
    <x v="1"/>
    <d v="2018-08-03T00:00:00"/>
    <x v="133"/>
    <s v="Mumbai"/>
    <x v="4"/>
    <n v="0"/>
    <n v="2018"/>
    <n v="3"/>
  </r>
  <r>
    <s v="B-25740"/>
    <n v="58"/>
    <n v="-8"/>
    <n v="2"/>
    <x v="1"/>
    <x v="5"/>
    <x v="1"/>
    <d v="2018-08-03T00:00:00"/>
    <x v="133"/>
    <s v="Mumbai"/>
    <x v="4"/>
    <n v="-0.13793103448275862"/>
    <n v="2018"/>
    <n v="3"/>
  </r>
  <r>
    <s v="B-25741"/>
    <n v="482"/>
    <n v="-6"/>
    <n v="7"/>
    <x v="2"/>
    <x v="3"/>
    <x v="2"/>
    <d v="2018-08-03T00:00:00"/>
    <x v="134"/>
    <s v="Indore"/>
    <x v="4"/>
    <n v="-1.2448132780082987E-2"/>
    <n v="2018"/>
    <n v="3"/>
  </r>
  <r>
    <s v="B-25742"/>
    <n v="11"/>
    <n v="-8"/>
    <n v="2"/>
    <x v="1"/>
    <x v="16"/>
    <x v="15"/>
    <d v="2018-08-03T00:00:00"/>
    <x v="135"/>
    <s v="Goa"/>
    <x v="4"/>
    <n v="-0.72727272727272729"/>
    <n v="2018"/>
    <n v="3"/>
  </r>
  <r>
    <s v="B-25743"/>
    <n v="143"/>
    <n v="-124"/>
    <n v="5"/>
    <x v="1"/>
    <x v="5"/>
    <x v="16"/>
    <d v="2018-08-07T00:00:00"/>
    <x v="136"/>
    <s v="Kohima"/>
    <x v="4"/>
    <n v="-0.86713286713286708"/>
    <n v="2018"/>
    <n v="3"/>
  </r>
  <r>
    <s v="B-25743"/>
    <n v="9"/>
    <n v="-5"/>
    <n v="1"/>
    <x v="1"/>
    <x v="5"/>
    <x v="16"/>
    <d v="2018-08-07T00:00:00"/>
    <x v="136"/>
    <s v="Kohima"/>
    <x v="4"/>
    <n v="-0.55555555555555558"/>
    <n v="2018"/>
    <n v="3"/>
  </r>
  <r>
    <s v="B-25743"/>
    <n v="503"/>
    <n v="-56"/>
    <n v="2"/>
    <x v="1"/>
    <x v="6"/>
    <x v="16"/>
    <d v="2018-08-07T00:00:00"/>
    <x v="136"/>
    <s v="Kohima"/>
    <x v="4"/>
    <n v="-0.11133200795228629"/>
    <n v="2018"/>
    <n v="3"/>
  </r>
  <r>
    <s v="B-25743"/>
    <n v="74"/>
    <n v="-51"/>
    <n v="3"/>
    <x v="1"/>
    <x v="1"/>
    <x v="16"/>
    <d v="2018-08-07T00:00:00"/>
    <x v="136"/>
    <s v="Kohima"/>
    <x v="4"/>
    <n v="-0.68918918918918914"/>
    <n v="2018"/>
    <n v="3"/>
  </r>
  <r>
    <s v="B-25743"/>
    <n v="56"/>
    <n v="0"/>
    <n v="4"/>
    <x v="1"/>
    <x v="2"/>
    <x v="16"/>
    <d v="2018-08-07T00:00:00"/>
    <x v="136"/>
    <s v="Kohima"/>
    <x v="4"/>
    <n v="0"/>
    <n v="2018"/>
    <n v="3"/>
  </r>
  <r>
    <s v="B-25744"/>
    <n v="373"/>
    <n v="-254"/>
    <n v="6"/>
    <x v="2"/>
    <x v="13"/>
    <x v="17"/>
    <d v="2018-08-08T00:00:00"/>
    <x v="137"/>
    <s v="Hyderabad"/>
    <x v="4"/>
    <n v="-0.68096514745308312"/>
    <n v="2018"/>
    <n v="3"/>
  </r>
  <r>
    <s v="B-25745"/>
    <n v="44"/>
    <n v="-8"/>
    <n v="3"/>
    <x v="1"/>
    <x v="1"/>
    <x v="0"/>
    <d v="2018-08-09T00:00:00"/>
    <x v="138"/>
    <s v="Ahmedabad"/>
    <x v="4"/>
    <n v="-0.18181818181818182"/>
    <n v="2018"/>
    <n v="3"/>
  </r>
  <r>
    <s v="B-25745"/>
    <n v="296"/>
    <n v="-225"/>
    <n v="11"/>
    <x v="1"/>
    <x v="5"/>
    <x v="0"/>
    <d v="2018-08-09T00:00:00"/>
    <x v="138"/>
    <s v="Ahmedabad"/>
    <x v="4"/>
    <n v="-0.76013513513513509"/>
    <n v="2018"/>
    <n v="3"/>
  </r>
  <r>
    <s v="B-25745"/>
    <n v="670"/>
    <n v="15"/>
    <n v="5"/>
    <x v="0"/>
    <x v="0"/>
    <x v="0"/>
    <d v="2018-08-09T00:00:00"/>
    <x v="138"/>
    <s v="Ahmedabad"/>
    <x v="4"/>
    <n v="2.2388059701492536E-2"/>
    <n v="2018"/>
    <n v="3"/>
  </r>
  <r>
    <s v="B-25745"/>
    <n v="132"/>
    <n v="-79"/>
    <n v="5"/>
    <x v="0"/>
    <x v="15"/>
    <x v="0"/>
    <d v="2018-08-09T00:00:00"/>
    <x v="138"/>
    <s v="Ahmedabad"/>
    <x v="4"/>
    <n v="-0.59848484848484851"/>
    <n v="2018"/>
    <n v="3"/>
  </r>
  <r>
    <s v="B-25746"/>
    <n v="87"/>
    <n v="16"/>
    <n v="2"/>
    <x v="1"/>
    <x v="5"/>
    <x v="1"/>
    <d v="2018-08-10T00:00:00"/>
    <x v="139"/>
    <s v="Pune"/>
    <x v="4"/>
    <n v="0.18390804597701149"/>
    <n v="2018"/>
    <n v="3"/>
  </r>
  <r>
    <s v="B-25747"/>
    <n v="877"/>
    <n v="395"/>
    <n v="2"/>
    <x v="0"/>
    <x v="0"/>
    <x v="2"/>
    <d v="2018-08-11T00:00:00"/>
    <x v="140"/>
    <s v="Bhopal"/>
    <x v="4"/>
    <n v="0.45039908779931587"/>
    <n v="2018"/>
    <n v="3"/>
  </r>
  <r>
    <s v="B-25748"/>
    <n v="141"/>
    <n v="10"/>
    <n v="4"/>
    <x v="1"/>
    <x v="10"/>
    <x v="3"/>
    <d v="2018-08-12T00:00:00"/>
    <x v="141"/>
    <s v="Jaipur"/>
    <x v="4"/>
    <n v="7.0921985815602842E-2"/>
    <n v="2018"/>
    <n v="3"/>
  </r>
  <r>
    <s v="B-25748"/>
    <n v="224"/>
    <n v="58"/>
    <n v="3"/>
    <x v="2"/>
    <x v="4"/>
    <x v="3"/>
    <d v="2018-08-12T00:00:00"/>
    <x v="141"/>
    <s v="Jaipur"/>
    <x v="4"/>
    <n v="0.25892857142857145"/>
    <n v="2018"/>
    <n v="3"/>
  </r>
  <r>
    <s v="B-25748"/>
    <n v="8"/>
    <n v="-1"/>
    <n v="2"/>
    <x v="1"/>
    <x v="11"/>
    <x v="3"/>
    <d v="2018-08-12T00:00:00"/>
    <x v="141"/>
    <s v="Jaipur"/>
    <x v="4"/>
    <n v="-0.125"/>
    <n v="2018"/>
    <n v="3"/>
  </r>
  <r>
    <s v="B-25748"/>
    <n v="47"/>
    <n v="-21"/>
    <n v="2"/>
    <x v="2"/>
    <x v="3"/>
    <x v="3"/>
    <d v="2018-08-12T00:00:00"/>
    <x v="141"/>
    <s v="Jaipur"/>
    <x v="4"/>
    <n v="-0.44680851063829785"/>
    <n v="2018"/>
    <n v="3"/>
  </r>
  <r>
    <s v="B-25749"/>
    <n v="1052"/>
    <n v="-82"/>
    <n v="3"/>
    <x v="0"/>
    <x v="0"/>
    <x v="1"/>
    <d v="2018-08-13T00:00:00"/>
    <x v="131"/>
    <s v="Mumbai"/>
    <x v="4"/>
    <n v="-7.7946768060836502E-2"/>
    <n v="2018"/>
    <n v="3"/>
  </r>
  <r>
    <s v="B-25750"/>
    <n v="212"/>
    <n v="-24"/>
    <n v="2"/>
    <x v="0"/>
    <x v="7"/>
    <x v="2"/>
    <d v="2018-08-14T00:00:00"/>
    <x v="142"/>
    <s v="Indore"/>
    <x v="4"/>
    <n v="-0.11320754716981132"/>
    <n v="2018"/>
    <n v="3"/>
  </r>
  <r>
    <s v="B-25750"/>
    <n v="42"/>
    <n v="-15"/>
    <n v="12"/>
    <x v="1"/>
    <x v="16"/>
    <x v="2"/>
    <d v="2018-08-14T00:00:00"/>
    <x v="142"/>
    <s v="Indore"/>
    <x v="4"/>
    <n v="-0.35714285714285715"/>
    <n v="2018"/>
    <n v="3"/>
  </r>
  <r>
    <s v="B-25750"/>
    <n v="208"/>
    <n v="-25"/>
    <n v="2"/>
    <x v="1"/>
    <x v="5"/>
    <x v="2"/>
    <d v="2018-08-14T00:00:00"/>
    <x v="142"/>
    <s v="Indore"/>
    <x v="4"/>
    <n v="-0.1201923076923077"/>
    <n v="2018"/>
    <n v="3"/>
  </r>
  <r>
    <s v="B-25750"/>
    <n v="22"/>
    <n v="-12"/>
    <n v="3"/>
    <x v="1"/>
    <x v="1"/>
    <x v="2"/>
    <d v="2018-08-14T00:00:00"/>
    <x v="142"/>
    <s v="Indore"/>
    <x v="4"/>
    <n v="-0.54545454545454541"/>
    <n v="2018"/>
    <n v="3"/>
  </r>
  <r>
    <s v="B-25750"/>
    <n v="539"/>
    <n v="-146"/>
    <n v="7"/>
    <x v="0"/>
    <x v="15"/>
    <x v="2"/>
    <d v="2018-08-14T00:00:00"/>
    <x v="142"/>
    <s v="Indore"/>
    <x v="4"/>
    <n v="-0.27087198515769945"/>
    <n v="2018"/>
    <n v="3"/>
  </r>
  <r>
    <s v="B-25750"/>
    <n v="78"/>
    <n v="-6"/>
    <n v="2"/>
    <x v="0"/>
    <x v="15"/>
    <x v="2"/>
    <d v="2018-08-14T00:00:00"/>
    <x v="142"/>
    <s v="Indore"/>
    <x v="4"/>
    <n v="-7.6923076923076927E-2"/>
    <n v="2018"/>
    <n v="3"/>
  </r>
  <r>
    <s v="B-25750"/>
    <n v="20"/>
    <n v="-18"/>
    <n v="2"/>
    <x v="1"/>
    <x v="5"/>
    <x v="2"/>
    <d v="2018-08-14T00:00:00"/>
    <x v="142"/>
    <s v="Indore"/>
    <x v="4"/>
    <n v="-0.9"/>
    <n v="2018"/>
    <n v="3"/>
  </r>
  <r>
    <s v="B-25750"/>
    <n v="19"/>
    <n v="-1"/>
    <n v="1"/>
    <x v="1"/>
    <x v="10"/>
    <x v="2"/>
    <d v="2018-08-14T00:00:00"/>
    <x v="142"/>
    <s v="Indore"/>
    <x v="4"/>
    <n v="-5.2631578947368418E-2"/>
    <n v="2018"/>
    <n v="3"/>
  </r>
  <r>
    <s v="B-25750"/>
    <n v="73"/>
    <n v="-31"/>
    <n v="1"/>
    <x v="0"/>
    <x v="0"/>
    <x v="2"/>
    <d v="2018-08-14T00:00:00"/>
    <x v="142"/>
    <s v="Indore"/>
    <x v="4"/>
    <n v="-0.42465753424657532"/>
    <n v="2018"/>
    <n v="3"/>
  </r>
  <r>
    <s v="B-25751"/>
    <n v="10"/>
    <n v="-8"/>
    <n v="1"/>
    <x v="1"/>
    <x v="8"/>
    <x v="1"/>
    <d v="2018-08-14T00:00:00"/>
    <x v="143"/>
    <s v="Mumbai"/>
    <x v="4"/>
    <n v="-0.8"/>
    <n v="2018"/>
    <n v="3"/>
  </r>
  <r>
    <s v="B-25751"/>
    <n v="14"/>
    <n v="-3"/>
    <n v="2"/>
    <x v="1"/>
    <x v="11"/>
    <x v="1"/>
    <d v="2018-08-14T00:00:00"/>
    <x v="143"/>
    <s v="Mumbai"/>
    <x v="4"/>
    <n v="-0.21428571428571427"/>
    <n v="2018"/>
    <n v="3"/>
  </r>
  <r>
    <s v="B-25751"/>
    <n v="68"/>
    <n v="-56"/>
    <n v="2"/>
    <x v="2"/>
    <x v="4"/>
    <x v="1"/>
    <d v="2018-08-14T00:00:00"/>
    <x v="143"/>
    <s v="Mumbai"/>
    <x v="4"/>
    <n v="-0.82352941176470584"/>
    <n v="2018"/>
    <n v="3"/>
  </r>
  <r>
    <s v="B-25751"/>
    <n v="106"/>
    <n v="0"/>
    <n v="2"/>
    <x v="2"/>
    <x v="4"/>
    <x v="1"/>
    <d v="2018-08-14T00:00:00"/>
    <x v="143"/>
    <s v="Mumbai"/>
    <x v="4"/>
    <n v="0"/>
    <n v="2018"/>
    <n v="3"/>
  </r>
  <r>
    <s v="B-25751"/>
    <n v="43"/>
    <n v="-5"/>
    <n v="2"/>
    <x v="1"/>
    <x v="5"/>
    <x v="1"/>
    <d v="2018-08-14T00:00:00"/>
    <x v="143"/>
    <s v="Mumbai"/>
    <x v="4"/>
    <n v="-0.11627906976744186"/>
    <n v="2018"/>
    <n v="3"/>
  </r>
  <r>
    <s v="B-25751"/>
    <n v="43"/>
    <n v="21"/>
    <n v="3"/>
    <x v="1"/>
    <x v="10"/>
    <x v="1"/>
    <d v="2018-08-14T00:00:00"/>
    <x v="143"/>
    <s v="Mumbai"/>
    <x v="4"/>
    <n v="0.48837209302325579"/>
    <n v="2018"/>
    <n v="3"/>
  </r>
  <r>
    <s v="B-25751"/>
    <n v="534"/>
    <n v="5"/>
    <n v="2"/>
    <x v="2"/>
    <x v="3"/>
    <x v="1"/>
    <d v="2018-08-14T00:00:00"/>
    <x v="143"/>
    <s v="Mumbai"/>
    <x v="4"/>
    <n v="9.3632958801498131E-3"/>
    <n v="2018"/>
    <n v="3"/>
  </r>
  <r>
    <s v="B-25751"/>
    <n v="32"/>
    <n v="7"/>
    <n v="3"/>
    <x v="1"/>
    <x v="2"/>
    <x v="1"/>
    <d v="2018-08-14T00:00:00"/>
    <x v="143"/>
    <s v="Mumbai"/>
    <x v="4"/>
    <n v="0.21875"/>
    <n v="2018"/>
    <n v="3"/>
  </r>
  <r>
    <s v="B-25751"/>
    <n v="65"/>
    <n v="-4"/>
    <n v="6"/>
    <x v="1"/>
    <x v="2"/>
    <x v="1"/>
    <d v="2018-08-14T00:00:00"/>
    <x v="143"/>
    <s v="Mumbai"/>
    <x v="4"/>
    <n v="-6.1538461538461542E-2"/>
    <n v="2018"/>
    <n v="3"/>
  </r>
  <r>
    <s v="B-25751"/>
    <n v="221"/>
    <n v="-15"/>
    <n v="2"/>
    <x v="2"/>
    <x v="3"/>
    <x v="1"/>
    <d v="2018-08-14T00:00:00"/>
    <x v="143"/>
    <s v="Mumbai"/>
    <x v="4"/>
    <n v="-6.7873303167420809E-2"/>
    <n v="2018"/>
    <n v="3"/>
  </r>
  <r>
    <s v="B-25752"/>
    <n v="1361"/>
    <n v="197"/>
    <n v="9"/>
    <x v="0"/>
    <x v="0"/>
    <x v="2"/>
    <d v="2018-08-14T00:00:00"/>
    <x v="144"/>
    <s v="Indore"/>
    <x v="4"/>
    <n v="0.14474650991917706"/>
    <n v="2018"/>
    <n v="3"/>
  </r>
  <r>
    <s v="B-25752"/>
    <n v="761"/>
    <n v="266"/>
    <n v="9"/>
    <x v="2"/>
    <x v="3"/>
    <x v="2"/>
    <d v="2018-08-14T00:00:00"/>
    <x v="144"/>
    <s v="Indore"/>
    <x v="4"/>
    <n v="0.34954007884362681"/>
    <n v="2018"/>
    <n v="3"/>
  </r>
  <r>
    <s v="B-25752"/>
    <n v="76"/>
    <n v="27"/>
    <n v="5"/>
    <x v="1"/>
    <x v="1"/>
    <x v="2"/>
    <d v="2018-08-14T00:00:00"/>
    <x v="144"/>
    <s v="Indore"/>
    <x v="4"/>
    <n v="0.35526315789473684"/>
    <n v="2018"/>
    <n v="3"/>
  </r>
  <r>
    <s v="B-25752"/>
    <n v="91"/>
    <n v="15"/>
    <n v="6"/>
    <x v="1"/>
    <x v="9"/>
    <x v="2"/>
    <d v="2018-08-14T00:00:00"/>
    <x v="144"/>
    <s v="Indore"/>
    <x v="4"/>
    <n v="0.16483516483516483"/>
    <n v="2018"/>
    <n v="3"/>
  </r>
  <r>
    <s v="B-25752"/>
    <n v="8"/>
    <n v="-2"/>
    <n v="2"/>
    <x v="1"/>
    <x v="2"/>
    <x v="2"/>
    <d v="2018-08-14T00:00:00"/>
    <x v="144"/>
    <s v="Indore"/>
    <x v="4"/>
    <n v="-0.25"/>
    <n v="2018"/>
    <n v="3"/>
  </r>
  <r>
    <s v="B-25752"/>
    <n v="735"/>
    <n v="-235"/>
    <n v="6"/>
    <x v="2"/>
    <x v="13"/>
    <x v="2"/>
    <d v="2018-08-14T00:00:00"/>
    <x v="144"/>
    <s v="Indore"/>
    <x v="4"/>
    <n v="-0.31972789115646261"/>
    <n v="2018"/>
    <n v="3"/>
  </r>
  <r>
    <s v="B-25752"/>
    <n v="33"/>
    <n v="-27"/>
    <n v="1"/>
    <x v="0"/>
    <x v="7"/>
    <x v="2"/>
    <d v="2018-08-14T00:00:00"/>
    <x v="144"/>
    <s v="Indore"/>
    <x v="4"/>
    <n v="-0.81818181818181823"/>
    <n v="2018"/>
    <n v="3"/>
  </r>
  <r>
    <s v="B-25753"/>
    <n v="62"/>
    <n v="-56"/>
    <n v="5"/>
    <x v="1"/>
    <x v="8"/>
    <x v="8"/>
    <d v="2018-08-17T00:00:00"/>
    <x v="139"/>
    <s v="Lucknow"/>
    <x v="4"/>
    <n v="-0.90322580645161288"/>
    <n v="2018"/>
    <n v="3"/>
  </r>
  <r>
    <s v="B-25753"/>
    <n v="27"/>
    <n v="-20"/>
    <n v="2"/>
    <x v="1"/>
    <x v="2"/>
    <x v="8"/>
    <d v="2018-08-17T00:00:00"/>
    <x v="139"/>
    <s v="Lucknow"/>
    <x v="4"/>
    <n v="-0.7407407407407407"/>
    <n v="2018"/>
    <n v="3"/>
  </r>
  <r>
    <s v="B-25753"/>
    <n v="65"/>
    <n v="-52"/>
    <n v="3"/>
    <x v="2"/>
    <x v="14"/>
    <x v="8"/>
    <d v="2018-08-17T00:00:00"/>
    <x v="139"/>
    <s v="Lucknow"/>
    <x v="4"/>
    <n v="-0.8"/>
    <n v="2018"/>
    <n v="3"/>
  </r>
  <r>
    <s v="B-25753"/>
    <n v="47"/>
    <n v="-114"/>
    <n v="5"/>
    <x v="0"/>
    <x v="15"/>
    <x v="8"/>
    <d v="2018-08-17T00:00:00"/>
    <x v="139"/>
    <s v="Lucknow"/>
    <x v="4"/>
    <n v="-2.4255319148936172"/>
    <n v="2018"/>
    <n v="3"/>
  </r>
  <r>
    <s v="B-25753"/>
    <n v="341"/>
    <n v="-85"/>
    <n v="6"/>
    <x v="1"/>
    <x v="6"/>
    <x v="8"/>
    <d v="2018-08-17T00:00:00"/>
    <x v="139"/>
    <s v="Lucknow"/>
    <x v="4"/>
    <n v="-0.24926686217008798"/>
    <n v="2018"/>
    <n v="3"/>
  </r>
  <r>
    <s v="B-25753"/>
    <n v="107"/>
    <n v="31"/>
    <n v="5"/>
    <x v="1"/>
    <x v="9"/>
    <x v="8"/>
    <d v="2018-08-17T00:00:00"/>
    <x v="139"/>
    <s v="Lucknow"/>
    <x v="4"/>
    <n v="0.28971962616822428"/>
    <n v="2018"/>
    <n v="3"/>
  </r>
  <r>
    <s v="B-25753"/>
    <n v="154"/>
    <n v="22"/>
    <n v="7"/>
    <x v="1"/>
    <x v="9"/>
    <x v="8"/>
    <d v="2018-08-17T00:00:00"/>
    <x v="139"/>
    <s v="Lucknow"/>
    <x v="4"/>
    <n v="0.14285714285714285"/>
    <n v="2018"/>
    <n v="3"/>
  </r>
  <r>
    <s v="B-25753"/>
    <n v="620"/>
    <n v="82"/>
    <n v="6"/>
    <x v="2"/>
    <x v="14"/>
    <x v="8"/>
    <d v="2018-08-17T00:00:00"/>
    <x v="139"/>
    <s v="Lucknow"/>
    <x v="4"/>
    <n v="0.13225806451612904"/>
    <n v="2018"/>
    <n v="3"/>
  </r>
  <r>
    <s v="B-25753"/>
    <n v="77"/>
    <n v="-43"/>
    <n v="8"/>
    <x v="1"/>
    <x v="1"/>
    <x v="8"/>
    <d v="2018-08-17T00:00:00"/>
    <x v="139"/>
    <s v="Lucknow"/>
    <x v="4"/>
    <n v="-0.55844155844155841"/>
    <n v="2018"/>
    <n v="3"/>
  </r>
  <r>
    <s v="B-25754"/>
    <n v="72"/>
    <n v="-46"/>
    <n v="7"/>
    <x v="1"/>
    <x v="8"/>
    <x v="9"/>
    <d v="2018-08-18T00:00:00"/>
    <x v="145"/>
    <s v="Patna"/>
    <x v="4"/>
    <n v="-0.63888888888888884"/>
    <n v="2018"/>
    <n v="3"/>
  </r>
  <r>
    <s v="B-25754"/>
    <n v="41"/>
    <n v="-14"/>
    <n v="5"/>
    <x v="1"/>
    <x v="11"/>
    <x v="9"/>
    <d v="2018-08-18T00:00:00"/>
    <x v="145"/>
    <s v="Patna"/>
    <x v="4"/>
    <n v="-0.34146341463414637"/>
    <n v="2018"/>
    <n v="3"/>
  </r>
  <r>
    <s v="B-25754"/>
    <n v="30"/>
    <n v="-23"/>
    <n v="2"/>
    <x v="1"/>
    <x v="5"/>
    <x v="9"/>
    <d v="2018-08-18T00:00:00"/>
    <x v="145"/>
    <s v="Patna"/>
    <x v="4"/>
    <n v="-0.76666666666666672"/>
    <n v="2018"/>
    <n v="3"/>
  </r>
  <r>
    <s v="B-25754"/>
    <n v="93"/>
    <n v="-65"/>
    <n v="4"/>
    <x v="1"/>
    <x v="1"/>
    <x v="9"/>
    <d v="2018-08-18T00:00:00"/>
    <x v="145"/>
    <s v="Patna"/>
    <x v="4"/>
    <n v="-0.69892473118279574"/>
    <n v="2018"/>
    <n v="3"/>
  </r>
  <r>
    <s v="B-25754"/>
    <n v="19"/>
    <n v="0"/>
    <n v="3"/>
    <x v="1"/>
    <x v="16"/>
    <x v="9"/>
    <d v="2018-08-18T00:00:00"/>
    <x v="145"/>
    <s v="Patna"/>
    <x v="4"/>
    <n v="0"/>
    <n v="2018"/>
    <n v="3"/>
  </r>
  <r>
    <s v="B-25754"/>
    <n v="9"/>
    <n v="-1"/>
    <n v="3"/>
    <x v="1"/>
    <x v="16"/>
    <x v="9"/>
    <d v="2018-08-18T00:00:00"/>
    <x v="145"/>
    <s v="Patna"/>
    <x v="4"/>
    <n v="-0.1111111111111111"/>
    <n v="2018"/>
    <n v="3"/>
  </r>
  <r>
    <s v="B-25754"/>
    <n v="319"/>
    <n v="-312"/>
    <n v="5"/>
    <x v="1"/>
    <x v="5"/>
    <x v="9"/>
    <d v="2018-08-18T00:00:00"/>
    <x v="145"/>
    <s v="Patna"/>
    <x v="4"/>
    <n v="-0.9780564263322884"/>
    <n v="2018"/>
    <n v="3"/>
  </r>
  <r>
    <s v="B-25754"/>
    <n v="262"/>
    <n v="-215"/>
    <n v="2"/>
    <x v="2"/>
    <x v="13"/>
    <x v="9"/>
    <d v="2018-08-18T00:00:00"/>
    <x v="145"/>
    <s v="Patna"/>
    <x v="4"/>
    <n v="-0.82061068702290074"/>
    <n v="2018"/>
    <n v="3"/>
  </r>
  <r>
    <s v="B-25755"/>
    <n v="37"/>
    <n v="-53"/>
    <n v="3"/>
    <x v="1"/>
    <x v="5"/>
    <x v="10"/>
    <d v="2018-08-19T00:00:00"/>
    <x v="146"/>
    <s v="Thiruvananthapuram"/>
    <x v="4"/>
    <n v="-1.4324324324324325"/>
    <n v="2018"/>
    <n v="3"/>
  </r>
  <r>
    <s v="B-25755"/>
    <n v="257"/>
    <n v="-3"/>
    <n v="2"/>
    <x v="0"/>
    <x v="0"/>
    <x v="10"/>
    <d v="2018-08-19T00:00:00"/>
    <x v="146"/>
    <s v="Thiruvananthapuram"/>
    <x v="4"/>
    <n v="-1.1673151750972763E-2"/>
    <n v="2018"/>
    <n v="3"/>
  </r>
  <r>
    <s v="B-25755"/>
    <n v="80"/>
    <n v="-19"/>
    <n v="5"/>
    <x v="1"/>
    <x v="1"/>
    <x v="10"/>
    <d v="2018-08-19T00:00:00"/>
    <x v="146"/>
    <s v="Thiruvananthapuram"/>
    <x v="4"/>
    <n v="-0.23749999999999999"/>
    <n v="2018"/>
    <n v="3"/>
  </r>
  <r>
    <s v="B-25755"/>
    <n v="321"/>
    <n v="-315"/>
    <n v="5"/>
    <x v="1"/>
    <x v="5"/>
    <x v="10"/>
    <d v="2018-08-19T00:00:00"/>
    <x v="146"/>
    <s v="Thiruvananthapuram"/>
    <x v="4"/>
    <n v="-0.98130841121495327"/>
    <n v="2018"/>
    <n v="3"/>
  </r>
  <r>
    <s v="B-25755"/>
    <n v="47"/>
    <n v="-3"/>
    <n v="2"/>
    <x v="1"/>
    <x v="1"/>
    <x v="10"/>
    <d v="2018-08-19T00:00:00"/>
    <x v="146"/>
    <s v="Thiruvananthapuram"/>
    <x v="4"/>
    <n v="-6.3829787234042548E-2"/>
    <n v="2018"/>
    <n v="3"/>
  </r>
  <r>
    <s v="B-25755"/>
    <n v="593"/>
    <n v="213"/>
    <n v="4"/>
    <x v="0"/>
    <x v="0"/>
    <x v="10"/>
    <d v="2018-08-19T00:00:00"/>
    <x v="146"/>
    <s v="Thiruvananthapuram"/>
    <x v="4"/>
    <n v="0.35919055649241149"/>
    <n v="2018"/>
    <n v="3"/>
  </r>
  <r>
    <s v="B-25755"/>
    <n v="134"/>
    <n v="-34"/>
    <n v="2"/>
    <x v="0"/>
    <x v="7"/>
    <x v="10"/>
    <d v="2018-08-19T00:00:00"/>
    <x v="146"/>
    <s v="Thiruvananthapuram"/>
    <x v="4"/>
    <n v="-0.2537313432835821"/>
    <n v="2018"/>
    <n v="3"/>
  </r>
  <r>
    <s v="B-25755"/>
    <n v="1709"/>
    <n v="564"/>
    <n v="3"/>
    <x v="1"/>
    <x v="6"/>
    <x v="10"/>
    <d v="2018-08-19T00:00:00"/>
    <x v="146"/>
    <s v="Thiruvananthapuram"/>
    <x v="4"/>
    <n v="0.33001755412521944"/>
    <n v="2018"/>
    <n v="3"/>
  </r>
  <r>
    <s v="B-25755"/>
    <n v="27"/>
    <n v="4"/>
    <n v="2"/>
    <x v="1"/>
    <x v="5"/>
    <x v="10"/>
    <d v="2018-08-19T00:00:00"/>
    <x v="146"/>
    <s v="Thiruvananthapuram"/>
    <x v="4"/>
    <n v="0.14814814814814814"/>
    <n v="2018"/>
    <n v="3"/>
  </r>
  <r>
    <s v="B-25756"/>
    <n v="465"/>
    <n v="-33"/>
    <n v="4"/>
    <x v="2"/>
    <x v="4"/>
    <x v="1"/>
    <d v="2018-08-20T00:00:00"/>
    <x v="147"/>
    <s v="Mumbai"/>
    <x v="4"/>
    <n v="-7.0967741935483872E-2"/>
    <n v="2018"/>
    <n v="3"/>
  </r>
  <r>
    <s v="B-25756"/>
    <n v="643"/>
    <n v="-45"/>
    <n v="2"/>
    <x v="2"/>
    <x v="13"/>
    <x v="1"/>
    <d v="2018-08-20T00:00:00"/>
    <x v="147"/>
    <s v="Mumbai"/>
    <x v="4"/>
    <n v="-6.9984447900466568E-2"/>
    <n v="2018"/>
    <n v="3"/>
  </r>
  <r>
    <s v="B-25756"/>
    <n v="204"/>
    <n v="-276"/>
    <n v="3"/>
    <x v="0"/>
    <x v="0"/>
    <x v="1"/>
    <d v="2018-08-20T00:00:00"/>
    <x v="147"/>
    <s v="Mumbai"/>
    <x v="4"/>
    <n v="-1.3529411764705883"/>
    <n v="2018"/>
    <n v="3"/>
  </r>
  <r>
    <s v="B-25756"/>
    <n v="729"/>
    <n v="-492"/>
    <n v="5"/>
    <x v="0"/>
    <x v="0"/>
    <x v="1"/>
    <d v="2018-08-20T00:00:00"/>
    <x v="147"/>
    <s v="Mumbai"/>
    <x v="4"/>
    <n v="-0.67489711934156382"/>
    <n v="2018"/>
    <n v="3"/>
  </r>
  <r>
    <s v="B-25756"/>
    <n v="29"/>
    <n v="-24"/>
    <n v="4"/>
    <x v="1"/>
    <x v="11"/>
    <x v="1"/>
    <d v="2018-08-20T00:00:00"/>
    <x v="147"/>
    <s v="Mumbai"/>
    <x v="4"/>
    <n v="-0.82758620689655171"/>
    <n v="2018"/>
    <n v="3"/>
  </r>
  <r>
    <s v="B-25757"/>
    <n v="17"/>
    <n v="-13"/>
    <n v="4"/>
    <x v="1"/>
    <x v="16"/>
    <x v="2"/>
    <d v="2018-08-21T00:00:00"/>
    <x v="148"/>
    <s v="Indore"/>
    <x v="4"/>
    <n v="-0.76470588235294112"/>
    <n v="2018"/>
    <n v="3"/>
  </r>
  <r>
    <s v="B-25757"/>
    <n v="34"/>
    <n v="-11"/>
    <n v="5"/>
    <x v="1"/>
    <x v="9"/>
    <x v="2"/>
    <d v="2018-08-21T00:00:00"/>
    <x v="148"/>
    <s v="Indore"/>
    <x v="4"/>
    <n v="-0.3235294117647059"/>
    <n v="2018"/>
    <n v="3"/>
  </r>
  <r>
    <s v="B-25757"/>
    <n v="98"/>
    <n v="9"/>
    <n v="2"/>
    <x v="0"/>
    <x v="15"/>
    <x v="2"/>
    <d v="2018-08-21T00:00:00"/>
    <x v="148"/>
    <s v="Indore"/>
    <x v="4"/>
    <n v="9.1836734693877556E-2"/>
    <n v="2018"/>
    <n v="3"/>
  </r>
  <r>
    <s v="B-25757"/>
    <n v="3151"/>
    <n v="-35"/>
    <n v="7"/>
    <x v="1"/>
    <x v="6"/>
    <x v="2"/>
    <d v="2018-08-21T00:00:00"/>
    <x v="148"/>
    <s v="Indore"/>
    <x v="4"/>
    <n v="-1.1107584893684545E-2"/>
    <n v="2018"/>
    <n v="3"/>
  </r>
  <r>
    <s v="B-25757"/>
    <n v="53"/>
    <n v="15"/>
    <n v="2"/>
    <x v="1"/>
    <x v="1"/>
    <x v="2"/>
    <d v="2018-08-21T00:00:00"/>
    <x v="148"/>
    <s v="Indore"/>
    <x v="4"/>
    <n v="0.28301886792452829"/>
    <n v="2018"/>
    <n v="3"/>
  </r>
  <r>
    <s v="B-25757"/>
    <n v="165"/>
    <n v="30"/>
    <n v="3"/>
    <x v="1"/>
    <x v="1"/>
    <x v="2"/>
    <d v="2018-08-21T00:00:00"/>
    <x v="148"/>
    <s v="Indore"/>
    <x v="4"/>
    <n v="0.18181818181818182"/>
    <n v="2018"/>
    <n v="3"/>
  </r>
  <r>
    <s v="B-25757"/>
    <n v="211"/>
    <n v="19"/>
    <n v="8"/>
    <x v="1"/>
    <x v="1"/>
    <x v="2"/>
    <d v="2018-08-21T00:00:00"/>
    <x v="148"/>
    <s v="Indore"/>
    <x v="4"/>
    <n v="9.004739336492891E-2"/>
    <n v="2018"/>
    <n v="3"/>
  </r>
  <r>
    <s v="B-25757"/>
    <n v="106"/>
    <n v="15"/>
    <n v="7"/>
    <x v="1"/>
    <x v="2"/>
    <x v="2"/>
    <d v="2018-08-21T00:00:00"/>
    <x v="148"/>
    <s v="Indore"/>
    <x v="4"/>
    <n v="0.14150943396226415"/>
    <n v="2018"/>
    <n v="3"/>
  </r>
  <r>
    <s v="B-25757"/>
    <n v="14"/>
    <n v="5"/>
    <n v="1"/>
    <x v="1"/>
    <x v="2"/>
    <x v="2"/>
    <d v="2018-08-21T00:00:00"/>
    <x v="148"/>
    <s v="Indore"/>
    <x v="4"/>
    <n v="0.35714285714285715"/>
    <n v="2018"/>
    <n v="3"/>
  </r>
  <r>
    <s v="B-25757"/>
    <n v="17"/>
    <n v="7"/>
    <n v="3"/>
    <x v="1"/>
    <x v="2"/>
    <x v="2"/>
    <d v="2018-08-21T00:00:00"/>
    <x v="148"/>
    <s v="Indore"/>
    <x v="4"/>
    <n v="0.41176470588235292"/>
    <n v="2018"/>
    <n v="3"/>
  </r>
  <r>
    <s v="B-25757"/>
    <n v="46"/>
    <n v="14"/>
    <n v="5"/>
    <x v="1"/>
    <x v="16"/>
    <x v="2"/>
    <d v="2018-08-21T00:00:00"/>
    <x v="148"/>
    <s v="Indore"/>
    <x v="4"/>
    <n v="0.30434782608695654"/>
    <n v="2018"/>
    <n v="3"/>
  </r>
  <r>
    <s v="B-25758"/>
    <n v="8"/>
    <n v="-2"/>
    <n v="1"/>
    <x v="1"/>
    <x v="1"/>
    <x v="13"/>
    <d v="2018-08-22T00:00:00"/>
    <x v="130"/>
    <s v="Simla"/>
    <x v="4"/>
    <n v="-0.25"/>
    <n v="2018"/>
    <n v="3"/>
  </r>
  <r>
    <s v="B-25759"/>
    <n v="20"/>
    <n v="-9"/>
    <n v="6"/>
    <x v="1"/>
    <x v="2"/>
    <x v="14"/>
    <d v="2018-08-23T00:00:00"/>
    <x v="149"/>
    <s v="Gangtok"/>
    <x v="4"/>
    <n v="-0.45"/>
    <n v="2018"/>
    <n v="3"/>
  </r>
  <r>
    <s v="B-25760"/>
    <n v="322"/>
    <n v="-193"/>
    <n v="5"/>
    <x v="2"/>
    <x v="13"/>
    <x v="15"/>
    <d v="2018-08-24T00:00:00"/>
    <x v="27"/>
    <s v="Goa"/>
    <x v="4"/>
    <n v="-0.59937888198757761"/>
    <n v="2018"/>
    <n v="3"/>
  </r>
  <r>
    <s v="B-25761"/>
    <n v="2188"/>
    <n v="1050"/>
    <n v="5"/>
    <x v="0"/>
    <x v="0"/>
    <x v="1"/>
    <d v="2018-08-25T00:00:00"/>
    <x v="112"/>
    <s v="Mumbai"/>
    <x v="4"/>
    <n v="0.47989031078610606"/>
    <n v="2018"/>
    <n v="3"/>
  </r>
  <r>
    <s v="B-25761"/>
    <n v="328"/>
    <n v="-15"/>
    <n v="3"/>
    <x v="2"/>
    <x v="3"/>
    <x v="1"/>
    <d v="2018-08-25T00:00:00"/>
    <x v="112"/>
    <s v="Mumbai"/>
    <x v="4"/>
    <n v="-4.573170731707317E-2"/>
    <n v="2018"/>
    <n v="3"/>
  </r>
  <r>
    <s v="B-25761"/>
    <n v="418"/>
    <n v="70"/>
    <n v="7"/>
    <x v="2"/>
    <x v="4"/>
    <x v="1"/>
    <d v="2018-08-25T00:00:00"/>
    <x v="112"/>
    <s v="Mumbai"/>
    <x v="4"/>
    <n v="0.1674641148325359"/>
    <n v="2018"/>
    <n v="3"/>
  </r>
  <r>
    <s v="B-25761"/>
    <n v="40"/>
    <n v="0"/>
    <n v="3"/>
    <x v="1"/>
    <x v="5"/>
    <x v="1"/>
    <d v="2018-08-25T00:00:00"/>
    <x v="112"/>
    <s v="Mumbai"/>
    <x v="4"/>
    <n v="0"/>
    <n v="2018"/>
    <n v="3"/>
  </r>
  <r>
    <s v="B-25761"/>
    <n v="102"/>
    <n v="-90"/>
    <n v="1"/>
    <x v="1"/>
    <x v="5"/>
    <x v="1"/>
    <d v="2018-08-25T00:00:00"/>
    <x v="112"/>
    <s v="Mumbai"/>
    <x v="4"/>
    <n v="-0.88235294117647056"/>
    <n v="2018"/>
    <n v="3"/>
  </r>
  <r>
    <s v="B-25761"/>
    <n v="263"/>
    <n v="-31"/>
    <n v="9"/>
    <x v="2"/>
    <x v="3"/>
    <x v="1"/>
    <d v="2018-08-25T00:00:00"/>
    <x v="112"/>
    <s v="Mumbai"/>
    <x v="4"/>
    <n v="-0.11787072243346007"/>
    <n v="2018"/>
    <n v="3"/>
  </r>
  <r>
    <s v="B-25762"/>
    <n v="1316"/>
    <n v="-527"/>
    <n v="7"/>
    <x v="2"/>
    <x v="3"/>
    <x v="2"/>
    <d v="2018-08-26T00:00:00"/>
    <x v="150"/>
    <s v="Indore"/>
    <x v="4"/>
    <n v="-0.40045592705167171"/>
    <n v="2018"/>
    <n v="3"/>
  </r>
  <r>
    <s v="B-25762"/>
    <n v="27"/>
    <n v="4"/>
    <n v="3"/>
    <x v="1"/>
    <x v="16"/>
    <x v="2"/>
    <d v="2018-08-26T00:00:00"/>
    <x v="150"/>
    <s v="Indore"/>
    <x v="4"/>
    <n v="0.14814814814814814"/>
    <n v="2018"/>
    <n v="3"/>
  </r>
  <r>
    <s v="B-25762"/>
    <n v="98"/>
    <n v="-5"/>
    <n v="2"/>
    <x v="1"/>
    <x v="5"/>
    <x v="2"/>
    <d v="2018-08-26T00:00:00"/>
    <x v="150"/>
    <s v="Indore"/>
    <x v="4"/>
    <n v="-5.1020408163265307E-2"/>
    <n v="2018"/>
    <n v="3"/>
  </r>
  <r>
    <s v="B-25763"/>
    <n v="58"/>
    <n v="-52"/>
    <n v="3"/>
    <x v="0"/>
    <x v="7"/>
    <x v="0"/>
    <d v="2018-08-27T00:00:00"/>
    <x v="151"/>
    <s v="Ahmedabad"/>
    <x v="4"/>
    <n v="-0.89655172413793105"/>
    <n v="2018"/>
    <n v="3"/>
  </r>
  <r>
    <s v="B-25764"/>
    <n v="119"/>
    <n v="43"/>
    <n v="5"/>
    <x v="1"/>
    <x v="9"/>
    <x v="1"/>
    <d v="2018-08-28T00:00:00"/>
    <x v="152"/>
    <s v="Pune"/>
    <x v="4"/>
    <n v="0.36134453781512604"/>
    <n v="2018"/>
    <n v="3"/>
  </r>
  <r>
    <s v="B-25764"/>
    <n v="765"/>
    <n v="-153"/>
    <n v="2"/>
    <x v="2"/>
    <x v="4"/>
    <x v="1"/>
    <d v="2018-08-28T00:00:00"/>
    <x v="152"/>
    <s v="Pune"/>
    <x v="4"/>
    <n v="-0.2"/>
    <n v="2018"/>
    <n v="3"/>
  </r>
  <r>
    <s v="B-25764"/>
    <n v="26"/>
    <n v="0"/>
    <n v="2"/>
    <x v="1"/>
    <x v="8"/>
    <x v="1"/>
    <d v="2018-08-28T00:00:00"/>
    <x v="152"/>
    <s v="Pune"/>
    <x v="4"/>
    <n v="0"/>
    <n v="2018"/>
    <n v="3"/>
  </r>
  <r>
    <s v="B-25764"/>
    <n v="24"/>
    <n v="-24"/>
    <n v="2"/>
    <x v="1"/>
    <x v="5"/>
    <x v="1"/>
    <d v="2018-08-28T00:00:00"/>
    <x v="152"/>
    <s v="Pune"/>
    <x v="4"/>
    <n v="-1"/>
    <n v="2018"/>
    <n v="3"/>
  </r>
  <r>
    <s v="B-25765"/>
    <n v="139"/>
    <n v="14"/>
    <n v="3"/>
    <x v="1"/>
    <x v="1"/>
    <x v="2"/>
    <d v="2018-08-29T00:00:00"/>
    <x v="153"/>
    <s v="Bhopal"/>
    <x v="4"/>
    <n v="0.10071942446043165"/>
    <n v="2018"/>
    <n v="3"/>
  </r>
  <r>
    <s v="B-25766"/>
    <n v="220"/>
    <n v="-19"/>
    <n v="2"/>
    <x v="1"/>
    <x v="5"/>
    <x v="3"/>
    <d v="2018-08-30T00:00:00"/>
    <x v="112"/>
    <s v="Jaipur"/>
    <x v="4"/>
    <n v="-8.6363636363636365E-2"/>
    <n v="2018"/>
    <n v="3"/>
  </r>
  <r>
    <s v="B-25767"/>
    <n v="299"/>
    <n v="-28"/>
    <n v="3"/>
    <x v="2"/>
    <x v="3"/>
    <x v="4"/>
    <d v="2018-08-31T00:00:00"/>
    <x v="154"/>
    <s v="Kolkata"/>
    <x v="4"/>
    <n v="-9.3645484949832769E-2"/>
    <n v="2018"/>
    <n v="3"/>
  </r>
  <r>
    <s v="B-25767"/>
    <n v="9"/>
    <n v="-9"/>
    <n v="2"/>
    <x v="1"/>
    <x v="8"/>
    <x v="4"/>
    <d v="2018-08-31T00:00:00"/>
    <x v="154"/>
    <s v="Kolkata"/>
    <x v="4"/>
    <n v="-1"/>
    <n v="2018"/>
    <n v="3"/>
  </r>
  <r>
    <s v="B-25767"/>
    <n v="74"/>
    <n v="-59"/>
    <n v="2"/>
    <x v="2"/>
    <x v="14"/>
    <x v="4"/>
    <d v="2018-08-31T00:00:00"/>
    <x v="154"/>
    <s v="Kolkata"/>
    <x v="4"/>
    <n v="-0.79729729729729726"/>
    <n v="2018"/>
    <n v="3"/>
  </r>
  <r>
    <s v="B-25767"/>
    <n v="29"/>
    <n v="-3"/>
    <n v="3"/>
    <x v="1"/>
    <x v="5"/>
    <x v="4"/>
    <d v="2018-08-31T00:00:00"/>
    <x v="154"/>
    <s v="Kolkata"/>
    <x v="4"/>
    <n v="-0.10344827586206896"/>
    <n v="2018"/>
    <n v="3"/>
  </r>
  <r>
    <s v="B-25767"/>
    <n v="48"/>
    <n v="-22"/>
    <n v="2"/>
    <x v="1"/>
    <x v="5"/>
    <x v="4"/>
    <d v="2018-08-31T00:00:00"/>
    <x v="154"/>
    <s v="Kolkata"/>
    <x v="4"/>
    <n v="-0.45833333333333331"/>
    <n v="2018"/>
    <n v="3"/>
  </r>
  <r>
    <s v="B-25768"/>
    <n v="1582"/>
    <n v="-443"/>
    <n v="6"/>
    <x v="1"/>
    <x v="6"/>
    <x v="5"/>
    <d v="2018-09-01T00:00:00"/>
    <x v="155"/>
    <s v="Bangalore"/>
    <x v="5"/>
    <n v="-0.28002528445006319"/>
    <n v="2018"/>
    <n v="3"/>
  </r>
  <r>
    <s v="B-25769"/>
    <n v="355"/>
    <n v="-4"/>
    <n v="2"/>
    <x v="1"/>
    <x v="5"/>
    <x v="1"/>
    <d v="2018-09-02T00:00:00"/>
    <x v="156"/>
    <s v="Mumbai"/>
    <x v="5"/>
    <n v="-1.1267605633802818E-2"/>
    <n v="2018"/>
    <n v="3"/>
  </r>
  <r>
    <s v="B-25770"/>
    <n v="375"/>
    <n v="180"/>
    <n v="3"/>
    <x v="0"/>
    <x v="0"/>
    <x v="2"/>
    <d v="2018-09-02T00:00:00"/>
    <x v="107"/>
    <s v="Indore"/>
    <x v="5"/>
    <n v="0.48"/>
    <n v="2018"/>
    <n v="3"/>
  </r>
  <r>
    <s v="B-25770"/>
    <n v="299"/>
    <n v="113"/>
    <n v="2"/>
    <x v="0"/>
    <x v="0"/>
    <x v="2"/>
    <d v="2018-09-02T00:00:00"/>
    <x v="107"/>
    <s v="Indore"/>
    <x v="5"/>
    <n v="0.3779264214046823"/>
    <n v="2018"/>
    <n v="3"/>
  </r>
  <r>
    <s v="B-25770"/>
    <n v="287"/>
    <n v="-280"/>
    <n v="12"/>
    <x v="0"/>
    <x v="7"/>
    <x v="2"/>
    <d v="2018-09-02T00:00:00"/>
    <x v="107"/>
    <s v="Indore"/>
    <x v="5"/>
    <n v="-0.97560975609756095"/>
    <n v="2018"/>
    <n v="3"/>
  </r>
  <r>
    <s v="B-25770"/>
    <n v="110"/>
    <n v="35"/>
    <n v="1"/>
    <x v="0"/>
    <x v="15"/>
    <x v="2"/>
    <d v="2018-09-02T00:00:00"/>
    <x v="107"/>
    <s v="Indore"/>
    <x v="5"/>
    <n v="0.31818181818181818"/>
    <n v="2018"/>
    <n v="3"/>
  </r>
  <r>
    <s v="B-25771"/>
    <n v="148"/>
    <n v="59"/>
    <n v="3"/>
    <x v="1"/>
    <x v="2"/>
    <x v="8"/>
    <d v="2018-09-02T00:00:00"/>
    <x v="157"/>
    <s v="Lucknow"/>
    <x v="5"/>
    <n v="0.39864864864864863"/>
    <n v="2018"/>
    <n v="3"/>
  </r>
  <r>
    <s v="B-25772"/>
    <n v="1183"/>
    <n v="106"/>
    <n v="4"/>
    <x v="2"/>
    <x v="13"/>
    <x v="9"/>
    <d v="2018-09-02T00:00:00"/>
    <x v="158"/>
    <s v="Patna"/>
    <x v="5"/>
    <n v="8.960270498732037E-2"/>
    <n v="2018"/>
    <n v="3"/>
  </r>
  <r>
    <s v="B-25773"/>
    <n v="248"/>
    <n v="-70"/>
    <n v="3"/>
    <x v="0"/>
    <x v="7"/>
    <x v="10"/>
    <d v="2018-09-06T00:00:00"/>
    <x v="74"/>
    <s v="Thiruvananthapuram"/>
    <x v="5"/>
    <n v="-0.28225806451612906"/>
    <n v="2018"/>
    <n v="3"/>
  </r>
  <r>
    <s v="B-25773"/>
    <n v="85"/>
    <n v="-9"/>
    <n v="4"/>
    <x v="1"/>
    <x v="5"/>
    <x v="10"/>
    <d v="2018-09-06T00:00:00"/>
    <x v="74"/>
    <s v="Thiruvananthapuram"/>
    <x v="5"/>
    <n v="-0.10588235294117647"/>
    <n v="2018"/>
    <n v="3"/>
  </r>
  <r>
    <s v="B-25773"/>
    <n v="24"/>
    <n v="-14"/>
    <n v="2"/>
    <x v="1"/>
    <x v="5"/>
    <x v="10"/>
    <d v="2018-09-06T00:00:00"/>
    <x v="74"/>
    <s v="Thiruvananthapuram"/>
    <x v="5"/>
    <n v="-0.58333333333333337"/>
    <n v="2018"/>
    <n v="3"/>
  </r>
  <r>
    <s v="B-25773"/>
    <n v="209"/>
    <n v="-21"/>
    <n v="2"/>
    <x v="2"/>
    <x v="3"/>
    <x v="10"/>
    <d v="2018-09-06T00:00:00"/>
    <x v="74"/>
    <s v="Thiruvananthapuram"/>
    <x v="5"/>
    <n v="-0.10047846889952153"/>
    <n v="2018"/>
    <n v="3"/>
  </r>
  <r>
    <s v="B-25773"/>
    <n v="224"/>
    <n v="-143"/>
    <n v="3"/>
    <x v="0"/>
    <x v="7"/>
    <x v="10"/>
    <d v="2018-09-06T00:00:00"/>
    <x v="74"/>
    <s v="Thiruvananthapuram"/>
    <x v="5"/>
    <n v="-0.6383928571428571"/>
    <n v="2018"/>
    <n v="3"/>
  </r>
  <r>
    <s v="B-25774"/>
    <n v="38"/>
    <n v="-6"/>
    <n v="2"/>
    <x v="0"/>
    <x v="15"/>
    <x v="11"/>
    <d v="2018-09-07T00:00:00"/>
    <x v="159"/>
    <s v="Chandigarh"/>
    <x v="5"/>
    <n v="-0.15789473684210525"/>
    <n v="2018"/>
    <n v="3"/>
  </r>
  <r>
    <s v="B-25775"/>
    <n v="50"/>
    <n v="-17"/>
    <n v="2"/>
    <x v="1"/>
    <x v="1"/>
    <x v="12"/>
    <d v="2018-09-08T00:00:00"/>
    <x v="160"/>
    <s v="Chandigarh"/>
    <x v="5"/>
    <n v="-0.34"/>
    <n v="2018"/>
    <n v="3"/>
  </r>
  <r>
    <s v="B-25776"/>
    <n v="47"/>
    <n v="-20"/>
    <n v="2"/>
    <x v="1"/>
    <x v="8"/>
    <x v="1"/>
    <d v="2018-09-09T00:00:00"/>
    <x v="161"/>
    <s v="Mumbai"/>
    <x v="5"/>
    <n v="-0.42553191489361702"/>
    <n v="2018"/>
    <n v="3"/>
  </r>
  <r>
    <s v="B-25777"/>
    <n v="61"/>
    <n v="-25"/>
    <n v="4"/>
    <x v="2"/>
    <x v="14"/>
    <x v="2"/>
    <d v="2018-09-10T00:00:00"/>
    <x v="162"/>
    <s v="Indore"/>
    <x v="5"/>
    <n v="-0.4098360655737705"/>
    <n v="2018"/>
    <n v="3"/>
  </r>
  <r>
    <s v="B-25777"/>
    <n v="69"/>
    <n v="-67"/>
    <n v="4"/>
    <x v="1"/>
    <x v="8"/>
    <x v="2"/>
    <d v="2018-09-10T00:00:00"/>
    <x v="162"/>
    <s v="Indore"/>
    <x v="5"/>
    <n v="-0.97101449275362317"/>
    <n v="2018"/>
    <n v="3"/>
  </r>
  <r>
    <s v="B-25777"/>
    <n v="59"/>
    <n v="-46"/>
    <n v="7"/>
    <x v="1"/>
    <x v="9"/>
    <x v="2"/>
    <d v="2018-09-10T00:00:00"/>
    <x v="162"/>
    <s v="Indore"/>
    <x v="5"/>
    <n v="-0.77966101694915257"/>
    <n v="2018"/>
    <n v="3"/>
  </r>
  <r>
    <s v="B-25777"/>
    <n v="117"/>
    <n v="17"/>
    <n v="6"/>
    <x v="1"/>
    <x v="8"/>
    <x v="2"/>
    <d v="2018-09-10T00:00:00"/>
    <x v="162"/>
    <s v="Indore"/>
    <x v="5"/>
    <n v="0.14529914529914531"/>
    <n v="2018"/>
    <n v="3"/>
  </r>
  <r>
    <s v="B-25777"/>
    <n v="1076"/>
    <n v="-38"/>
    <n v="4"/>
    <x v="2"/>
    <x v="13"/>
    <x v="2"/>
    <d v="2018-09-10T00:00:00"/>
    <x v="162"/>
    <s v="Indore"/>
    <x v="5"/>
    <n v="-3.5315985130111527E-2"/>
    <n v="2018"/>
    <n v="3"/>
  </r>
  <r>
    <s v="B-25778"/>
    <n v="1506"/>
    <n v="-266"/>
    <n v="6"/>
    <x v="2"/>
    <x v="13"/>
    <x v="1"/>
    <d v="2018-09-11T00:00:00"/>
    <x v="112"/>
    <s v="Mumbai"/>
    <x v="5"/>
    <n v="-0.17662682602921648"/>
    <n v="2018"/>
    <n v="3"/>
  </r>
  <r>
    <s v="B-25778"/>
    <n v="109"/>
    <n v="-6"/>
    <n v="6"/>
    <x v="1"/>
    <x v="5"/>
    <x v="1"/>
    <d v="2018-09-11T00:00:00"/>
    <x v="112"/>
    <s v="Mumbai"/>
    <x v="5"/>
    <n v="-5.5045871559633031E-2"/>
    <n v="2018"/>
    <n v="3"/>
  </r>
  <r>
    <s v="B-25778"/>
    <n v="933"/>
    <n v="166"/>
    <n v="5"/>
    <x v="1"/>
    <x v="5"/>
    <x v="1"/>
    <d v="2018-09-11T00:00:00"/>
    <x v="112"/>
    <s v="Mumbai"/>
    <x v="5"/>
    <n v="0.17792068595927116"/>
    <n v="2018"/>
    <n v="3"/>
  </r>
  <r>
    <s v="B-25778"/>
    <n v="724"/>
    <n v="-447"/>
    <n v="4"/>
    <x v="2"/>
    <x v="3"/>
    <x v="1"/>
    <d v="2018-09-11T00:00:00"/>
    <x v="112"/>
    <s v="Mumbai"/>
    <x v="5"/>
    <n v="-0.61740331491712708"/>
    <n v="2018"/>
    <n v="3"/>
  </r>
  <r>
    <s v="B-25779"/>
    <n v="1361"/>
    <n v="-980"/>
    <n v="3"/>
    <x v="0"/>
    <x v="12"/>
    <x v="2"/>
    <d v="2018-09-12T00:00:00"/>
    <x v="163"/>
    <s v="Indore"/>
    <x v="5"/>
    <n v="-0.7200587803085966"/>
    <n v="2018"/>
    <n v="3"/>
  </r>
  <r>
    <s v="B-25780"/>
    <n v="137"/>
    <n v="-41"/>
    <n v="3"/>
    <x v="2"/>
    <x v="4"/>
    <x v="17"/>
    <d v="2018-09-13T00:00:00"/>
    <x v="164"/>
    <s v="Hyderabad"/>
    <x v="5"/>
    <n v="-0.29927007299270075"/>
    <n v="2018"/>
    <n v="3"/>
  </r>
  <r>
    <s v="B-25781"/>
    <n v="60"/>
    <n v="-49"/>
    <n v="8"/>
    <x v="1"/>
    <x v="2"/>
    <x v="0"/>
    <d v="2018-09-14T00:00:00"/>
    <x v="165"/>
    <s v="Ahmedabad"/>
    <x v="5"/>
    <n v="-0.81666666666666665"/>
    <n v="2018"/>
    <n v="3"/>
  </r>
  <r>
    <s v="B-25781"/>
    <n v="30"/>
    <n v="-25"/>
    <n v="2"/>
    <x v="1"/>
    <x v="9"/>
    <x v="0"/>
    <d v="2018-09-14T00:00:00"/>
    <x v="165"/>
    <s v="Ahmedabad"/>
    <x v="5"/>
    <n v="-0.83333333333333337"/>
    <n v="2018"/>
    <n v="3"/>
  </r>
  <r>
    <s v="B-25781"/>
    <n v="767"/>
    <n v="-353"/>
    <n v="5"/>
    <x v="1"/>
    <x v="6"/>
    <x v="0"/>
    <d v="2018-09-14T00:00:00"/>
    <x v="165"/>
    <s v="Ahmedabad"/>
    <x v="5"/>
    <n v="-0.46023468057366362"/>
    <n v="2018"/>
    <n v="3"/>
  </r>
  <r>
    <s v="B-25781"/>
    <n v="45"/>
    <n v="-28"/>
    <n v="2"/>
    <x v="1"/>
    <x v="1"/>
    <x v="0"/>
    <d v="2018-09-14T00:00:00"/>
    <x v="165"/>
    <s v="Ahmedabad"/>
    <x v="5"/>
    <n v="-0.62222222222222223"/>
    <n v="2018"/>
    <n v="3"/>
  </r>
  <r>
    <s v="B-25781"/>
    <n v="25"/>
    <n v="-1"/>
    <n v="4"/>
    <x v="1"/>
    <x v="8"/>
    <x v="0"/>
    <d v="2018-09-14T00:00:00"/>
    <x v="165"/>
    <s v="Ahmedabad"/>
    <x v="5"/>
    <n v="-0.04"/>
    <n v="2018"/>
    <n v="3"/>
  </r>
  <r>
    <s v="B-25781"/>
    <n v="584"/>
    <n v="-444"/>
    <n v="7"/>
    <x v="2"/>
    <x v="13"/>
    <x v="0"/>
    <d v="2018-09-14T00:00:00"/>
    <x v="165"/>
    <s v="Ahmedabad"/>
    <x v="5"/>
    <n v="-0.76027397260273977"/>
    <n v="2018"/>
    <n v="3"/>
  </r>
  <r>
    <s v="B-25782"/>
    <n v="335"/>
    <n v="-22"/>
    <n v="7"/>
    <x v="0"/>
    <x v="7"/>
    <x v="1"/>
    <d v="2018-09-15T00:00:00"/>
    <x v="79"/>
    <s v="Mumbai"/>
    <x v="5"/>
    <n v="-6.5671641791044774E-2"/>
    <n v="2018"/>
    <n v="3"/>
  </r>
  <r>
    <s v="B-25783"/>
    <n v="25"/>
    <n v="-11"/>
    <n v="1"/>
    <x v="1"/>
    <x v="1"/>
    <x v="2"/>
    <d v="2018-09-15T00:00:00"/>
    <x v="166"/>
    <s v="Indore"/>
    <x v="5"/>
    <n v="-0.44"/>
    <n v="2018"/>
    <n v="3"/>
  </r>
  <r>
    <s v="B-25783"/>
    <n v="30"/>
    <n v="-6"/>
    <n v="2"/>
    <x v="1"/>
    <x v="2"/>
    <x v="2"/>
    <d v="2018-09-15T00:00:00"/>
    <x v="166"/>
    <s v="Indore"/>
    <x v="5"/>
    <n v="-0.2"/>
    <n v="2018"/>
    <n v="3"/>
  </r>
  <r>
    <s v="B-25783"/>
    <n v="33"/>
    <n v="-10"/>
    <n v="6"/>
    <x v="1"/>
    <x v="11"/>
    <x v="2"/>
    <d v="2018-09-15T00:00:00"/>
    <x v="166"/>
    <s v="Indore"/>
    <x v="5"/>
    <n v="-0.30303030303030304"/>
    <n v="2018"/>
    <n v="3"/>
  </r>
  <r>
    <s v="B-25783"/>
    <n v="21"/>
    <n v="-17"/>
    <n v="3"/>
    <x v="1"/>
    <x v="10"/>
    <x v="2"/>
    <d v="2018-09-15T00:00:00"/>
    <x v="166"/>
    <s v="Indore"/>
    <x v="5"/>
    <n v="-0.80952380952380953"/>
    <n v="2018"/>
    <n v="3"/>
  </r>
  <r>
    <s v="B-25783"/>
    <n v="26"/>
    <n v="2"/>
    <n v="2"/>
    <x v="1"/>
    <x v="2"/>
    <x v="2"/>
    <d v="2018-09-15T00:00:00"/>
    <x v="166"/>
    <s v="Indore"/>
    <x v="5"/>
    <n v="7.6923076923076927E-2"/>
    <n v="2018"/>
    <n v="3"/>
  </r>
  <r>
    <s v="B-25784"/>
    <n v="15"/>
    <n v="4"/>
    <n v="1"/>
    <x v="1"/>
    <x v="2"/>
    <x v="3"/>
    <d v="2018-09-15T00:00:00"/>
    <x v="167"/>
    <s v="Jaipur"/>
    <x v="5"/>
    <n v="0.26666666666666666"/>
    <n v="2018"/>
    <n v="3"/>
  </r>
  <r>
    <s v="B-25785"/>
    <n v="595"/>
    <n v="292"/>
    <n v="3"/>
    <x v="1"/>
    <x v="5"/>
    <x v="4"/>
    <d v="2018-09-15T00:00:00"/>
    <x v="131"/>
    <s v="Kolkata"/>
    <x v="5"/>
    <n v="0.49075630252100838"/>
    <n v="2018"/>
    <n v="3"/>
  </r>
  <r>
    <s v="B-25785"/>
    <n v="45"/>
    <n v="0"/>
    <n v="2"/>
    <x v="1"/>
    <x v="9"/>
    <x v="4"/>
    <d v="2018-09-15T00:00:00"/>
    <x v="131"/>
    <s v="Kolkata"/>
    <x v="5"/>
    <n v="0"/>
    <n v="2018"/>
    <n v="3"/>
  </r>
  <r>
    <s v="B-25785"/>
    <n v="192"/>
    <n v="-146"/>
    <n v="3"/>
    <x v="1"/>
    <x v="5"/>
    <x v="4"/>
    <d v="2018-09-15T00:00:00"/>
    <x v="131"/>
    <s v="Kolkata"/>
    <x v="5"/>
    <n v="-0.76041666666666663"/>
    <n v="2018"/>
    <n v="3"/>
  </r>
  <r>
    <s v="B-25785"/>
    <n v="26"/>
    <n v="-25"/>
    <n v="3"/>
    <x v="1"/>
    <x v="5"/>
    <x v="4"/>
    <d v="2018-09-15T00:00:00"/>
    <x v="131"/>
    <s v="Kolkata"/>
    <x v="5"/>
    <n v="-0.96153846153846156"/>
    <n v="2018"/>
    <n v="3"/>
  </r>
  <r>
    <s v="B-25786"/>
    <n v="1854"/>
    <n v="433"/>
    <n v="5"/>
    <x v="0"/>
    <x v="0"/>
    <x v="5"/>
    <d v="2018-09-19T00:00:00"/>
    <x v="168"/>
    <s v="Bangalore"/>
    <x v="5"/>
    <n v="0.23354908306364616"/>
    <n v="2018"/>
    <n v="3"/>
  </r>
  <r>
    <s v="B-25786"/>
    <n v="623"/>
    <n v="-192"/>
    <n v="3"/>
    <x v="0"/>
    <x v="12"/>
    <x v="5"/>
    <d v="2018-09-19T00:00:00"/>
    <x v="168"/>
    <s v="Bangalore"/>
    <x v="5"/>
    <n v="-0.30818619582664525"/>
    <n v="2018"/>
    <n v="3"/>
  </r>
  <r>
    <s v="B-25786"/>
    <n v="44"/>
    <n v="-34"/>
    <n v="3"/>
    <x v="1"/>
    <x v="1"/>
    <x v="5"/>
    <d v="2018-09-19T00:00:00"/>
    <x v="168"/>
    <s v="Bangalore"/>
    <x v="5"/>
    <n v="-0.77272727272727271"/>
    <n v="2018"/>
    <n v="3"/>
  </r>
  <r>
    <s v="B-25786"/>
    <n v="17"/>
    <n v="-11"/>
    <n v="3"/>
    <x v="1"/>
    <x v="16"/>
    <x v="5"/>
    <d v="2018-09-19T00:00:00"/>
    <x v="168"/>
    <s v="Bangalore"/>
    <x v="5"/>
    <n v="-0.6470588235294118"/>
    <n v="2018"/>
    <n v="3"/>
  </r>
  <r>
    <s v="B-25787"/>
    <n v="556"/>
    <n v="-209"/>
    <n v="7"/>
    <x v="1"/>
    <x v="5"/>
    <x v="6"/>
    <d v="2018-09-20T00:00:00"/>
    <x v="169"/>
    <s v="Kashmir"/>
    <x v="5"/>
    <n v="-0.37589928057553956"/>
    <n v="2018"/>
    <n v="3"/>
  </r>
  <r>
    <s v="B-25787"/>
    <n v="40"/>
    <n v="-12"/>
    <n v="3"/>
    <x v="1"/>
    <x v="10"/>
    <x v="6"/>
    <d v="2018-09-20T00:00:00"/>
    <x v="169"/>
    <s v="Kashmir"/>
    <x v="5"/>
    <n v="-0.3"/>
    <n v="2018"/>
    <n v="3"/>
  </r>
  <r>
    <s v="B-25787"/>
    <n v="229"/>
    <n v="-41"/>
    <n v="8"/>
    <x v="2"/>
    <x v="14"/>
    <x v="6"/>
    <d v="2018-09-20T00:00:00"/>
    <x v="169"/>
    <s v="Kashmir"/>
    <x v="5"/>
    <n v="-0.17903930131004367"/>
    <n v="2018"/>
    <n v="3"/>
  </r>
  <r>
    <s v="B-25787"/>
    <n v="140"/>
    <n v="-58"/>
    <n v="4"/>
    <x v="0"/>
    <x v="15"/>
    <x v="6"/>
    <d v="2018-09-20T00:00:00"/>
    <x v="169"/>
    <s v="Kashmir"/>
    <x v="5"/>
    <n v="-0.41428571428571431"/>
    <n v="2018"/>
    <n v="3"/>
  </r>
  <r>
    <s v="B-25788"/>
    <n v="12"/>
    <n v="3"/>
    <n v="1"/>
    <x v="1"/>
    <x v="1"/>
    <x v="7"/>
    <d v="2018-09-21T00:00:00"/>
    <x v="170"/>
    <s v="Chennai"/>
    <x v="5"/>
    <n v="0.25"/>
    <n v="2018"/>
    <n v="3"/>
  </r>
  <r>
    <s v="B-25789"/>
    <n v="30"/>
    <n v="0"/>
    <n v="1"/>
    <x v="1"/>
    <x v="8"/>
    <x v="8"/>
    <d v="2018-09-22T00:00:00"/>
    <x v="145"/>
    <s v="Lucknow"/>
    <x v="5"/>
    <n v="0"/>
    <n v="2018"/>
    <n v="3"/>
  </r>
  <r>
    <s v="B-25789"/>
    <n v="313"/>
    <n v="-13"/>
    <n v="5"/>
    <x v="0"/>
    <x v="0"/>
    <x v="8"/>
    <d v="2018-09-22T00:00:00"/>
    <x v="145"/>
    <s v="Lucknow"/>
    <x v="5"/>
    <n v="-4.1533546325878593E-2"/>
    <n v="2018"/>
    <n v="3"/>
  </r>
  <r>
    <s v="B-25789"/>
    <n v="67"/>
    <n v="-86"/>
    <n v="9"/>
    <x v="0"/>
    <x v="15"/>
    <x v="8"/>
    <d v="2018-09-22T00:00:00"/>
    <x v="145"/>
    <s v="Lucknow"/>
    <x v="5"/>
    <n v="-1.2835820895522387"/>
    <n v="2018"/>
    <n v="3"/>
  </r>
  <r>
    <s v="B-25790"/>
    <n v="42"/>
    <n v="-3"/>
    <n v="1"/>
    <x v="2"/>
    <x v="3"/>
    <x v="9"/>
    <d v="2018-09-23T00:00:00"/>
    <x v="171"/>
    <s v="Patna"/>
    <x v="5"/>
    <n v="-7.1428571428571425E-2"/>
    <n v="2018"/>
    <n v="3"/>
  </r>
  <r>
    <s v="B-25791"/>
    <n v="253"/>
    <n v="-63"/>
    <n v="2"/>
    <x v="1"/>
    <x v="5"/>
    <x v="10"/>
    <d v="2018-09-24T00:00:00"/>
    <x v="172"/>
    <s v="Thiruvananthapuram"/>
    <x v="5"/>
    <n v="-0.24901185770750989"/>
    <n v="2018"/>
    <n v="3"/>
  </r>
  <r>
    <s v="B-25791"/>
    <n v="565"/>
    <n v="66"/>
    <n v="7"/>
    <x v="1"/>
    <x v="5"/>
    <x v="10"/>
    <d v="2018-09-24T00:00:00"/>
    <x v="172"/>
    <s v="Thiruvananthapuram"/>
    <x v="5"/>
    <n v="0.1168141592920354"/>
    <n v="2018"/>
    <n v="3"/>
  </r>
  <r>
    <s v="B-25791"/>
    <n v="175"/>
    <n v="77"/>
    <n v="3"/>
    <x v="1"/>
    <x v="5"/>
    <x v="10"/>
    <d v="2018-09-24T00:00:00"/>
    <x v="172"/>
    <s v="Thiruvananthapuram"/>
    <x v="5"/>
    <n v="0.44"/>
    <n v="2018"/>
    <n v="3"/>
  </r>
  <r>
    <s v="B-25792"/>
    <n v="74"/>
    <n v="-25"/>
    <n v="3"/>
    <x v="1"/>
    <x v="1"/>
    <x v="1"/>
    <d v="2018-09-24T00:00:00"/>
    <x v="168"/>
    <s v="Mumbai"/>
    <x v="5"/>
    <n v="-0.33783783783783783"/>
    <n v="2018"/>
    <n v="3"/>
  </r>
  <r>
    <s v="B-25793"/>
    <n v="40"/>
    <n v="-33"/>
    <n v="5"/>
    <x v="1"/>
    <x v="2"/>
    <x v="2"/>
    <d v="2018-09-24T00:00:00"/>
    <x v="173"/>
    <s v="Indore"/>
    <x v="5"/>
    <n v="-0.82499999999999996"/>
    <n v="2018"/>
    <n v="3"/>
  </r>
  <r>
    <s v="B-25793"/>
    <n v="63"/>
    <n v="-24"/>
    <n v="6"/>
    <x v="1"/>
    <x v="8"/>
    <x v="2"/>
    <d v="2018-09-24T00:00:00"/>
    <x v="173"/>
    <s v="Indore"/>
    <x v="5"/>
    <n v="-0.38095238095238093"/>
    <n v="2018"/>
    <n v="3"/>
  </r>
  <r>
    <s v="B-25793"/>
    <n v="60"/>
    <n v="-12"/>
    <n v="4"/>
    <x v="1"/>
    <x v="2"/>
    <x v="2"/>
    <d v="2018-09-24T00:00:00"/>
    <x v="173"/>
    <s v="Indore"/>
    <x v="5"/>
    <n v="-0.2"/>
    <n v="2018"/>
    <n v="3"/>
  </r>
  <r>
    <s v="B-25793"/>
    <n v="257"/>
    <n v="-252"/>
    <n v="4"/>
    <x v="1"/>
    <x v="5"/>
    <x v="2"/>
    <d v="2018-09-24T00:00:00"/>
    <x v="173"/>
    <s v="Indore"/>
    <x v="5"/>
    <n v="-0.98054474708171202"/>
    <n v="2018"/>
    <n v="3"/>
  </r>
  <r>
    <s v="B-25793"/>
    <n v="24"/>
    <n v="-1"/>
    <n v="4"/>
    <x v="1"/>
    <x v="16"/>
    <x v="2"/>
    <d v="2018-09-24T00:00:00"/>
    <x v="173"/>
    <s v="Indore"/>
    <x v="5"/>
    <n v="-4.1666666666666664E-2"/>
    <n v="2018"/>
    <n v="3"/>
  </r>
  <r>
    <s v="B-25793"/>
    <n v="18"/>
    <n v="1"/>
    <n v="3"/>
    <x v="1"/>
    <x v="2"/>
    <x v="2"/>
    <d v="2018-09-24T00:00:00"/>
    <x v="173"/>
    <s v="Indore"/>
    <x v="5"/>
    <n v="5.5555555555555552E-2"/>
    <n v="2018"/>
    <n v="3"/>
  </r>
  <r>
    <s v="B-25793"/>
    <n v="1402"/>
    <n v="109"/>
    <n v="11"/>
    <x v="1"/>
    <x v="5"/>
    <x v="2"/>
    <d v="2018-09-24T00:00:00"/>
    <x v="173"/>
    <s v="Indore"/>
    <x v="5"/>
    <n v="7.7746077032810265E-2"/>
    <n v="2018"/>
    <n v="3"/>
  </r>
  <r>
    <s v="B-25794"/>
    <n v="176"/>
    <n v="37"/>
    <n v="6"/>
    <x v="2"/>
    <x v="14"/>
    <x v="13"/>
    <d v="2018-09-24T00:00:00"/>
    <x v="47"/>
    <s v="Simla"/>
    <x v="5"/>
    <n v="0.21022727272727273"/>
    <n v="2018"/>
    <n v="3"/>
  </r>
  <r>
    <s v="B-25795"/>
    <n v="276"/>
    <n v="-21"/>
    <n v="2"/>
    <x v="2"/>
    <x v="4"/>
    <x v="14"/>
    <d v="2018-09-24T00:00:00"/>
    <x v="174"/>
    <s v="Gangtok"/>
    <x v="5"/>
    <n v="-7.6086956521739135E-2"/>
    <n v="2018"/>
    <n v="3"/>
  </r>
  <r>
    <s v="B-25796"/>
    <n v="37"/>
    <n v="-6"/>
    <n v="1"/>
    <x v="1"/>
    <x v="5"/>
    <x v="1"/>
    <d v="2018-09-24T00:00:00"/>
    <x v="175"/>
    <s v="Mumbai"/>
    <x v="5"/>
    <n v="-0.16216216216216217"/>
    <n v="2018"/>
    <n v="3"/>
  </r>
  <r>
    <s v="B-25796"/>
    <n v="28"/>
    <n v="1"/>
    <n v="1"/>
    <x v="2"/>
    <x v="14"/>
    <x v="1"/>
    <d v="2018-09-24T00:00:00"/>
    <x v="175"/>
    <s v="Mumbai"/>
    <x v="5"/>
    <n v="3.5714285714285712E-2"/>
    <n v="2018"/>
    <n v="3"/>
  </r>
  <r>
    <s v="B-25796"/>
    <n v="239"/>
    <n v="-162"/>
    <n v="5"/>
    <x v="0"/>
    <x v="7"/>
    <x v="1"/>
    <d v="2018-09-24T00:00:00"/>
    <x v="175"/>
    <s v="Mumbai"/>
    <x v="5"/>
    <n v="-0.67782426778242677"/>
    <n v="2018"/>
    <n v="3"/>
  </r>
  <r>
    <s v="B-25796"/>
    <n v="78"/>
    <n v="-64"/>
    <n v="7"/>
    <x v="1"/>
    <x v="1"/>
    <x v="1"/>
    <d v="2018-09-24T00:00:00"/>
    <x v="175"/>
    <s v="Mumbai"/>
    <x v="5"/>
    <n v="-0.82051282051282048"/>
    <n v="2018"/>
    <n v="3"/>
  </r>
  <r>
    <s v="B-25796"/>
    <n v="632"/>
    <n v="-316"/>
    <n v="6"/>
    <x v="1"/>
    <x v="5"/>
    <x v="1"/>
    <d v="2018-09-24T00:00:00"/>
    <x v="175"/>
    <s v="Mumbai"/>
    <x v="5"/>
    <n v="-0.5"/>
    <n v="2018"/>
    <n v="3"/>
  </r>
  <r>
    <s v="B-25796"/>
    <n v="559"/>
    <n v="-19"/>
    <n v="2"/>
    <x v="1"/>
    <x v="6"/>
    <x v="1"/>
    <d v="2018-09-24T00:00:00"/>
    <x v="175"/>
    <s v="Mumbai"/>
    <x v="5"/>
    <n v="-3.3989266547406083E-2"/>
    <n v="2018"/>
    <n v="3"/>
  </r>
  <r>
    <s v="B-25796"/>
    <n v="148"/>
    <n v="0"/>
    <n v="3"/>
    <x v="1"/>
    <x v="5"/>
    <x v="1"/>
    <d v="2018-09-24T00:00:00"/>
    <x v="175"/>
    <s v="Mumbai"/>
    <x v="5"/>
    <n v="0"/>
    <n v="2018"/>
    <n v="3"/>
  </r>
  <r>
    <s v="B-25797"/>
    <n v="976"/>
    <n v="293"/>
    <n v="4"/>
    <x v="2"/>
    <x v="14"/>
    <x v="2"/>
    <d v="2018-09-30T00:00:00"/>
    <x v="176"/>
    <s v="Indore"/>
    <x v="5"/>
    <n v="0.30020491803278687"/>
    <n v="2018"/>
    <n v="3"/>
  </r>
  <r>
    <s v="B-25797"/>
    <n v="148"/>
    <n v="-101"/>
    <n v="2"/>
    <x v="0"/>
    <x v="0"/>
    <x v="2"/>
    <d v="2018-09-30T00:00:00"/>
    <x v="176"/>
    <s v="Indore"/>
    <x v="5"/>
    <n v="-0.68243243243243246"/>
    <n v="2018"/>
    <n v="3"/>
  </r>
  <r>
    <s v="B-25797"/>
    <n v="413"/>
    <n v="-314"/>
    <n v="9"/>
    <x v="0"/>
    <x v="7"/>
    <x v="2"/>
    <d v="2018-09-30T00:00:00"/>
    <x v="176"/>
    <s v="Indore"/>
    <x v="5"/>
    <n v="-0.76029055690072644"/>
    <n v="2018"/>
    <n v="3"/>
  </r>
  <r>
    <s v="B-25797"/>
    <n v="89"/>
    <n v="-4"/>
    <n v="5"/>
    <x v="1"/>
    <x v="5"/>
    <x v="2"/>
    <d v="2018-09-30T00:00:00"/>
    <x v="176"/>
    <s v="Indore"/>
    <x v="5"/>
    <n v="-4.49438202247191E-2"/>
    <n v="2018"/>
    <n v="3"/>
  </r>
  <r>
    <s v="B-25797"/>
    <n v="1630"/>
    <n v="-802"/>
    <n v="5"/>
    <x v="0"/>
    <x v="12"/>
    <x v="2"/>
    <d v="2018-09-30T00:00:00"/>
    <x v="176"/>
    <s v="Indore"/>
    <x v="5"/>
    <n v="-0.4920245398773006"/>
    <n v="2018"/>
    <n v="3"/>
  </r>
  <r>
    <s v="B-25797"/>
    <n v="31"/>
    <n v="1"/>
    <n v="2"/>
    <x v="1"/>
    <x v="2"/>
    <x v="2"/>
    <d v="2018-09-30T00:00:00"/>
    <x v="176"/>
    <s v="Indore"/>
    <x v="5"/>
    <n v="3.2258064516129031E-2"/>
    <n v="2018"/>
    <n v="3"/>
  </r>
  <r>
    <s v="B-25798"/>
    <n v="379"/>
    <n v="63"/>
    <n v="2"/>
    <x v="1"/>
    <x v="5"/>
    <x v="17"/>
    <d v="2018-10-01T00:00:00"/>
    <x v="177"/>
    <s v="Hyderabad"/>
    <x v="6"/>
    <n v="0.16622691292875991"/>
    <n v="2018"/>
    <n v="4"/>
  </r>
  <r>
    <s v="B-25798"/>
    <n v="448"/>
    <n v="148"/>
    <n v="2"/>
    <x v="2"/>
    <x v="13"/>
    <x v="17"/>
    <d v="2018-10-01T00:00:00"/>
    <x v="177"/>
    <s v="Hyderabad"/>
    <x v="6"/>
    <n v="0.33035714285714285"/>
    <n v="2018"/>
    <n v="4"/>
  </r>
  <r>
    <s v="B-25798"/>
    <n v="2830"/>
    <n v="-1981"/>
    <n v="13"/>
    <x v="0"/>
    <x v="0"/>
    <x v="17"/>
    <d v="2018-10-01T00:00:00"/>
    <x v="177"/>
    <s v="Hyderabad"/>
    <x v="6"/>
    <n v="-0.7"/>
    <n v="2018"/>
    <n v="4"/>
  </r>
  <r>
    <s v="B-25798"/>
    <n v="47"/>
    <n v="-3"/>
    <n v="2"/>
    <x v="1"/>
    <x v="1"/>
    <x v="17"/>
    <d v="2018-10-01T00:00:00"/>
    <x v="177"/>
    <s v="Hyderabad"/>
    <x v="6"/>
    <n v="-6.3829787234042548E-2"/>
    <n v="2018"/>
    <n v="4"/>
  </r>
  <r>
    <s v="B-25798"/>
    <n v="38"/>
    <n v="-13"/>
    <n v="3"/>
    <x v="1"/>
    <x v="1"/>
    <x v="17"/>
    <d v="2018-10-01T00:00:00"/>
    <x v="177"/>
    <s v="Hyderabad"/>
    <x v="6"/>
    <n v="-0.34210526315789475"/>
    <n v="2018"/>
    <n v="4"/>
  </r>
  <r>
    <s v="B-25798"/>
    <n v="61"/>
    <n v="-50"/>
    <n v="4"/>
    <x v="1"/>
    <x v="2"/>
    <x v="17"/>
    <d v="2018-10-01T00:00:00"/>
    <x v="177"/>
    <s v="Hyderabad"/>
    <x v="6"/>
    <n v="-0.81967213114754101"/>
    <n v="2018"/>
    <n v="4"/>
  </r>
  <r>
    <s v="B-25799"/>
    <n v="205"/>
    <n v="-119"/>
    <n v="3"/>
    <x v="1"/>
    <x v="5"/>
    <x v="0"/>
    <d v="2018-10-01T00:00:00"/>
    <x v="178"/>
    <s v="Ahmedabad"/>
    <x v="6"/>
    <n v="-0.58048780487804874"/>
    <n v="2018"/>
    <n v="4"/>
  </r>
  <r>
    <s v="B-25799"/>
    <n v="47"/>
    <n v="-27"/>
    <n v="4"/>
    <x v="1"/>
    <x v="5"/>
    <x v="0"/>
    <d v="2018-10-01T00:00:00"/>
    <x v="178"/>
    <s v="Ahmedabad"/>
    <x v="6"/>
    <n v="-0.57446808510638303"/>
    <n v="2018"/>
    <n v="4"/>
  </r>
  <r>
    <s v="B-25799"/>
    <n v="45"/>
    <n v="-15"/>
    <n v="2"/>
    <x v="0"/>
    <x v="7"/>
    <x v="0"/>
    <d v="2018-10-01T00:00:00"/>
    <x v="178"/>
    <s v="Ahmedabad"/>
    <x v="6"/>
    <n v="-0.33333333333333331"/>
    <n v="2018"/>
    <n v="4"/>
  </r>
  <r>
    <s v="B-25799"/>
    <n v="70"/>
    <n v="-64"/>
    <n v="5"/>
    <x v="1"/>
    <x v="1"/>
    <x v="0"/>
    <d v="2018-10-01T00:00:00"/>
    <x v="178"/>
    <s v="Ahmedabad"/>
    <x v="6"/>
    <n v="-0.91428571428571426"/>
    <n v="2018"/>
    <n v="4"/>
  </r>
  <r>
    <s v="B-25800"/>
    <n v="122"/>
    <n v="-66"/>
    <n v="9"/>
    <x v="2"/>
    <x v="14"/>
    <x v="1"/>
    <d v="2018-10-01T00:00:00"/>
    <x v="179"/>
    <s v="Pune"/>
    <x v="6"/>
    <n v="-0.54098360655737709"/>
    <n v="2018"/>
    <n v="4"/>
  </r>
  <r>
    <s v="B-25800"/>
    <n v="21"/>
    <n v="-6"/>
    <n v="3"/>
    <x v="1"/>
    <x v="11"/>
    <x v="1"/>
    <d v="2018-10-01T00:00:00"/>
    <x v="179"/>
    <s v="Pune"/>
    <x v="6"/>
    <n v="-0.2857142857142857"/>
    <n v="2018"/>
    <n v="4"/>
  </r>
  <r>
    <s v="B-25800"/>
    <n v="45"/>
    <n v="12"/>
    <n v="7"/>
    <x v="1"/>
    <x v="2"/>
    <x v="1"/>
    <d v="2018-10-01T00:00:00"/>
    <x v="179"/>
    <s v="Pune"/>
    <x v="6"/>
    <n v="0.26666666666666666"/>
    <n v="2018"/>
    <n v="4"/>
  </r>
  <r>
    <s v="B-25801"/>
    <n v="64"/>
    <n v="6"/>
    <n v="4"/>
    <x v="1"/>
    <x v="5"/>
    <x v="2"/>
    <d v="2018-10-01T00:00:00"/>
    <x v="180"/>
    <s v="Bhopal"/>
    <x v="6"/>
    <n v="9.375E-2"/>
    <n v="2018"/>
    <n v="4"/>
  </r>
  <r>
    <s v="B-25801"/>
    <n v="49"/>
    <n v="-31"/>
    <n v="2"/>
    <x v="1"/>
    <x v="1"/>
    <x v="2"/>
    <d v="2018-10-01T00:00:00"/>
    <x v="180"/>
    <s v="Bhopal"/>
    <x v="6"/>
    <n v="-0.63265306122448983"/>
    <n v="2018"/>
    <n v="4"/>
  </r>
  <r>
    <s v="B-25801"/>
    <n v="21"/>
    <n v="-10"/>
    <n v="4"/>
    <x v="1"/>
    <x v="11"/>
    <x v="2"/>
    <d v="2018-10-01T00:00:00"/>
    <x v="180"/>
    <s v="Bhopal"/>
    <x v="6"/>
    <n v="-0.47619047619047616"/>
    <n v="2018"/>
    <n v="4"/>
  </r>
  <r>
    <s v="B-25801"/>
    <n v="15"/>
    <n v="-2"/>
    <n v="1"/>
    <x v="1"/>
    <x v="9"/>
    <x v="2"/>
    <d v="2018-10-01T00:00:00"/>
    <x v="180"/>
    <s v="Bhopal"/>
    <x v="6"/>
    <n v="-0.13333333333333333"/>
    <n v="2018"/>
    <n v="4"/>
  </r>
  <r>
    <s v="B-25802"/>
    <n v="27"/>
    <n v="-7"/>
    <n v="5"/>
    <x v="1"/>
    <x v="5"/>
    <x v="1"/>
    <d v="2018-10-05T00:00:00"/>
    <x v="181"/>
    <s v="Mumbai"/>
    <x v="6"/>
    <n v="-0.25925925925925924"/>
    <n v="2018"/>
    <n v="4"/>
  </r>
  <r>
    <s v="B-25802"/>
    <n v="633"/>
    <n v="-633"/>
    <n v="11"/>
    <x v="2"/>
    <x v="14"/>
    <x v="1"/>
    <d v="2018-10-05T00:00:00"/>
    <x v="181"/>
    <s v="Mumbai"/>
    <x v="6"/>
    <n v="-1"/>
    <n v="2018"/>
    <n v="4"/>
  </r>
  <r>
    <s v="B-25802"/>
    <n v="13"/>
    <n v="-9"/>
    <n v="2"/>
    <x v="1"/>
    <x v="16"/>
    <x v="1"/>
    <d v="2018-10-05T00:00:00"/>
    <x v="181"/>
    <s v="Mumbai"/>
    <x v="6"/>
    <n v="-0.69230769230769229"/>
    <n v="2018"/>
    <n v="4"/>
  </r>
  <r>
    <s v="B-25802"/>
    <n v="23"/>
    <n v="-3"/>
    <n v="1"/>
    <x v="1"/>
    <x v="10"/>
    <x v="1"/>
    <d v="2018-10-05T00:00:00"/>
    <x v="181"/>
    <s v="Mumbai"/>
    <x v="6"/>
    <n v="-0.13043478260869565"/>
    <n v="2018"/>
    <n v="4"/>
  </r>
  <r>
    <s v="B-25802"/>
    <n v="95"/>
    <n v="5"/>
    <n v="2"/>
    <x v="1"/>
    <x v="1"/>
    <x v="1"/>
    <d v="2018-10-05T00:00:00"/>
    <x v="181"/>
    <s v="Mumbai"/>
    <x v="6"/>
    <n v="5.2631578947368418E-2"/>
    <n v="2018"/>
    <n v="4"/>
  </r>
  <r>
    <s v="B-25803"/>
    <n v="106"/>
    <n v="12"/>
    <n v="3"/>
    <x v="1"/>
    <x v="6"/>
    <x v="2"/>
    <d v="2018-10-05T00:00:00"/>
    <x v="182"/>
    <s v="Indore"/>
    <x v="6"/>
    <n v="0.11320754716981132"/>
    <n v="2018"/>
    <n v="4"/>
  </r>
  <r>
    <s v="B-25803"/>
    <n v="269"/>
    <n v="91"/>
    <n v="1"/>
    <x v="2"/>
    <x v="3"/>
    <x v="2"/>
    <d v="2018-10-05T00:00:00"/>
    <x v="182"/>
    <s v="Indore"/>
    <x v="6"/>
    <n v="0.33828996282527879"/>
    <n v="2018"/>
    <n v="4"/>
  </r>
  <r>
    <s v="B-25803"/>
    <n v="536"/>
    <n v="91"/>
    <n v="1"/>
    <x v="1"/>
    <x v="6"/>
    <x v="2"/>
    <d v="2018-10-05T00:00:00"/>
    <x v="182"/>
    <s v="Indore"/>
    <x v="6"/>
    <n v="0.16977611940298507"/>
    <n v="2018"/>
    <n v="4"/>
  </r>
  <r>
    <s v="B-25803"/>
    <n v="137"/>
    <n v="5"/>
    <n v="5"/>
    <x v="1"/>
    <x v="10"/>
    <x v="2"/>
    <d v="2018-10-05T00:00:00"/>
    <x v="182"/>
    <s v="Indore"/>
    <x v="6"/>
    <n v="3.6496350364963501E-2"/>
    <n v="2018"/>
    <n v="4"/>
  </r>
  <r>
    <s v="B-25803"/>
    <n v="757"/>
    <n v="371"/>
    <n v="2"/>
    <x v="2"/>
    <x v="13"/>
    <x v="2"/>
    <d v="2018-10-05T00:00:00"/>
    <x v="182"/>
    <s v="Indore"/>
    <x v="6"/>
    <n v="0.49009247027741082"/>
    <n v="2018"/>
    <n v="4"/>
  </r>
  <r>
    <s v="B-25803"/>
    <n v="511"/>
    <n v="194"/>
    <n v="3"/>
    <x v="0"/>
    <x v="7"/>
    <x v="2"/>
    <d v="2018-10-05T00:00:00"/>
    <x v="182"/>
    <s v="Indore"/>
    <x v="6"/>
    <n v="0.37964774951076319"/>
    <n v="2018"/>
    <n v="4"/>
  </r>
  <r>
    <s v="B-25803"/>
    <n v="185"/>
    <n v="48"/>
    <n v="4"/>
    <x v="1"/>
    <x v="1"/>
    <x v="2"/>
    <d v="2018-10-05T00:00:00"/>
    <x v="182"/>
    <s v="Indore"/>
    <x v="6"/>
    <n v="0.25945945945945947"/>
    <n v="2018"/>
    <n v="4"/>
  </r>
  <r>
    <s v="B-25803"/>
    <n v="765"/>
    <n v="8"/>
    <n v="6"/>
    <x v="1"/>
    <x v="5"/>
    <x v="2"/>
    <d v="2018-10-05T00:00:00"/>
    <x v="182"/>
    <s v="Indore"/>
    <x v="6"/>
    <n v="1.045751633986928E-2"/>
    <n v="2018"/>
    <n v="4"/>
  </r>
  <r>
    <s v="B-25804"/>
    <n v="156"/>
    <n v="36"/>
    <n v="5"/>
    <x v="1"/>
    <x v="9"/>
    <x v="5"/>
    <d v="2018-10-05T00:00:00"/>
    <x v="183"/>
    <s v="Bangalore"/>
    <x v="6"/>
    <n v="0.23076923076923078"/>
    <n v="2018"/>
    <n v="4"/>
  </r>
  <r>
    <s v="B-25804"/>
    <n v="321"/>
    <n v="26"/>
    <n v="3"/>
    <x v="2"/>
    <x v="13"/>
    <x v="5"/>
    <d v="2018-10-05T00:00:00"/>
    <x v="183"/>
    <s v="Bangalore"/>
    <x v="6"/>
    <n v="8.0996884735202487E-2"/>
    <n v="2018"/>
    <n v="4"/>
  </r>
  <r>
    <s v="B-25805"/>
    <n v="112"/>
    <n v="15"/>
    <n v="2"/>
    <x v="0"/>
    <x v="7"/>
    <x v="1"/>
    <d v="2018-10-05T00:00:00"/>
    <x v="184"/>
    <s v="Mumbai"/>
    <x v="6"/>
    <n v="0.13392857142857142"/>
    <n v="2018"/>
    <n v="4"/>
  </r>
  <r>
    <s v="B-25806"/>
    <n v="632"/>
    <n v="-114"/>
    <n v="4"/>
    <x v="0"/>
    <x v="12"/>
    <x v="2"/>
    <d v="2018-10-06T00:00:00"/>
    <x v="185"/>
    <s v="Indore"/>
    <x v="6"/>
    <n v="-0.18037974683544303"/>
    <n v="2018"/>
    <n v="4"/>
  </r>
  <r>
    <s v="B-25807"/>
    <n v="16"/>
    <n v="6"/>
    <n v="1"/>
    <x v="1"/>
    <x v="1"/>
    <x v="8"/>
    <d v="2018-10-07T00:00:00"/>
    <x v="186"/>
    <s v="Lucknow"/>
    <x v="6"/>
    <n v="0.375"/>
    <n v="2018"/>
    <n v="4"/>
  </r>
  <r>
    <s v="B-25808"/>
    <n v="63"/>
    <n v="17"/>
    <n v="6"/>
    <x v="1"/>
    <x v="11"/>
    <x v="9"/>
    <d v="2018-10-08T00:00:00"/>
    <x v="187"/>
    <s v="Patna"/>
    <x v="6"/>
    <n v="0.26984126984126983"/>
    <n v="2018"/>
    <n v="4"/>
  </r>
  <r>
    <s v="B-25808"/>
    <n v="146"/>
    <n v="-63"/>
    <n v="3"/>
    <x v="2"/>
    <x v="3"/>
    <x v="9"/>
    <d v="2018-10-08T00:00:00"/>
    <x v="187"/>
    <s v="Patna"/>
    <x v="6"/>
    <n v="-0.4315068493150685"/>
    <n v="2018"/>
    <n v="4"/>
  </r>
  <r>
    <s v="B-25808"/>
    <n v="59"/>
    <n v="21"/>
    <n v="2"/>
    <x v="1"/>
    <x v="1"/>
    <x v="9"/>
    <d v="2018-10-08T00:00:00"/>
    <x v="187"/>
    <s v="Patna"/>
    <x v="6"/>
    <n v="0.3559322033898305"/>
    <n v="2018"/>
    <n v="4"/>
  </r>
  <r>
    <s v="B-25808"/>
    <n v="210"/>
    <n v="50"/>
    <n v="4"/>
    <x v="1"/>
    <x v="2"/>
    <x v="9"/>
    <d v="2018-10-08T00:00:00"/>
    <x v="187"/>
    <s v="Patna"/>
    <x v="6"/>
    <n v="0.23809523809523808"/>
    <n v="2018"/>
    <n v="4"/>
  </r>
  <r>
    <s v="B-25809"/>
    <n v="154"/>
    <n v="54"/>
    <n v="3"/>
    <x v="1"/>
    <x v="2"/>
    <x v="10"/>
    <d v="2018-10-09T00:00:00"/>
    <x v="188"/>
    <s v="Thiruvananthapuram"/>
    <x v="6"/>
    <n v="0.35064935064935066"/>
    <n v="2018"/>
    <n v="4"/>
  </r>
  <r>
    <s v="B-25809"/>
    <n v="53"/>
    <n v="24"/>
    <n v="1"/>
    <x v="1"/>
    <x v="2"/>
    <x v="10"/>
    <d v="2018-10-09T00:00:00"/>
    <x v="188"/>
    <s v="Thiruvananthapuram"/>
    <x v="6"/>
    <n v="0.45283018867924529"/>
    <n v="2018"/>
    <n v="4"/>
  </r>
  <r>
    <s v="B-25810"/>
    <n v="26"/>
    <n v="10"/>
    <n v="4"/>
    <x v="1"/>
    <x v="2"/>
    <x v="11"/>
    <d v="2018-10-10T00:00:00"/>
    <x v="189"/>
    <s v="Chandigarh"/>
    <x v="6"/>
    <n v="0.38461538461538464"/>
    <n v="2018"/>
    <n v="4"/>
  </r>
  <r>
    <s v="B-25810"/>
    <n v="1120"/>
    <n v="199"/>
    <n v="6"/>
    <x v="1"/>
    <x v="5"/>
    <x v="11"/>
    <d v="2018-10-10T00:00:00"/>
    <x v="189"/>
    <s v="Chandigarh"/>
    <x v="6"/>
    <n v="0.17767857142857144"/>
    <n v="2018"/>
    <n v="4"/>
  </r>
  <r>
    <s v="B-25810"/>
    <n v="45"/>
    <n v="6"/>
    <n v="3"/>
    <x v="1"/>
    <x v="10"/>
    <x v="11"/>
    <d v="2018-10-10T00:00:00"/>
    <x v="189"/>
    <s v="Chandigarh"/>
    <x v="6"/>
    <n v="0.13333333333333333"/>
    <n v="2018"/>
    <n v="4"/>
  </r>
  <r>
    <s v="B-25810"/>
    <n v="307"/>
    <n v="74"/>
    <n v="3"/>
    <x v="2"/>
    <x v="14"/>
    <x v="11"/>
    <d v="2018-10-10T00:00:00"/>
    <x v="189"/>
    <s v="Chandigarh"/>
    <x v="6"/>
    <n v="0.24104234527687296"/>
    <n v="2018"/>
    <n v="4"/>
  </r>
  <r>
    <s v="B-25810"/>
    <n v="92"/>
    <n v="42"/>
    <n v="2"/>
    <x v="1"/>
    <x v="1"/>
    <x v="11"/>
    <d v="2018-10-10T00:00:00"/>
    <x v="189"/>
    <s v="Chandigarh"/>
    <x v="6"/>
    <n v="0.45652173913043476"/>
    <n v="2018"/>
    <n v="4"/>
  </r>
  <r>
    <s v="B-25810"/>
    <n v="29"/>
    <n v="8"/>
    <n v="5"/>
    <x v="1"/>
    <x v="2"/>
    <x v="11"/>
    <d v="2018-10-10T00:00:00"/>
    <x v="189"/>
    <s v="Chandigarh"/>
    <x v="6"/>
    <n v="0.27586206896551724"/>
    <n v="2018"/>
    <n v="4"/>
  </r>
  <r>
    <s v="B-25811"/>
    <n v="126"/>
    <n v="52"/>
    <n v="4"/>
    <x v="1"/>
    <x v="2"/>
    <x v="1"/>
    <d v="2018-10-10T00:00:00"/>
    <x v="190"/>
    <s v="Mumbai"/>
    <x v="6"/>
    <n v="0.41269841269841268"/>
    <n v="2018"/>
    <n v="4"/>
  </r>
  <r>
    <s v="B-25812"/>
    <n v="259"/>
    <n v="47"/>
    <n v="5"/>
    <x v="1"/>
    <x v="2"/>
    <x v="2"/>
    <d v="2018-10-10T00:00:00"/>
    <x v="191"/>
    <s v="Indore"/>
    <x v="6"/>
    <n v="0.18146718146718147"/>
    <n v="2018"/>
    <n v="4"/>
  </r>
  <r>
    <s v="B-25813"/>
    <n v="911"/>
    <n v="202"/>
    <n v="7"/>
    <x v="0"/>
    <x v="7"/>
    <x v="1"/>
    <d v="2018-10-10T00:00:00"/>
    <x v="192"/>
    <s v="Mumbai"/>
    <x v="6"/>
    <n v="0.22173435784851811"/>
    <n v="2018"/>
    <n v="4"/>
  </r>
  <r>
    <s v="B-25814"/>
    <n v="118"/>
    <n v="35"/>
    <n v="7"/>
    <x v="1"/>
    <x v="9"/>
    <x v="2"/>
    <d v="2018-10-10T00:00:00"/>
    <x v="193"/>
    <s v="Indore"/>
    <x v="6"/>
    <n v="0.29661016949152541"/>
    <n v="2018"/>
    <n v="4"/>
  </r>
  <r>
    <s v="B-25814"/>
    <n v="462"/>
    <n v="169"/>
    <n v="4"/>
    <x v="1"/>
    <x v="5"/>
    <x v="2"/>
    <d v="2018-10-10T00:00:00"/>
    <x v="193"/>
    <s v="Indore"/>
    <x v="6"/>
    <n v="0.36580086580086579"/>
    <n v="2018"/>
    <n v="4"/>
  </r>
  <r>
    <s v="B-25815"/>
    <n v="35"/>
    <n v="14"/>
    <n v="2"/>
    <x v="1"/>
    <x v="1"/>
    <x v="16"/>
    <d v="2018-10-10T00:00:00"/>
    <x v="140"/>
    <s v="Kohima"/>
    <x v="6"/>
    <n v="0.4"/>
    <n v="2018"/>
    <n v="4"/>
  </r>
  <r>
    <s v="B-25816"/>
    <n v="391"/>
    <n v="113"/>
    <n v="8"/>
    <x v="1"/>
    <x v="1"/>
    <x v="17"/>
    <d v="2018-10-12T00:00:00"/>
    <x v="194"/>
    <s v="Hyderabad"/>
    <x v="6"/>
    <n v="0.28900255754475701"/>
    <n v="2018"/>
    <n v="4"/>
  </r>
  <r>
    <s v="B-25817"/>
    <n v="743"/>
    <n v="89"/>
    <n v="5"/>
    <x v="2"/>
    <x v="13"/>
    <x v="1"/>
    <d v="2018-10-13T00:00:00"/>
    <x v="195"/>
    <s v="Mumbai"/>
    <x v="6"/>
    <n v="0.11978465679676985"/>
    <n v="2018"/>
    <n v="4"/>
  </r>
  <r>
    <s v="B-25818"/>
    <n v="75"/>
    <n v="28"/>
    <n v="9"/>
    <x v="1"/>
    <x v="2"/>
    <x v="2"/>
    <d v="2018-10-14T00:00:00"/>
    <x v="196"/>
    <s v="Indore"/>
    <x v="6"/>
    <n v="0.37333333333333335"/>
    <n v="2018"/>
    <n v="4"/>
  </r>
  <r>
    <s v="B-25818"/>
    <n v="36"/>
    <n v="0"/>
    <n v="4"/>
    <x v="1"/>
    <x v="8"/>
    <x v="2"/>
    <d v="2018-10-14T00:00:00"/>
    <x v="196"/>
    <s v="Indore"/>
    <x v="6"/>
    <n v="0"/>
    <n v="2018"/>
    <n v="4"/>
  </r>
  <r>
    <s v="B-25818"/>
    <n v="32"/>
    <n v="11"/>
    <n v="2"/>
    <x v="1"/>
    <x v="11"/>
    <x v="2"/>
    <d v="2018-10-14T00:00:00"/>
    <x v="196"/>
    <s v="Indore"/>
    <x v="6"/>
    <n v="0.34375"/>
    <n v="2018"/>
    <n v="4"/>
  </r>
  <r>
    <s v="B-25818"/>
    <n v="94"/>
    <n v="20"/>
    <n v="2"/>
    <x v="0"/>
    <x v="15"/>
    <x v="2"/>
    <d v="2018-10-14T00:00:00"/>
    <x v="196"/>
    <s v="Indore"/>
    <x v="6"/>
    <n v="0.21276595744680851"/>
    <n v="2018"/>
    <n v="4"/>
  </r>
  <r>
    <s v="B-25818"/>
    <n v="28"/>
    <n v="14"/>
    <n v="4"/>
    <x v="1"/>
    <x v="2"/>
    <x v="2"/>
    <d v="2018-10-14T00:00:00"/>
    <x v="196"/>
    <s v="Indore"/>
    <x v="6"/>
    <n v="0.5"/>
    <n v="2018"/>
    <n v="4"/>
  </r>
  <r>
    <s v="B-25819"/>
    <n v="417"/>
    <n v="49"/>
    <n v="3"/>
    <x v="2"/>
    <x v="3"/>
    <x v="2"/>
    <d v="2018-10-15T00:00:00"/>
    <x v="197"/>
    <s v="Bhopal"/>
    <x v="6"/>
    <n v="0.11750599520383694"/>
    <n v="2018"/>
    <n v="4"/>
  </r>
  <r>
    <s v="B-25820"/>
    <n v="119"/>
    <n v="1"/>
    <n v="1"/>
    <x v="0"/>
    <x v="7"/>
    <x v="3"/>
    <d v="2018-10-16T00:00:00"/>
    <x v="198"/>
    <s v="Jaipur"/>
    <x v="6"/>
    <n v="8.4033613445378148E-3"/>
    <n v="2018"/>
    <n v="4"/>
  </r>
  <r>
    <s v="B-25821"/>
    <n v="60"/>
    <n v="21"/>
    <n v="4"/>
    <x v="1"/>
    <x v="1"/>
    <x v="4"/>
    <d v="2018-10-16T00:00:00"/>
    <x v="41"/>
    <s v="Kolkata"/>
    <x v="6"/>
    <n v="0.35"/>
    <n v="2018"/>
    <n v="4"/>
  </r>
  <r>
    <s v="B-25821"/>
    <n v="17"/>
    <n v="0"/>
    <n v="1"/>
    <x v="1"/>
    <x v="2"/>
    <x v="4"/>
    <d v="2018-10-16T00:00:00"/>
    <x v="41"/>
    <s v="Kolkata"/>
    <x v="6"/>
    <n v="0"/>
    <n v="2018"/>
    <n v="4"/>
  </r>
  <r>
    <s v="B-25821"/>
    <n v="125"/>
    <n v="0"/>
    <n v="3"/>
    <x v="2"/>
    <x v="14"/>
    <x v="4"/>
    <d v="2018-10-16T00:00:00"/>
    <x v="41"/>
    <s v="Kolkata"/>
    <x v="6"/>
    <n v="0"/>
    <n v="2018"/>
    <n v="4"/>
  </r>
  <r>
    <s v="B-25822"/>
    <n v="34"/>
    <n v="13"/>
    <n v="2"/>
    <x v="1"/>
    <x v="5"/>
    <x v="5"/>
    <d v="2018-10-18T00:00:00"/>
    <x v="199"/>
    <s v="Bangalore"/>
    <x v="6"/>
    <n v="0.38235294117647056"/>
    <n v="2018"/>
    <n v="4"/>
  </r>
  <r>
    <s v="B-25823"/>
    <n v="2103"/>
    <n v="322"/>
    <n v="8"/>
    <x v="2"/>
    <x v="3"/>
    <x v="1"/>
    <d v="2018-10-18T00:00:00"/>
    <x v="200"/>
    <s v="Mumbai"/>
    <x v="6"/>
    <n v="0.15311459819305753"/>
    <n v="2018"/>
    <n v="4"/>
  </r>
  <r>
    <s v="B-25823"/>
    <n v="104"/>
    <n v="2"/>
    <n v="2"/>
    <x v="0"/>
    <x v="15"/>
    <x v="1"/>
    <d v="2018-10-18T00:00:00"/>
    <x v="200"/>
    <s v="Mumbai"/>
    <x v="6"/>
    <n v="1.9230769230769232E-2"/>
    <n v="2018"/>
    <n v="4"/>
  </r>
  <r>
    <s v="B-25823"/>
    <n v="59"/>
    <n v="6"/>
    <n v="1"/>
    <x v="2"/>
    <x v="14"/>
    <x v="1"/>
    <d v="2018-10-18T00:00:00"/>
    <x v="200"/>
    <s v="Mumbai"/>
    <x v="6"/>
    <n v="0.10169491525423729"/>
    <n v="2018"/>
    <n v="4"/>
  </r>
  <r>
    <s v="B-25823"/>
    <n v="103"/>
    <n v="50"/>
    <n v="2"/>
    <x v="0"/>
    <x v="15"/>
    <x v="1"/>
    <d v="2018-10-18T00:00:00"/>
    <x v="200"/>
    <s v="Mumbai"/>
    <x v="6"/>
    <n v="0.4854368932038835"/>
    <n v="2018"/>
    <n v="4"/>
  </r>
  <r>
    <s v="B-25824"/>
    <n v="101"/>
    <n v="38"/>
    <n v="2"/>
    <x v="0"/>
    <x v="15"/>
    <x v="2"/>
    <d v="2018-10-20T00:00:00"/>
    <x v="201"/>
    <s v="Indore"/>
    <x v="6"/>
    <n v="0.37623762376237624"/>
    <n v="2018"/>
    <n v="4"/>
  </r>
  <r>
    <s v="B-25825"/>
    <n v="911"/>
    <n v="355"/>
    <n v="5"/>
    <x v="2"/>
    <x v="4"/>
    <x v="2"/>
    <d v="2018-10-21T00:00:00"/>
    <x v="138"/>
    <s v="Indore"/>
    <x v="6"/>
    <n v="0.3896816684961581"/>
    <n v="2018"/>
    <n v="4"/>
  </r>
  <r>
    <s v="B-25825"/>
    <n v="115"/>
    <n v="25"/>
    <n v="6"/>
    <x v="1"/>
    <x v="1"/>
    <x v="2"/>
    <d v="2018-10-21T00:00:00"/>
    <x v="138"/>
    <s v="Indore"/>
    <x v="6"/>
    <n v="0.21739130434782608"/>
    <n v="2018"/>
    <n v="4"/>
  </r>
  <r>
    <s v="B-25825"/>
    <n v="140"/>
    <n v="6"/>
    <n v="5"/>
    <x v="1"/>
    <x v="5"/>
    <x v="2"/>
    <d v="2018-10-21T00:00:00"/>
    <x v="138"/>
    <s v="Indore"/>
    <x v="6"/>
    <n v="4.2857142857142858E-2"/>
    <n v="2018"/>
    <n v="4"/>
  </r>
  <r>
    <s v="B-25826"/>
    <n v="637"/>
    <n v="261"/>
    <n v="2"/>
    <x v="2"/>
    <x v="13"/>
    <x v="1"/>
    <d v="2018-10-22T00:00:00"/>
    <x v="202"/>
    <s v="Mumbai"/>
    <x v="6"/>
    <n v="0.40973312401883832"/>
    <n v="2018"/>
    <n v="4"/>
  </r>
  <r>
    <s v="B-25827"/>
    <n v="156"/>
    <n v="21"/>
    <n v="3"/>
    <x v="0"/>
    <x v="7"/>
    <x v="2"/>
    <d v="2018-10-23T00:00:00"/>
    <x v="83"/>
    <s v="Indore"/>
    <x v="6"/>
    <n v="0.13461538461538461"/>
    <n v="2018"/>
    <n v="4"/>
  </r>
  <r>
    <s v="B-25828"/>
    <n v="537"/>
    <n v="107"/>
    <n v="3"/>
    <x v="1"/>
    <x v="5"/>
    <x v="11"/>
    <d v="2018-10-24T00:00:00"/>
    <x v="203"/>
    <s v="Chandigarh"/>
    <x v="6"/>
    <n v="0.19925512104283055"/>
    <n v="2018"/>
    <n v="4"/>
  </r>
  <r>
    <s v="B-25828"/>
    <n v="15"/>
    <n v="2"/>
    <n v="1"/>
    <x v="1"/>
    <x v="11"/>
    <x v="11"/>
    <d v="2018-10-24T00:00:00"/>
    <x v="203"/>
    <s v="Chandigarh"/>
    <x v="6"/>
    <n v="0.13333333333333333"/>
    <n v="2018"/>
    <n v="4"/>
  </r>
  <r>
    <s v="B-25828"/>
    <n v="128"/>
    <n v="-3"/>
    <n v="3"/>
    <x v="1"/>
    <x v="5"/>
    <x v="11"/>
    <d v="2018-10-24T00:00:00"/>
    <x v="203"/>
    <s v="Chandigarh"/>
    <x v="6"/>
    <n v="-2.34375E-2"/>
    <n v="2018"/>
    <n v="4"/>
  </r>
  <r>
    <s v="B-25828"/>
    <n v="222"/>
    <n v="35"/>
    <n v="5"/>
    <x v="1"/>
    <x v="5"/>
    <x v="11"/>
    <d v="2018-10-24T00:00:00"/>
    <x v="203"/>
    <s v="Chandigarh"/>
    <x v="6"/>
    <n v="0.15765765765765766"/>
    <n v="2018"/>
    <n v="4"/>
  </r>
  <r>
    <s v="B-25829"/>
    <n v="345"/>
    <n v="38"/>
    <n v="7"/>
    <x v="1"/>
    <x v="2"/>
    <x v="12"/>
    <d v="2018-10-25T00:00:00"/>
    <x v="204"/>
    <s v="Chandigarh"/>
    <x v="6"/>
    <n v="0.11014492753623188"/>
    <n v="2018"/>
    <n v="4"/>
  </r>
  <r>
    <s v="B-25830"/>
    <n v="41"/>
    <n v="11"/>
    <n v="6"/>
    <x v="1"/>
    <x v="2"/>
    <x v="13"/>
    <d v="2018-10-26T00:00:00"/>
    <x v="205"/>
    <s v="Simla"/>
    <x v="6"/>
    <n v="0.26829268292682928"/>
    <n v="2018"/>
    <n v="4"/>
  </r>
  <r>
    <s v="B-25830"/>
    <n v="54"/>
    <n v="1"/>
    <n v="2"/>
    <x v="1"/>
    <x v="5"/>
    <x v="13"/>
    <d v="2018-10-26T00:00:00"/>
    <x v="205"/>
    <s v="Simla"/>
    <x v="6"/>
    <n v="1.8518518518518517E-2"/>
    <n v="2018"/>
    <n v="4"/>
  </r>
  <r>
    <s v="B-25830"/>
    <n v="71"/>
    <n v="0"/>
    <n v="8"/>
    <x v="1"/>
    <x v="16"/>
    <x v="13"/>
    <d v="2018-10-26T00:00:00"/>
    <x v="205"/>
    <s v="Simla"/>
    <x v="6"/>
    <n v="0"/>
    <n v="2018"/>
    <n v="4"/>
  </r>
  <r>
    <s v="B-25830"/>
    <n v="93"/>
    <n v="15"/>
    <n v="2"/>
    <x v="2"/>
    <x v="14"/>
    <x v="13"/>
    <d v="2018-10-26T00:00:00"/>
    <x v="205"/>
    <s v="Simla"/>
    <x v="6"/>
    <n v="0.16129032258064516"/>
    <n v="2018"/>
    <n v="4"/>
  </r>
  <r>
    <s v="B-25830"/>
    <n v="1063"/>
    <n v="64"/>
    <n v="7"/>
    <x v="2"/>
    <x v="4"/>
    <x v="13"/>
    <d v="2018-10-26T00:00:00"/>
    <x v="205"/>
    <s v="Simla"/>
    <x v="6"/>
    <n v="6.0206961429915336E-2"/>
    <n v="2018"/>
    <n v="4"/>
  </r>
  <r>
    <s v="B-25830"/>
    <n v="1954"/>
    <n v="782"/>
    <n v="3"/>
    <x v="2"/>
    <x v="4"/>
    <x v="13"/>
    <d v="2018-10-26T00:00:00"/>
    <x v="205"/>
    <s v="Simla"/>
    <x v="6"/>
    <n v="0.40020470829068577"/>
    <n v="2018"/>
    <n v="4"/>
  </r>
  <r>
    <s v="B-25831"/>
    <n v="693"/>
    <n v="254"/>
    <n v="6"/>
    <x v="1"/>
    <x v="5"/>
    <x v="14"/>
    <d v="2018-10-27T00:00:00"/>
    <x v="73"/>
    <s v="Gangtok"/>
    <x v="6"/>
    <n v="0.36652236652236653"/>
    <n v="2018"/>
    <n v="4"/>
  </r>
  <r>
    <s v="B-25832"/>
    <n v="504"/>
    <n v="116"/>
    <n v="3"/>
    <x v="0"/>
    <x v="0"/>
    <x v="1"/>
    <d v="2018-10-28T00:00:00"/>
    <x v="206"/>
    <s v="Mumbai"/>
    <x v="6"/>
    <n v="0.23015873015873015"/>
    <n v="2018"/>
    <n v="4"/>
  </r>
  <r>
    <s v="B-25833"/>
    <n v="64"/>
    <n v="27"/>
    <n v="5"/>
    <x v="1"/>
    <x v="2"/>
    <x v="2"/>
    <d v="2018-10-29T00:00:00"/>
    <x v="207"/>
    <s v="Indore"/>
    <x v="6"/>
    <n v="0.421875"/>
    <n v="2018"/>
    <n v="4"/>
  </r>
  <r>
    <s v="B-25833"/>
    <n v="36"/>
    <n v="4"/>
    <n v="9"/>
    <x v="1"/>
    <x v="2"/>
    <x v="2"/>
    <d v="2018-10-29T00:00:00"/>
    <x v="207"/>
    <s v="Indore"/>
    <x v="6"/>
    <n v="0.1111111111111111"/>
    <n v="2018"/>
    <n v="4"/>
  </r>
  <r>
    <s v="B-25833"/>
    <n v="45"/>
    <n v="16"/>
    <n v="3"/>
    <x v="1"/>
    <x v="1"/>
    <x v="2"/>
    <d v="2018-10-29T00:00:00"/>
    <x v="207"/>
    <s v="Indore"/>
    <x v="6"/>
    <n v="0.35555555555555557"/>
    <n v="2018"/>
    <n v="4"/>
  </r>
  <r>
    <s v="B-25834"/>
    <n v="16"/>
    <n v="5"/>
    <n v="1"/>
    <x v="1"/>
    <x v="1"/>
    <x v="17"/>
    <d v="2018-10-29T00:00:00"/>
    <x v="208"/>
    <s v="Hyderabad"/>
    <x v="6"/>
    <n v="0.3125"/>
    <n v="2018"/>
    <n v="4"/>
  </r>
  <r>
    <s v="B-25835"/>
    <n v="52"/>
    <n v="11"/>
    <n v="5"/>
    <x v="1"/>
    <x v="11"/>
    <x v="0"/>
    <d v="2018-10-29T00:00:00"/>
    <x v="209"/>
    <s v="Ahmedabad"/>
    <x v="6"/>
    <n v="0.21153846153846154"/>
    <n v="2018"/>
    <n v="4"/>
  </r>
  <r>
    <s v="B-25835"/>
    <n v="27"/>
    <n v="2"/>
    <n v="2"/>
    <x v="1"/>
    <x v="11"/>
    <x v="0"/>
    <d v="2018-10-29T00:00:00"/>
    <x v="209"/>
    <s v="Ahmedabad"/>
    <x v="6"/>
    <n v="7.407407407407407E-2"/>
    <n v="2018"/>
    <n v="4"/>
  </r>
  <r>
    <s v="B-25835"/>
    <n v="155"/>
    <n v="26"/>
    <n v="3"/>
    <x v="1"/>
    <x v="1"/>
    <x v="0"/>
    <d v="2018-10-29T00:00:00"/>
    <x v="209"/>
    <s v="Ahmedabad"/>
    <x v="6"/>
    <n v="0.16774193548387098"/>
    <n v="2018"/>
    <n v="4"/>
  </r>
  <r>
    <s v="B-25836"/>
    <n v="1298"/>
    <n v="65"/>
    <n v="9"/>
    <x v="2"/>
    <x v="13"/>
    <x v="1"/>
    <d v="2018-10-29T00:00:00"/>
    <x v="210"/>
    <s v="Pune"/>
    <x v="6"/>
    <n v="5.007704160246533E-2"/>
    <n v="2018"/>
    <n v="4"/>
  </r>
  <r>
    <s v="B-25837"/>
    <n v="263"/>
    <n v="50"/>
    <n v="5"/>
    <x v="1"/>
    <x v="1"/>
    <x v="1"/>
    <d v="2018-10-29T00:00:00"/>
    <x v="211"/>
    <s v="Mumbai"/>
    <x v="6"/>
    <n v="0.19011406844106463"/>
    <n v="2018"/>
    <n v="4"/>
  </r>
  <r>
    <s v="B-25838"/>
    <n v="70"/>
    <n v="26"/>
    <n v="5"/>
    <x v="1"/>
    <x v="2"/>
    <x v="2"/>
    <d v="2018-10-29T00:00:00"/>
    <x v="158"/>
    <s v="Indore"/>
    <x v="6"/>
    <n v="0.37142857142857144"/>
    <n v="2018"/>
    <n v="4"/>
  </r>
  <r>
    <s v="B-25838"/>
    <n v="81"/>
    <n v="19"/>
    <n v="7"/>
    <x v="1"/>
    <x v="2"/>
    <x v="2"/>
    <d v="2018-10-29T00:00:00"/>
    <x v="158"/>
    <s v="Indore"/>
    <x v="6"/>
    <n v="0.23456790123456789"/>
    <n v="2018"/>
    <n v="4"/>
  </r>
  <r>
    <s v="B-25838"/>
    <n v="955"/>
    <n v="305"/>
    <n v="3"/>
    <x v="2"/>
    <x v="13"/>
    <x v="2"/>
    <d v="2018-10-29T00:00:00"/>
    <x v="158"/>
    <s v="Indore"/>
    <x v="6"/>
    <n v="0.3193717277486911"/>
    <n v="2018"/>
    <n v="4"/>
  </r>
  <r>
    <s v="B-25838"/>
    <n v="161"/>
    <n v="40"/>
    <n v="3"/>
    <x v="1"/>
    <x v="1"/>
    <x v="2"/>
    <d v="2018-10-29T00:00:00"/>
    <x v="158"/>
    <s v="Indore"/>
    <x v="6"/>
    <n v="0.2484472049689441"/>
    <n v="2018"/>
    <n v="4"/>
  </r>
  <r>
    <s v="B-25839"/>
    <n v="1250"/>
    <n v="486"/>
    <n v="7"/>
    <x v="1"/>
    <x v="5"/>
    <x v="4"/>
    <d v="2018-10-30T00:00:00"/>
    <x v="212"/>
    <s v="Kolkata"/>
    <x v="6"/>
    <n v="0.38879999999999998"/>
    <n v="2018"/>
    <n v="4"/>
  </r>
  <r>
    <s v="B-25840"/>
    <n v="246"/>
    <n v="61"/>
    <n v="2"/>
    <x v="0"/>
    <x v="0"/>
    <x v="5"/>
    <d v="2018-10-31T00:00:00"/>
    <x v="213"/>
    <s v="Bangalore"/>
    <x v="6"/>
    <n v="0.24796747967479674"/>
    <n v="2018"/>
    <n v="4"/>
  </r>
  <r>
    <s v="B-25840"/>
    <n v="298"/>
    <n v="74"/>
    <n v="2"/>
    <x v="0"/>
    <x v="0"/>
    <x v="5"/>
    <d v="2018-10-31T00:00:00"/>
    <x v="213"/>
    <s v="Bangalore"/>
    <x v="6"/>
    <n v="0.24832214765100671"/>
    <n v="2018"/>
    <n v="4"/>
  </r>
  <r>
    <s v="B-25840"/>
    <n v="262"/>
    <n v="64"/>
    <n v="6"/>
    <x v="1"/>
    <x v="5"/>
    <x v="5"/>
    <d v="2018-10-31T00:00:00"/>
    <x v="213"/>
    <s v="Bangalore"/>
    <x v="6"/>
    <n v="0.24427480916030533"/>
    <n v="2018"/>
    <n v="4"/>
  </r>
  <r>
    <s v="B-25841"/>
    <n v="22"/>
    <n v="11"/>
    <n v="2"/>
    <x v="1"/>
    <x v="16"/>
    <x v="1"/>
    <d v="2018-11-01T00:00:00"/>
    <x v="214"/>
    <s v="Mumbai"/>
    <x v="7"/>
    <n v="0.5"/>
    <n v="2018"/>
    <n v="4"/>
  </r>
  <r>
    <s v="B-25842"/>
    <n v="1543"/>
    <n v="370"/>
    <n v="8"/>
    <x v="2"/>
    <x v="13"/>
    <x v="2"/>
    <d v="2018-11-02T00:00:00"/>
    <x v="83"/>
    <s v="Indore"/>
    <x v="7"/>
    <n v="0.23979261179520414"/>
    <n v="2018"/>
    <n v="4"/>
  </r>
  <r>
    <s v="B-25843"/>
    <n v="50"/>
    <n v="7"/>
    <n v="6"/>
    <x v="1"/>
    <x v="16"/>
    <x v="1"/>
    <d v="2018-11-03T00:00:00"/>
    <x v="215"/>
    <s v="Mumbai"/>
    <x v="7"/>
    <n v="0.14000000000000001"/>
    <n v="2018"/>
    <n v="4"/>
  </r>
  <r>
    <s v="B-25843"/>
    <n v="214"/>
    <n v="30"/>
    <n v="3"/>
    <x v="2"/>
    <x v="14"/>
    <x v="1"/>
    <d v="2018-11-03T00:00:00"/>
    <x v="215"/>
    <s v="Mumbai"/>
    <x v="7"/>
    <n v="0.14018691588785046"/>
    <n v="2018"/>
    <n v="4"/>
  </r>
  <r>
    <s v="B-25843"/>
    <n v="255"/>
    <n v="74"/>
    <n v="5"/>
    <x v="1"/>
    <x v="2"/>
    <x v="1"/>
    <d v="2018-11-03T00:00:00"/>
    <x v="215"/>
    <s v="Mumbai"/>
    <x v="7"/>
    <n v="0.29019607843137257"/>
    <n v="2018"/>
    <n v="4"/>
  </r>
  <r>
    <s v="B-25843"/>
    <n v="18"/>
    <n v="6"/>
    <n v="3"/>
    <x v="1"/>
    <x v="2"/>
    <x v="1"/>
    <d v="2018-11-03T00:00:00"/>
    <x v="215"/>
    <s v="Mumbai"/>
    <x v="7"/>
    <n v="0.33333333333333331"/>
    <n v="2018"/>
    <n v="4"/>
  </r>
  <r>
    <s v="B-25843"/>
    <n v="45"/>
    <n v="0"/>
    <n v="2"/>
    <x v="1"/>
    <x v="1"/>
    <x v="1"/>
    <d v="2018-11-03T00:00:00"/>
    <x v="215"/>
    <s v="Mumbai"/>
    <x v="7"/>
    <n v="0"/>
    <n v="2018"/>
    <n v="4"/>
  </r>
  <r>
    <s v="B-25844"/>
    <n v="86"/>
    <n v="8"/>
    <n v="2"/>
    <x v="1"/>
    <x v="5"/>
    <x v="2"/>
    <d v="2018-11-03T00:00:00"/>
    <x v="216"/>
    <s v="Indore"/>
    <x v="7"/>
    <n v="9.3023255813953487E-2"/>
    <n v="2018"/>
    <n v="4"/>
  </r>
  <r>
    <s v="B-25845"/>
    <n v="274"/>
    <n v="-7"/>
    <n v="4"/>
    <x v="2"/>
    <x v="4"/>
    <x v="10"/>
    <d v="2018-11-03T00:00:00"/>
    <x v="217"/>
    <s v="Thiruvananthapuram"/>
    <x v="7"/>
    <n v="-2.5547445255474453E-2"/>
    <n v="2018"/>
    <n v="4"/>
  </r>
  <r>
    <s v="B-25845"/>
    <n v="82"/>
    <n v="33"/>
    <n v="4"/>
    <x v="1"/>
    <x v="8"/>
    <x v="10"/>
    <d v="2018-11-03T00:00:00"/>
    <x v="217"/>
    <s v="Thiruvananthapuram"/>
    <x v="7"/>
    <n v="0.40243902439024393"/>
    <n v="2018"/>
    <n v="4"/>
  </r>
  <r>
    <s v="B-25845"/>
    <n v="757"/>
    <n v="371"/>
    <n v="2"/>
    <x v="2"/>
    <x v="13"/>
    <x v="10"/>
    <d v="2018-11-03T00:00:00"/>
    <x v="217"/>
    <s v="Thiruvananthapuram"/>
    <x v="7"/>
    <n v="0.49009247027741082"/>
    <n v="2018"/>
    <n v="4"/>
  </r>
  <r>
    <s v="B-25845"/>
    <n v="132"/>
    <n v="54"/>
    <n v="5"/>
    <x v="1"/>
    <x v="1"/>
    <x v="10"/>
    <d v="2018-11-03T00:00:00"/>
    <x v="217"/>
    <s v="Thiruvananthapuram"/>
    <x v="7"/>
    <n v="0.40909090909090912"/>
    <n v="2018"/>
    <n v="4"/>
  </r>
  <r>
    <s v="B-25846"/>
    <n v="94"/>
    <n v="7"/>
    <n v="7"/>
    <x v="1"/>
    <x v="11"/>
    <x v="11"/>
    <d v="2018-11-03T00:00:00"/>
    <x v="218"/>
    <s v="Chandigarh"/>
    <x v="7"/>
    <n v="7.4468085106382975E-2"/>
    <n v="2018"/>
    <n v="4"/>
  </r>
  <r>
    <s v="B-25847"/>
    <n v="643"/>
    <n v="225"/>
    <n v="2"/>
    <x v="2"/>
    <x v="13"/>
    <x v="12"/>
    <d v="2018-11-03T00:00:00"/>
    <x v="219"/>
    <s v="Chandigarh"/>
    <x v="7"/>
    <n v="0.34992223950233281"/>
    <n v="2018"/>
    <n v="4"/>
  </r>
  <r>
    <s v="B-25847"/>
    <n v="264"/>
    <n v="71"/>
    <n v="10"/>
    <x v="0"/>
    <x v="15"/>
    <x v="12"/>
    <d v="2018-11-03T00:00:00"/>
    <x v="219"/>
    <s v="Chandigarh"/>
    <x v="7"/>
    <n v="0.26893939393939392"/>
    <n v="2018"/>
    <n v="4"/>
  </r>
  <r>
    <s v="B-25848"/>
    <n v="147"/>
    <n v="21"/>
    <n v="3"/>
    <x v="0"/>
    <x v="15"/>
    <x v="13"/>
    <d v="2018-11-03T00:00:00"/>
    <x v="200"/>
    <s v="Simla"/>
    <x v="7"/>
    <n v="0.14285714285714285"/>
    <n v="2018"/>
    <n v="4"/>
  </r>
  <r>
    <s v="B-25848"/>
    <n v="16"/>
    <n v="8"/>
    <n v="2"/>
    <x v="1"/>
    <x v="2"/>
    <x v="13"/>
    <d v="2018-11-03T00:00:00"/>
    <x v="200"/>
    <s v="Simla"/>
    <x v="7"/>
    <n v="0.5"/>
    <n v="2018"/>
    <n v="4"/>
  </r>
  <r>
    <s v="B-25848"/>
    <n v="648"/>
    <n v="50"/>
    <n v="6"/>
    <x v="2"/>
    <x v="3"/>
    <x v="13"/>
    <d v="2018-11-03T00:00:00"/>
    <x v="200"/>
    <s v="Simla"/>
    <x v="7"/>
    <n v="7.716049382716049E-2"/>
    <n v="2018"/>
    <n v="4"/>
  </r>
  <r>
    <s v="B-25849"/>
    <n v="336"/>
    <n v="123"/>
    <n v="3"/>
    <x v="2"/>
    <x v="4"/>
    <x v="14"/>
    <d v="2018-11-04T00:00:00"/>
    <x v="220"/>
    <s v="Gangtok"/>
    <x v="7"/>
    <n v="0.36607142857142855"/>
    <n v="2018"/>
    <n v="4"/>
  </r>
  <r>
    <s v="B-25850"/>
    <n v="45"/>
    <n v="1"/>
    <n v="3"/>
    <x v="1"/>
    <x v="9"/>
    <x v="15"/>
    <d v="2018-11-05T00:00:00"/>
    <x v="168"/>
    <s v="Goa"/>
    <x v="7"/>
    <n v="2.2222222222222223E-2"/>
    <n v="2018"/>
    <n v="4"/>
  </r>
  <r>
    <s v="B-25850"/>
    <n v="93"/>
    <n v="-1"/>
    <n v="2"/>
    <x v="1"/>
    <x v="2"/>
    <x v="15"/>
    <d v="2018-11-05T00:00:00"/>
    <x v="168"/>
    <s v="Goa"/>
    <x v="7"/>
    <n v="-1.0752688172043012E-2"/>
    <n v="2018"/>
    <n v="4"/>
  </r>
  <r>
    <s v="B-25850"/>
    <n v="52"/>
    <n v="18"/>
    <n v="5"/>
    <x v="1"/>
    <x v="11"/>
    <x v="15"/>
    <d v="2018-11-05T00:00:00"/>
    <x v="168"/>
    <s v="Goa"/>
    <x v="7"/>
    <n v="0.34615384615384615"/>
    <n v="2018"/>
    <n v="4"/>
  </r>
  <r>
    <s v="B-25850"/>
    <n v="148"/>
    <n v="24"/>
    <n v="3"/>
    <x v="1"/>
    <x v="1"/>
    <x v="15"/>
    <d v="2018-11-05T00:00:00"/>
    <x v="168"/>
    <s v="Goa"/>
    <x v="7"/>
    <n v="0.16216216216216217"/>
    <n v="2018"/>
    <n v="4"/>
  </r>
  <r>
    <s v="B-25850"/>
    <n v="24"/>
    <n v="1"/>
    <n v="4"/>
    <x v="1"/>
    <x v="2"/>
    <x v="15"/>
    <d v="2018-11-05T00:00:00"/>
    <x v="168"/>
    <s v="Goa"/>
    <x v="7"/>
    <n v="4.1666666666666664E-2"/>
    <n v="2018"/>
    <n v="4"/>
  </r>
  <r>
    <s v="B-25850"/>
    <n v="513"/>
    <n v="215"/>
    <n v="2"/>
    <x v="2"/>
    <x v="14"/>
    <x v="15"/>
    <d v="2018-11-05T00:00:00"/>
    <x v="168"/>
    <s v="Goa"/>
    <x v="7"/>
    <n v="0.41910331384015592"/>
    <n v="2018"/>
    <n v="4"/>
  </r>
  <r>
    <s v="B-25850"/>
    <n v="117"/>
    <n v="36"/>
    <n v="2"/>
    <x v="1"/>
    <x v="6"/>
    <x v="15"/>
    <d v="2018-11-05T00:00:00"/>
    <x v="168"/>
    <s v="Goa"/>
    <x v="7"/>
    <n v="0.30769230769230771"/>
    <n v="2018"/>
    <n v="4"/>
  </r>
  <r>
    <s v="B-25850"/>
    <n v="916"/>
    <n v="192"/>
    <n v="11"/>
    <x v="2"/>
    <x v="4"/>
    <x v="15"/>
    <d v="2018-11-05T00:00:00"/>
    <x v="168"/>
    <s v="Goa"/>
    <x v="7"/>
    <n v="0.20960698689956331"/>
    <n v="2018"/>
    <n v="4"/>
  </r>
  <r>
    <s v="B-25850"/>
    <n v="485"/>
    <n v="199"/>
    <n v="4"/>
    <x v="1"/>
    <x v="5"/>
    <x v="15"/>
    <d v="2018-11-05T00:00:00"/>
    <x v="168"/>
    <s v="Goa"/>
    <x v="7"/>
    <n v="0.41030927835051545"/>
    <n v="2018"/>
    <n v="4"/>
  </r>
  <r>
    <s v="B-25851"/>
    <n v="10"/>
    <n v="2"/>
    <n v="2"/>
    <x v="1"/>
    <x v="2"/>
    <x v="16"/>
    <d v="2018-11-06T00:00:00"/>
    <x v="221"/>
    <s v="Kohima"/>
    <x v="7"/>
    <n v="0.2"/>
    <n v="2018"/>
    <n v="4"/>
  </r>
  <r>
    <s v="B-25851"/>
    <n v="300"/>
    <n v="42"/>
    <n v="2"/>
    <x v="2"/>
    <x v="13"/>
    <x v="16"/>
    <d v="2018-11-06T00:00:00"/>
    <x v="221"/>
    <s v="Kohima"/>
    <x v="7"/>
    <n v="0.14000000000000001"/>
    <n v="2018"/>
    <n v="4"/>
  </r>
  <r>
    <s v="B-25851"/>
    <n v="57"/>
    <n v="27"/>
    <n v="2"/>
    <x v="1"/>
    <x v="9"/>
    <x v="16"/>
    <d v="2018-11-06T00:00:00"/>
    <x v="221"/>
    <s v="Kohima"/>
    <x v="7"/>
    <n v="0.47368421052631576"/>
    <n v="2018"/>
    <n v="4"/>
  </r>
  <r>
    <s v="B-25851"/>
    <n v="103"/>
    <n v="46"/>
    <n v="2"/>
    <x v="1"/>
    <x v="5"/>
    <x v="16"/>
    <d v="2018-11-06T00:00:00"/>
    <x v="221"/>
    <s v="Kohima"/>
    <x v="7"/>
    <n v="0.44660194174757284"/>
    <n v="2018"/>
    <n v="4"/>
  </r>
  <r>
    <s v="B-25851"/>
    <n v="336"/>
    <n v="71"/>
    <n v="3"/>
    <x v="0"/>
    <x v="0"/>
    <x v="16"/>
    <d v="2018-11-06T00:00:00"/>
    <x v="221"/>
    <s v="Kohima"/>
    <x v="7"/>
    <n v="0.21130952380952381"/>
    <n v="2018"/>
    <n v="4"/>
  </r>
  <r>
    <s v="B-25851"/>
    <n v="53"/>
    <n v="24"/>
    <n v="6"/>
    <x v="1"/>
    <x v="2"/>
    <x v="16"/>
    <d v="2018-11-06T00:00:00"/>
    <x v="221"/>
    <s v="Kohima"/>
    <x v="7"/>
    <n v="0.45283018867924529"/>
    <n v="2018"/>
    <n v="4"/>
  </r>
  <r>
    <s v="B-25851"/>
    <n v="90"/>
    <n v="29"/>
    <n v="5"/>
    <x v="1"/>
    <x v="9"/>
    <x v="16"/>
    <d v="2018-11-06T00:00:00"/>
    <x v="221"/>
    <s v="Kohima"/>
    <x v="7"/>
    <n v="0.32222222222222224"/>
    <n v="2018"/>
    <n v="4"/>
  </r>
  <r>
    <s v="B-25851"/>
    <n v="62"/>
    <n v="1"/>
    <n v="3"/>
    <x v="1"/>
    <x v="5"/>
    <x v="16"/>
    <d v="2018-11-06T00:00:00"/>
    <x v="221"/>
    <s v="Kohima"/>
    <x v="7"/>
    <n v="1.6129032258064516E-2"/>
    <n v="2018"/>
    <n v="4"/>
  </r>
  <r>
    <s v="B-25851"/>
    <n v="135"/>
    <n v="54"/>
    <n v="5"/>
    <x v="1"/>
    <x v="8"/>
    <x v="16"/>
    <d v="2018-11-06T00:00:00"/>
    <x v="221"/>
    <s v="Kohima"/>
    <x v="7"/>
    <n v="0.4"/>
    <n v="2018"/>
    <n v="4"/>
  </r>
  <r>
    <s v="B-25851"/>
    <n v="237"/>
    <n v="47"/>
    <n v="9"/>
    <x v="1"/>
    <x v="9"/>
    <x v="16"/>
    <d v="2018-11-06T00:00:00"/>
    <x v="221"/>
    <s v="Kohima"/>
    <x v="7"/>
    <n v="0.19831223628691982"/>
    <n v="2018"/>
    <n v="4"/>
  </r>
  <r>
    <s v="B-25852"/>
    <n v="320"/>
    <n v="144"/>
    <n v="1"/>
    <x v="2"/>
    <x v="13"/>
    <x v="17"/>
    <d v="2018-11-07T00:00:00"/>
    <x v="222"/>
    <s v="Hyderabad"/>
    <x v="7"/>
    <n v="0.45"/>
    <n v="2018"/>
    <n v="4"/>
  </r>
  <r>
    <s v="B-25852"/>
    <n v="24"/>
    <n v="1"/>
    <n v="2"/>
    <x v="1"/>
    <x v="2"/>
    <x v="17"/>
    <d v="2018-11-07T00:00:00"/>
    <x v="222"/>
    <s v="Hyderabad"/>
    <x v="7"/>
    <n v="4.1666666666666664E-2"/>
    <n v="2018"/>
    <n v="4"/>
  </r>
  <r>
    <s v="B-25852"/>
    <n v="45"/>
    <n v="12"/>
    <n v="4"/>
    <x v="1"/>
    <x v="2"/>
    <x v="17"/>
    <d v="2018-11-07T00:00:00"/>
    <x v="222"/>
    <s v="Hyderabad"/>
    <x v="7"/>
    <n v="0.26666666666666666"/>
    <n v="2018"/>
    <n v="4"/>
  </r>
  <r>
    <s v="B-25852"/>
    <n v="97"/>
    <n v="17"/>
    <n v="2"/>
    <x v="1"/>
    <x v="1"/>
    <x v="17"/>
    <d v="2018-11-07T00:00:00"/>
    <x v="222"/>
    <s v="Hyderabad"/>
    <x v="7"/>
    <n v="0.17525773195876287"/>
    <n v="2018"/>
    <n v="4"/>
  </r>
  <r>
    <s v="B-25852"/>
    <n v="50"/>
    <n v="16"/>
    <n v="1"/>
    <x v="1"/>
    <x v="1"/>
    <x v="17"/>
    <d v="2018-11-07T00:00:00"/>
    <x v="222"/>
    <s v="Hyderabad"/>
    <x v="7"/>
    <n v="0.32"/>
    <n v="2018"/>
    <n v="4"/>
  </r>
  <r>
    <s v="B-25852"/>
    <n v="869"/>
    <n v="67"/>
    <n v="4"/>
    <x v="0"/>
    <x v="12"/>
    <x v="17"/>
    <d v="2018-11-07T00:00:00"/>
    <x v="222"/>
    <s v="Hyderabad"/>
    <x v="7"/>
    <n v="7.7100115074798622E-2"/>
    <n v="2018"/>
    <n v="4"/>
  </r>
  <r>
    <s v="B-25852"/>
    <n v="105"/>
    <n v="33"/>
    <n v="5"/>
    <x v="1"/>
    <x v="8"/>
    <x v="17"/>
    <d v="2018-11-07T00:00:00"/>
    <x v="222"/>
    <s v="Hyderabad"/>
    <x v="7"/>
    <n v="0.31428571428571428"/>
    <n v="2018"/>
    <n v="4"/>
  </r>
  <r>
    <s v="B-25853"/>
    <n v="39"/>
    <n v="16"/>
    <n v="6"/>
    <x v="1"/>
    <x v="16"/>
    <x v="0"/>
    <d v="2018-11-08T00:00:00"/>
    <x v="223"/>
    <s v="Ahmedabad"/>
    <x v="7"/>
    <n v="0.41025641025641024"/>
    <n v="2018"/>
    <n v="4"/>
  </r>
  <r>
    <s v="B-25853"/>
    <n v="30"/>
    <n v="14"/>
    <n v="3"/>
    <x v="1"/>
    <x v="2"/>
    <x v="0"/>
    <d v="2018-11-08T00:00:00"/>
    <x v="223"/>
    <s v="Ahmedabad"/>
    <x v="7"/>
    <n v="0.46666666666666667"/>
    <n v="2018"/>
    <n v="4"/>
  </r>
  <r>
    <s v="B-25853"/>
    <n v="26"/>
    <n v="11"/>
    <n v="2"/>
    <x v="1"/>
    <x v="2"/>
    <x v="0"/>
    <d v="2018-11-08T00:00:00"/>
    <x v="223"/>
    <s v="Ahmedabad"/>
    <x v="7"/>
    <n v="0.42307692307692307"/>
    <n v="2018"/>
    <n v="4"/>
  </r>
  <r>
    <s v="B-25853"/>
    <n v="19"/>
    <n v="6"/>
    <n v="2"/>
    <x v="1"/>
    <x v="5"/>
    <x v="0"/>
    <d v="2018-11-08T00:00:00"/>
    <x v="223"/>
    <s v="Ahmedabad"/>
    <x v="7"/>
    <n v="0.31578947368421051"/>
    <n v="2018"/>
    <n v="4"/>
  </r>
  <r>
    <s v="B-25853"/>
    <n v="579"/>
    <n v="139"/>
    <n v="3"/>
    <x v="2"/>
    <x v="13"/>
    <x v="0"/>
    <d v="2018-11-08T00:00:00"/>
    <x v="223"/>
    <s v="Ahmedabad"/>
    <x v="7"/>
    <n v="0.24006908462867013"/>
    <n v="2018"/>
    <n v="4"/>
  </r>
  <r>
    <s v="B-25853"/>
    <n v="2093"/>
    <n v="721"/>
    <n v="5"/>
    <x v="0"/>
    <x v="7"/>
    <x v="0"/>
    <d v="2018-11-08T00:00:00"/>
    <x v="223"/>
    <s v="Ahmedabad"/>
    <x v="7"/>
    <n v="0.34448160535117056"/>
    <n v="2018"/>
    <n v="4"/>
  </r>
  <r>
    <s v="B-25853"/>
    <n v="95"/>
    <n v="11"/>
    <n v="4"/>
    <x v="0"/>
    <x v="15"/>
    <x v="0"/>
    <d v="2018-11-08T00:00:00"/>
    <x v="223"/>
    <s v="Ahmedabad"/>
    <x v="7"/>
    <n v="0.11578947368421053"/>
    <n v="2018"/>
    <n v="4"/>
  </r>
  <r>
    <s v="B-25853"/>
    <n v="128"/>
    <n v="4"/>
    <n v="3"/>
    <x v="1"/>
    <x v="5"/>
    <x v="0"/>
    <d v="2018-11-08T00:00:00"/>
    <x v="223"/>
    <s v="Ahmedabad"/>
    <x v="7"/>
    <n v="3.125E-2"/>
    <n v="2018"/>
    <n v="4"/>
  </r>
  <r>
    <s v="B-25853"/>
    <n v="199"/>
    <n v="48"/>
    <n v="4"/>
    <x v="1"/>
    <x v="1"/>
    <x v="0"/>
    <d v="2018-11-08T00:00:00"/>
    <x v="223"/>
    <s v="Ahmedabad"/>
    <x v="7"/>
    <n v="0.24120603015075376"/>
    <n v="2018"/>
    <n v="4"/>
  </r>
  <r>
    <s v="B-25854"/>
    <n v="149"/>
    <n v="48"/>
    <n v="6"/>
    <x v="1"/>
    <x v="1"/>
    <x v="1"/>
    <d v="2018-11-08T00:00:00"/>
    <x v="130"/>
    <s v="Pune"/>
    <x v="7"/>
    <n v="0.32214765100671139"/>
    <n v="2018"/>
    <n v="4"/>
  </r>
  <r>
    <s v="B-25854"/>
    <n v="436"/>
    <n v="131"/>
    <n v="9"/>
    <x v="1"/>
    <x v="2"/>
    <x v="1"/>
    <d v="2018-11-08T00:00:00"/>
    <x v="130"/>
    <s v="Pune"/>
    <x v="7"/>
    <n v="0.30045871559633025"/>
    <n v="2018"/>
    <n v="4"/>
  </r>
  <r>
    <s v="B-25854"/>
    <n v="76"/>
    <n v="19"/>
    <n v="3"/>
    <x v="1"/>
    <x v="2"/>
    <x v="1"/>
    <d v="2018-11-08T00:00:00"/>
    <x v="130"/>
    <s v="Pune"/>
    <x v="7"/>
    <n v="0.25"/>
    <n v="2018"/>
    <n v="4"/>
  </r>
  <r>
    <s v="B-25854"/>
    <n v="88"/>
    <n v="16"/>
    <n v="4"/>
    <x v="1"/>
    <x v="1"/>
    <x v="1"/>
    <d v="2018-11-08T00:00:00"/>
    <x v="130"/>
    <s v="Pune"/>
    <x v="7"/>
    <n v="0.18181818181818182"/>
    <n v="2018"/>
    <n v="4"/>
  </r>
  <r>
    <s v="B-25854"/>
    <n v="342"/>
    <n v="154"/>
    <n v="7"/>
    <x v="0"/>
    <x v="15"/>
    <x v="1"/>
    <d v="2018-11-08T00:00:00"/>
    <x v="130"/>
    <s v="Pune"/>
    <x v="7"/>
    <n v="0.45029239766081869"/>
    <n v="2018"/>
    <n v="4"/>
  </r>
  <r>
    <s v="B-25854"/>
    <n v="40"/>
    <n v="16"/>
    <n v="3"/>
    <x v="1"/>
    <x v="2"/>
    <x v="1"/>
    <d v="2018-11-08T00:00:00"/>
    <x v="130"/>
    <s v="Pune"/>
    <x v="7"/>
    <n v="0.4"/>
    <n v="2018"/>
    <n v="4"/>
  </r>
  <r>
    <s v="B-25854"/>
    <n v="53"/>
    <n v="-2"/>
    <n v="3"/>
    <x v="1"/>
    <x v="5"/>
    <x v="1"/>
    <d v="2018-11-08T00:00:00"/>
    <x v="130"/>
    <s v="Pune"/>
    <x v="7"/>
    <n v="-3.7735849056603772E-2"/>
    <n v="2018"/>
    <n v="4"/>
  </r>
  <r>
    <s v="B-25854"/>
    <n v="381"/>
    <n v="144"/>
    <n v="2"/>
    <x v="1"/>
    <x v="5"/>
    <x v="1"/>
    <d v="2018-11-08T00:00:00"/>
    <x v="130"/>
    <s v="Pune"/>
    <x v="7"/>
    <n v="0.37795275590551181"/>
    <n v="2018"/>
    <n v="4"/>
  </r>
  <r>
    <s v="B-25855"/>
    <n v="829"/>
    <n v="19"/>
    <n v="4"/>
    <x v="2"/>
    <x v="13"/>
    <x v="2"/>
    <d v="2018-11-08T00:00:00"/>
    <x v="224"/>
    <s v="Bhopal"/>
    <x v="7"/>
    <n v="2.2919179734620022E-2"/>
    <n v="2018"/>
    <n v="4"/>
  </r>
  <r>
    <s v="B-25855"/>
    <n v="442"/>
    <n v="31"/>
    <n v="2"/>
    <x v="2"/>
    <x v="3"/>
    <x v="2"/>
    <d v="2018-11-08T00:00:00"/>
    <x v="224"/>
    <s v="Bhopal"/>
    <x v="7"/>
    <n v="7.0135746606334842E-2"/>
    <n v="2018"/>
    <n v="4"/>
  </r>
  <r>
    <s v="B-25855"/>
    <n v="90"/>
    <n v="17"/>
    <n v="3"/>
    <x v="1"/>
    <x v="2"/>
    <x v="2"/>
    <d v="2018-11-08T00:00:00"/>
    <x v="224"/>
    <s v="Bhopal"/>
    <x v="7"/>
    <n v="0.18888888888888888"/>
    <n v="2018"/>
    <n v="4"/>
  </r>
  <r>
    <s v="B-25855"/>
    <n v="98"/>
    <n v="12"/>
    <n v="2"/>
    <x v="1"/>
    <x v="2"/>
    <x v="2"/>
    <d v="2018-11-08T00:00:00"/>
    <x v="224"/>
    <s v="Bhopal"/>
    <x v="7"/>
    <n v="0.12244897959183673"/>
    <n v="2018"/>
    <n v="4"/>
  </r>
  <r>
    <s v="B-25855"/>
    <n v="61"/>
    <n v="30"/>
    <n v="2"/>
    <x v="1"/>
    <x v="2"/>
    <x v="2"/>
    <d v="2018-11-08T00:00:00"/>
    <x v="224"/>
    <s v="Bhopal"/>
    <x v="7"/>
    <n v="0.49180327868852458"/>
    <n v="2018"/>
    <n v="4"/>
  </r>
  <r>
    <s v="B-25855"/>
    <n v="1027"/>
    <n v="441"/>
    <n v="8"/>
    <x v="1"/>
    <x v="5"/>
    <x v="2"/>
    <d v="2018-11-08T00:00:00"/>
    <x v="224"/>
    <s v="Bhopal"/>
    <x v="7"/>
    <n v="0.42940603700097368"/>
    <n v="2018"/>
    <n v="4"/>
  </r>
  <r>
    <s v="B-25855"/>
    <n v="1319"/>
    <n v="567"/>
    <n v="5"/>
    <x v="2"/>
    <x v="13"/>
    <x v="2"/>
    <d v="2018-11-08T00:00:00"/>
    <x v="224"/>
    <s v="Bhopal"/>
    <x v="7"/>
    <n v="0.42987111448066717"/>
    <n v="2018"/>
    <n v="4"/>
  </r>
  <r>
    <s v="B-25855"/>
    <n v="197"/>
    <n v="73"/>
    <n v="1"/>
    <x v="0"/>
    <x v="0"/>
    <x v="2"/>
    <d v="2018-11-08T00:00:00"/>
    <x v="224"/>
    <s v="Bhopal"/>
    <x v="7"/>
    <n v="0.37055837563451777"/>
    <n v="2018"/>
    <n v="4"/>
  </r>
  <r>
    <s v="B-25855"/>
    <n v="550"/>
    <n v="242"/>
    <n v="5"/>
    <x v="0"/>
    <x v="15"/>
    <x v="2"/>
    <d v="2018-11-08T00:00:00"/>
    <x v="224"/>
    <s v="Bhopal"/>
    <x v="7"/>
    <n v="0.44"/>
    <n v="2018"/>
    <n v="4"/>
  </r>
  <r>
    <s v="B-25856"/>
    <n v="74"/>
    <n v="29"/>
    <n v="3"/>
    <x v="1"/>
    <x v="1"/>
    <x v="1"/>
    <d v="2018-11-10T00:00:00"/>
    <x v="224"/>
    <s v="Mumbai"/>
    <x v="7"/>
    <n v="0.39189189189189189"/>
    <n v="2018"/>
    <n v="4"/>
  </r>
  <r>
    <s v="B-25856"/>
    <n v="10"/>
    <n v="2"/>
    <n v="2"/>
    <x v="1"/>
    <x v="16"/>
    <x v="1"/>
    <d v="2018-11-10T00:00:00"/>
    <x v="224"/>
    <s v="Mumbai"/>
    <x v="7"/>
    <n v="0.2"/>
    <n v="2018"/>
    <n v="4"/>
  </r>
  <r>
    <s v="B-25856"/>
    <n v="689"/>
    <n v="90"/>
    <n v="5"/>
    <x v="1"/>
    <x v="5"/>
    <x v="1"/>
    <d v="2018-11-10T00:00:00"/>
    <x v="224"/>
    <s v="Mumbai"/>
    <x v="7"/>
    <n v="0.13062409288824384"/>
    <n v="2018"/>
    <n v="4"/>
  </r>
  <r>
    <s v="B-25856"/>
    <n v="257"/>
    <n v="3"/>
    <n v="2"/>
    <x v="1"/>
    <x v="5"/>
    <x v="1"/>
    <d v="2018-11-10T00:00:00"/>
    <x v="224"/>
    <s v="Mumbai"/>
    <x v="7"/>
    <n v="1.1673151750972763E-2"/>
    <n v="2018"/>
    <n v="4"/>
  </r>
  <r>
    <s v="B-25856"/>
    <n v="48"/>
    <n v="6"/>
    <n v="1"/>
    <x v="1"/>
    <x v="5"/>
    <x v="1"/>
    <d v="2018-11-10T00:00:00"/>
    <x v="224"/>
    <s v="Mumbai"/>
    <x v="7"/>
    <n v="0.125"/>
    <n v="2018"/>
    <n v="4"/>
  </r>
  <r>
    <s v="B-25857"/>
    <n v="324"/>
    <n v="39"/>
    <n v="8"/>
    <x v="2"/>
    <x v="14"/>
    <x v="2"/>
    <d v="2018-11-10T00:00:00"/>
    <x v="225"/>
    <s v="Indore"/>
    <x v="7"/>
    <n v="0.12037037037037036"/>
    <n v="2018"/>
    <n v="4"/>
  </r>
  <r>
    <s v="B-25857"/>
    <n v="598"/>
    <n v="166"/>
    <n v="4"/>
    <x v="0"/>
    <x v="0"/>
    <x v="2"/>
    <d v="2018-11-10T00:00:00"/>
    <x v="225"/>
    <s v="Indore"/>
    <x v="7"/>
    <n v="0.27759197324414714"/>
    <n v="2018"/>
    <n v="4"/>
  </r>
  <r>
    <s v="B-25857"/>
    <n v="227"/>
    <n v="59"/>
    <n v="2"/>
    <x v="0"/>
    <x v="15"/>
    <x v="2"/>
    <d v="2018-11-10T00:00:00"/>
    <x v="225"/>
    <s v="Indore"/>
    <x v="7"/>
    <n v="0.25991189427312777"/>
    <n v="2018"/>
    <n v="4"/>
  </r>
  <r>
    <s v="B-25858"/>
    <n v="22"/>
    <n v="8"/>
    <n v="3"/>
    <x v="1"/>
    <x v="2"/>
    <x v="1"/>
    <d v="2018-11-13T00:00:00"/>
    <x v="193"/>
    <s v="Mumbai"/>
    <x v="7"/>
    <n v="0.36363636363636365"/>
    <n v="2018"/>
    <n v="4"/>
  </r>
  <r>
    <s v="B-25858"/>
    <n v="29"/>
    <n v="11"/>
    <n v="4"/>
    <x v="1"/>
    <x v="16"/>
    <x v="1"/>
    <d v="2018-11-13T00:00:00"/>
    <x v="193"/>
    <s v="Mumbai"/>
    <x v="7"/>
    <n v="0.37931034482758619"/>
    <n v="2018"/>
    <n v="4"/>
  </r>
  <r>
    <s v="B-25858"/>
    <n v="27"/>
    <n v="5"/>
    <n v="2"/>
    <x v="1"/>
    <x v="16"/>
    <x v="1"/>
    <d v="2018-11-13T00:00:00"/>
    <x v="193"/>
    <s v="Mumbai"/>
    <x v="7"/>
    <n v="0.18518518518518517"/>
    <n v="2018"/>
    <n v="4"/>
  </r>
  <r>
    <s v="B-25858"/>
    <n v="82"/>
    <n v="13"/>
    <n v="2"/>
    <x v="1"/>
    <x v="10"/>
    <x v="1"/>
    <d v="2018-11-13T00:00:00"/>
    <x v="193"/>
    <s v="Mumbai"/>
    <x v="7"/>
    <n v="0.15853658536585366"/>
    <n v="2018"/>
    <n v="4"/>
  </r>
  <r>
    <s v="B-25858"/>
    <n v="294"/>
    <n v="109"/>
    <n v="7"/>
    <x v="2"/>
    <x v="14"/>
    <x v="1"/>
    <d v="2018-11-13T00:00:00"/>
    <x v="193"/>
    <s v="Mumbai"/>
    <x v="7"/>
    <n v="0.37074829931972791"/>
    <n v="2018"/>
    <n v="4"/>
  </r>
  <r>
    <s v="B-25858"/>
    <n v="16"/>
    <n v="0"/>
    <n v="1"/>
    <x v="1"/>
    <x v="5"/>
    <x v="1"/>
    <d v="2018-11-13T00:00:00"/>
    <x v="193"/>
    <s v="Mumbai"/>
    <x v="7"/>
    <n v="0"/>
    <n v="2018"/>
    <n v="4"/>
  </r>
  <r>
    <s v="B-25858"/>
    <n v="245"/>
    <n v="30"/>
    <n v="2"/>
    <x v="1"/>
    <x v="5"/>
    <x v="1"/>
    <d v="2018-11-13T00:00:00"/>
    <x v="193"/>
    <s v="Mumbai"/>
    <x v="7"/>
    <n v="0.12244897959183673"/>
    <n v="2018"/>
    <n v="4"/>
  </r>
  <r>
    <s v="B-25858"/>
    <n v="223"/>
    <n v="27"/>
    <n v="2"/>
    <x v="0"/>
    <x v="0"/>
    <x v="1"/>
    <d v="2018-11-13T00:00:00"/>
    <x v="193"/>
    <s v="Mumbai"/>
    <x v="7"/>
    <n v="0.1210762331838565"/>
    <n v="2018"/>
    <n v="4"/>
  </r>
  <r>
    <s v="B-25858"/>
    <n v="2457"/>
    <n v="665"/>
    <n v="11"/>
    <x v="2"/>
    <x v="3"/>
    <x v="1"/>
    <d v="2018-11-13T00:00:00"/>
    <x v="193"/>
    <s v="Mumbai"/>
    <x v="7"/>
    <n v="0.27065527065527067"/>
    <n v="2018"/>
    <n v="4"/>
  </r>
  <r>
    <s v="B-25859"/>
    <n v="724"/>
    <n v="253"/>
    <n v="2"/>
    <x v="0"/>
    <x v="0"/>
    <x v="2"/>
    <d v="2018-11-14T00:00:00"/>
    <x v="226"/>
    <s v="Indore"/>
    <x v="7"/>
    <n v="0.34944751381215472"/>
    <n v="2018"/>
    <n v="4"/>
  </r>
  <r>
    <s v="B-25860"/>
    <n v="112"/>
    <n v="24"/>
    <n v="3"/>
    <x v="1"/>
    <x v="8"/>
    <x v="7"/>
    <d v="2018-11-15T00:00:00"/>
    <x v="145"/>
    <s v="Chennai"/>
    <x v="7"/>
    <n v="0.21428571428571427"/>
    <n v="2018"/>
    <n v="4"/>
  </r>
  <r>
    <s v="B-25861"/>
    <n v="128"/>
    <n v="4"/>
    <n v="3"/>
    <x v="1"/>
    <x v="5"/>
    <x v="8"/>
    <d v="2018-11-15T00:00:00"/>
    <x v="227"/>
    <s v="Lucknow"/>
    <x v="7"/>
    <n v="3.125E-2"/>
    <n v="2018"/>
    <n v="4"/>
  </r>
  <r>
    <s v="B-25861"/>
    <n v="50"/>
    <n v="3"/>
    <n v="2"/>
    <x v="1"/>
    <x v="1"/>
    <x v="8"/>
    <d v="2018-11-15T00:00:00"/>
    <x v="227"/>
    <s v="Lucknow"/>
    <x v="7"/>
    <n v="0.06"/>
    <n v="2018"/>
    <n v="4"/>
  </r>
  <r>
    <s v="B-25861"/>
    <n v="62"/>
    <n v="6"/>
    <n v="5"/>
    <x v="1"/>
    <x v="2"/>
    <x v="8"/>
    <d v="2018-11-15T00:00:00"/>
    <x v="227"/>
    <s v="Lucknow"/>
    <x v="7"/>
    <n v="9.6774193548387094E-2"/>
    <n v="2018"/>
    <n v="4"/>
  </r>
  <r>
    <s v="B-25861"/>
    <n v="44"/>
    <n v="14"/>
    <n v="3"/>
    <x v="1"/>
    <x v="2"/>
    <x v="8"/>
    <d v="2018-11-15T00:00:00"/>
    <x v="227"/>
    <s v="Lucknow"/>
    <x v="7"/>
    <n v="0.31818181818181818"/>
    <n v="2018"/>
    <n v="4"/>
  </r>
  <r>
    <s v="B-25861"/>
    <n v="56"/>
    <n v="18"/>
    <n v="2"/>
    <x v="1"/>
    <x v="2"/>
    <x v="8"/>
    <d v="2018-11-15T00:00:00"/>
    <x v="227"/>
    <s v="Lucknow"/>
    <x v="7"/>
    <n v="0.32142857142857145"/>
    <n v="2018"/>
    <n v="4"/>
  </r>
  <r>
    <s v="B-25861"/>
    <n v="216"/>
    <n v="-83"/>
    <n v="3"/>
    <x v="2"/>
    <x v="3"/>
    <x v="8"/>
    <d v="2018-11-15T00:00:00"/>
    <x v="227"/>
    <s v="Lucknow"/>
    <x v="7"/>
    <n v="-0.38425925925925924"/>
    <n v="2018"/>
    <n v="4"/>
  </r>
  <r>
    <s v="B-25862"/>
    <n v="2061"/>
    <n v="701"/>
    <n v="5"/>
    <x v="0"/>
    <x v="0"/>
    <x v="9"/>
    <d v="2018-11-15T00:00:00"/>
    <x v="228"/>
    <s v="Patna"/>
    <x v="7"/>
    <n v="0.34012615235322657"/>
    <n v="2018"/>
    <n v="4"/>
  </r>
  <r>
    <s v="B-25862"/>
    <n v="121"/>
    <n v="41"/>
    <n v="4"/>
    <x v="1"/>
    <x v="1"/>
    <x v="9"/>
    <d v="2018-11-15T00:00:00"/>
    <x v="228"/>
    <s v="Patna"/>
    <x v="7"/>
    <n v="0.33884297520661155"/>
    <n v="2018"/>
    <n v="4"/>
  </r>
  <r>
    <s v="B-25862"/>
    <n v="80"/>
    <n v="3"/>
    <n v="3"/>
    <x v="1"/>
    <x v="1"/>
    <x v="9"/>
    <d v="2018-11-15T00:00:00"/>
    <x v="228"/>
    <s v="Patna"/>
    <x v="7"/>
    <n v="3.7499999999999999E-2"/>
    <n v="2018"/>
    <n v="4"/>
  </r>
  <r>
    <s v="B-25863"/>
    <n v="189"/>
    <n v="87"/>
    <n v="7"/>
    <x v="1"/>
    <x v="1"/>
    <x v="10"/>
    <d v="2018-11-15T00:00:00"/>
    <x v="229"/>
    <s v="Thiruvananthapuram"/>
    <x v="7"/>
    <n v="0.46031746031746029"/>
    <n v="2018"/>
    <n v="4"/>
  </r>
  <r>
    <s v="B-25864"/>
    <n v="100"/>
    <n v="6"/>
    <n v="4"/>
    <x v="1"/>
    <x v="1"/>
    <x v="1"/>
    <d v="2018-11-15T00:00:00"/>
    <x v="230"/>
    <s v="Mumbai"/>
    <x v="7"/>
    <n v="0.06"/>
    <n v="2018"/>
    <n v="4"/>
  </r>
  <r>
    <s v="B-25864"/>
    <n v="17"/>
    <n v="5"/>
    <n v="1"/>
    <x v="1"/>
    <x v="2"/>
    <x v="1"/>
    <d v="2018-11-15T00:00:00"/>
    <x v="230"/>
    <s v="Mumbai"/>
    <x v="7"/>
    <n v="0.29411764705882354"/>
    <n v="2018"/>
    <n v="4"/>
  </r>
  <r>
    <s v="B-25864"/>
    <n v="22"/>
    <n v="8"/>
    <n v="2"/>
    <x v="1"/>
    <x v="11"/>
    <x v="1"/>
    <d v="2018-11-15T00:00:00"/>
    <x v="230"/>
    <s v="Mumbai"/>
    <x v="7"/>
    <n v="0.36363636363636365"/>
    <n v="2018"/>
    <n v="4"/>
  </r>
  <r>
    <s v="B-25864"/>
    <n v="27"/>
    <n v="9"/>
    <n v="2"/>
    <x v="1"/>
    <x v="2"/>
    <x v="1"/>
    <d v="2018-11-15T00:00:00"/>
    <x v="230"/>
    <s v="Mumbai"/>
    <x v="7"/>
    <n v="0.33333333333333331"/>
    <n v="2018"/>
    <n v="4"/>
  </r>
  <r>
    <s v="B-25865"/>
    <n v="85"/>
    <n v="-1"/>
    <n v="3"/>
    <x v="1"/>
    <x v="5"/>
    <x v="2"/>
    <d v="2018-11-15T00:00:00"/>
    <x v="231"/>
    <s v="Indore"/>
    <x v="7"/>
    <n v="-1.1764705882352941E-2"/>
    <n v="2018"/>
    <n v="4"/>
  </r>
  <r>
    <s v="B-25866"/>
    <n v="51"/>
    <n v="14"/>
    <n v="2"/>
    <x v="1"/>
    <x v="1"/>
    <x v="13"/>
    <d v="2018-11-16T00:00:00"/>
    <x v="232"/>
    <s v="Simla"/>
    <x v="7"/>
    <n v="0.27450980392156865"/>
    <n v="2018"/>
    <n v="4"/>
  </r>
  <r>
    <s v="B-25867"/>
    <n v="31"/>
    <n v="14"/>
    <n v="3"/>
    <x v="1"/>
    <x v="1"/>
    <x v="14"/>
    <d v="2018-11-17T00:00:00"/>
    <x v="184"/>
    <s v="Gangtok"/>
    <x v="7"/>
    <n v="0.45161290322580644"/>
    <n v="2018"/>
    <n v="4"/>
  </r>
  <r>
    <s v="B-25867"/>
    <n v="240"/>
    <n v="12"/>
    <n v="6"/>
    <x v="1"/>
    <x v="8"/>
    <x v="14"/>
    <d v="2018-11-17T00:00:00"/>
    <x v="184"/>
    <s v="Gangtok"/>
    <x v="7"/>
    <n v="0.05"/>
    <n v="2018"/>
    <n v="4"/>
  </r>
  <r>
    <s v="B-25867"/>
    <n v="163"/>
    <n v="26"/>
    <n v="4"/>
    <x v="1"/>
    <x v="10"/>
    <x v="14"/>
    <d v="2018-11-17T00:00:00"/>
    <x v="184"/>
    <s v="Gangtok"/>
    <x v="7"/>
    <n v="0.15950920245398773"/>
    <n v="2018"/>
    <n v="4"/>
  </r>
  <r>
    <s v="B-25868"/>
    <n v="170"/>
    <n v="73"/>
    <n v="2"/>
    <x v="2"/>
    <x v="14"/>
    <x v="15"/>
    <d v="2018-11-18T00:00:00"/>
    <x v="233"/>
    <s v="Goa"/>
    <x v="7"/>
    <n v="0.42941176470588233"/>
    <n v="2018"/>
    <n v="4"/>
  </r>
  <r>
    <s v="B-25868"/>
    <n v="62"/>
    <n v="-1"/>
    <n v="1"/>
    <x v="2"/>
    <x v="4"/>
    <x v="15"/>
    <d v="2018-11-18T00:00:00"/>
    <x v="233"/>
    <s v="Goa"/>
    <x v="7"/>
    <n v="-1.6129032258064516E-2"/>
    <n v="2018"/>
    <n v="4"/>
  </r>
  <r>
    <s v="B-25868"/>
    <n v="1118"/>
    <n v="206"/>
    <n v="2"/>
    <x v="0"/>
    <x v="12"/>
    <x v="15"/>
    <d v="2018-11-18T00:00:00"/>
    <x v="233"/>
    <s v="Goa"/>
    <x v="7"/>
    <n v="0.18425760286225404"/>
    <n v="2018"/>
    <n v="4"/>
  </r>
  <r>
    <s v="B-25869"/>
    <n v="86"/>
    <n v="9"/>
    <n v="3"/>
    <x v="1"/>
    <x v="5"/>
    <x v="16"/>
    <d v="2018-11-19T00:00:00"/>
    <x v="234"/>
    <s v="Kohima"/>
    <x v="7"/>
    <n v="0.10465116279069768"/>
    <n v="2018"/>
    <n v="4"/>
  </r>
  <r>
    <s v="B-25870"/>
    <n v="10"/>
    <n v="4"/>
    <n v="1"/>
    <x v="1"/>
    <x v="8"/>
    <x v="17"/>
    <d v="2018-11-20T00:00:00"/>
    <x v="127"/>
    <s v="Hyderabad"/>
    <x v="7"/>
    <n v="0.4"/>
    <n v="2018"/>
    <n v="4"/>
  </r>
  <r>
    <s v="B-25870"/>
    <n v="845"/>
    <n v="84"/>
    <n v="7"/>
    <x v="1"/>
    <x v="5"/>
    <x v="17"/>
    <d v="2018-11-20T00:00:00"/>
    <x v="127"/>
    <s v="Hyderabad"/>
    <x v="7"/>
    <n v="9.9408284023668636E-2"/>
    <n v="2018"/>
    <n v="4"/>
  </r>
  <r>
    <s v="B-25870"/>
    <n v="57"/>
    <n v="7"/>
    <n v="3"/>
    <x v="0"/>
    <x v="15"/>
    <x v="17"/>
    <d v="2018-11-20T00:00:00"/>
    <x v="127"/>
    <s v="Hyderabad"/>
    <x v="7"/>
    <n v="0.12280701754385964"/>
    <n v="2018"/>
    <n v="4"/>
  </r>
  <r>
    <s v="B-25870"/>
    <n v="473"/>
    <n v="113"/>
    <n v="9"/>
    <x v="1"/>
    <x v="2"/>
    <x v="17"/>
    <d v="2018-11-20T00:00:00"/>
    <x v="127"/>
    <s v="Hyderabad"/>
    <x v="7"/>
    <n v="0.23890063424947147"/>
    <n v="2018"/>
    <n v="4"/>
  </r>
  <r>
    <s v="B-25871"/>
    <n v="118"/>
    <n v="25"/>
    <n v="4"/>
    <x v="1"/>
    <x v="2"/>
    <x v="0"/>
    <d v="2018-11-21T00:00:00"/>
    <x v="235"/>
    <s v="Surat"/>
    <x v="7"/>
    <n v="0.21186440677966101"/>
    <n v="2018"/>
    <n v="4"/>
  </r>
  <r>
    <s v="B-25872"/>
    <n v="57"/>
    <n v="27"/>
    <n v="2"/>
    <x v="1"/>
    <x v="10"/>
    <x v="1"/>
    <d v="2018-11-22T00:00:00"/>
    <x v="236"/>
    <s v="Mumbai"/>
    <x v="7"/>
    <n v="0.47368421052631576"/>
    <n v="2018"/>
    <n v="4"/>
  </r>
  <r>
    <s v="B-25873"/>
    <n v="66"/>
    <n v="12"/>
    <n v="3"/>
    <x v="1"/>
    <x v="1"/>
    <x v="2"/>
    <d v="2018-11-23T00:00:00"/>
    <x v="237"/>
    <s v="Indore"/>
    <x v="7"/>
    <n v="0.18181818181818182"/>
    <n v="2018"/>
    <n v="4"/>
  </r>
  <r>
    <s v="B-25873"/>
    <n v="367"/>
    <n v="73"/>
    <n v="3"/>
    <x v="2"/>
    <x v="3"/>
    <x v="2"/>
    <d v="2018-11-23T00:00:00"/>
    <x v="237"/>
    <s v="Indore"/>
    <x v="7"/>
    <n v="0.1989100817438692"/>
    <n v="2018"/>
    <n v="4"/>
  </r>
  <r>
    <s v="B-25873"/>
    <n v="7"/>
    <n v="1"/>
    <n v="1"/>
    <x v="1"/>
    <x v="2"/>
    <x v="2"/>
    <d v="2018-11-23T00:00:00"/>
    <x v="237"/>
    <s v="Indore"/>
    <x v="7"/>
    <n v="0.14285714285714285"/>
    <n v="2018"/>
    <n v="4"/>
  </r>
  <r>
    <s v="B-25873"/>
    <n v="1275"/>
    <n v="357"/>
    <n v="2"/>
    <x v="2"/>
    <x v="4"/>
    <x v="2"/>
    <d v="2018-11-23T00:00:00"/>
    <x v="237"/>
    <s v="Indore"/>
    <x v="7"/>
    <n v="0.28000000000000003"/>
    <n v="2018"/>
    <n v="4"/>
  </r>
  <r>
    <s v="B-25873"/>
    <n v="42"/>
    <n v="12"/>
    <n v="2"/>
    <x v="1"/>
    <x v="8"/>
    <x v="2"/>
    <d v="2018-11-23T00:00:00"/>
    <x v="237"/>
    <s v="Indore"/>
    <x v="7"/>
    <n v="0.2857142857142857"/>
    <n v="2018"/>
    <n v="4"/>
  </r>
  <r>
    <s v="B-25874"/>
    <n v="124"/>
    <n v="54"/>
    <n v="5"/>
    <x v="1"/>
    <x v="9"/>
    <x v="3"/>
    <d v="2018-11-24T00:00:00"/>
    <x v="106"/>
    <s v="Udaipur"/>
    <x v="7"/>
    <n v="0.43548387096774194"/>
    <n v="2018"/>
    <n v="4"/>
  </r>
  <r>
    <s v="B-25875"/>
    <n v="248"/>
    <n v="8"/>
    <n v="2"/>
    <x v="1"/>
    <x v="5"/>
    <x v="8"/>
    <d v="2018-11-24T00:00:00"/>
    <x v="238"/>
    <s v="Allahabad"/>
    <x v="7"/>
    <n v="3.2258064516129031E-2"/>
    <n v="2018"/>
    <n v="4"/>
  </r>
  <r>
    <s v="B-25876"/>
    <n v="282"/>
    <n v="14"/>
    <n v="4"/>
    <x v="1"/>
    <x v="6"/>
    <x v="11"/>
    <d v="2018-11-24T00:00:00"/>
    <x v="239"/>
    <s v="Amritsar"/>
    <x v="7"/>
    <n v="4.9645390070921988E-2"/>
    <n v="2018"/>
    <n v="4"/>
  </r>
  <r>
    <s v="B-25877"/>
    <n v="1137"/>
    <n v="568"/>
    <n v="2"/>
    <x v="1"/>
    <x v="6"/>
    <x v="0"/>
    <d v="2018-11-24T00:00:00"/>
    <x v="240"/>
    <s v="Surat"/>
    <x v="7"/>
    <n v="0.49956024626209322"/>
    <n v="2018"/>
    <n v="4"/>
  </r>
  <r>
    <s v="B-25877"/>
    <n v="269"/>
    <n v="33"/>
    <n v="5"/>
    <x v="0"/>
    <x v="7"/>
    <x v="0"/>
    <d v="2018-11-24T00:00:00"/>
    <x v="240"/>
    <s v="Surat"/>
    <x v="7"/>
    <n v="0.12267657992565056"/>
    <n v="2018"/>
    <n v="4"/>
  </r>
  <r>
    <s v="B-25877"/>
    <n v="24"/>
    <n v="8"/>
    <n v="2"/>
    <x v="1"/>
    <x v="16"/>
    <x v="0"/>
    <d v="2018-11-24T00:00:00"/>
    <x v="240"/>
    <s v="Surat"/>
    <x v="7"/>
    <n v="0.33333333333333331"/>
    <n v="2018"/>
    <n v="4"/>
  </r>
  <r>
    <s v="B-25878"/>
    <n v="165"/>
    <n v="46"/>
    <n v="3"/>
    <x v="0"/>
    <x v="15"/>
    <x v="1"/>
    <d v="2018-11-24T00:00:00"/>
    <x v="241"/>
    <s v="Mumbai"/>
    <x v="7"/>
    <n v="0.27878787878787881"/>
    <n v="2018"/>
    <n v="4"/>
  </r>
  <r>
    <s v="B-25878"/>
    <n v="46"/>
    <n v="0"/>
    <n v="4"/>
    <x v="1"/>
    <x v="11"/>
    <x v="1"/>
    <d v="2018-11-24T00:00:00"/>
    <x v="241"/>
    <s v="Mumbai"/>
    <x v="7"/>
    <n v="0"/>
    <n v="2018"/>
    <n v="4"/>
  </r>
  <r>
    <s v="B-25878"/>
    <n v="84"/>
    <n v="41"/>
    <n v="3"/>
    <x v="1"/>
    <x v="9"/>
    <x v="1"/>
    <d v="2018-11-24T00:00:00"/>
    <x v="241"/>
    <s v="Mumbai"/>
    <x v="7"/>
    <n v="0.48809523809523808"/>
    <n v="2018"/>
    <n v="4"/>
  </r>
  <r>
    <s v="B-25878"/>
    <n v="140"/>
    <n v="15"/>
    <n v="5"/>
    <x v="1"/>
    <x v="1"/>
    <x v="1"/>
    <d v="2018-11-24T00:00:00"/>
    <x v="241"/>
    <s v="Mumbai"/>
    <x v="7"/>
    <n v="0.10714285714285714"/>
    <n v="2018"/>
    <n v="4"/>
  </r>
  <r>
    <s v="B-25878"/>
    <n v="741"/>
    <n v="267"/>
    <n v="5"/>
    <x v="0"/>
    <x v="0"/>
    <x v="1"/>
    <d v="2018-11-24T00:00:00"/>
    <x v="241"/>
    <s v="Mumbai"/>
    <x v="7"/>
    <n v="0.36032388663967613"/>
    <n v="2018"/>
    <n v="4"/>
  </r>
  <r>
    <s v="B-25878"/>
    <n v="719"/>
    <n v="303"/>
    <n v="6"/>
    <x v="0"/>
    <x v="7"/>
    <x v="1"/>
    <d v="2018-11-24T00:00:00"/>
    <x v="241"/>
    <s v="Mumbai"/>
    <x v="7"/>
    <n v="0.42141863699582754"/>
    <n v="2018"/>
    <n v="4"/>
  </r>
  <r>
    <s v="B-25879"/>
    <n v="57"/>
    <n v="28"/>
    <n v="2"/>
    <x v="1"/>
    <x v="8"/>
    <x v="2"/>
    <d v="2018-11-24T00:00:00"/>
    <x v="173"/>
    <s v="Indore"/>
    <x v="7"/>
    <n v="0.49122807017543857"/>
    <n v="2018"/>
    <n v="4"/>
  </r>
  <r>
    <s v="B-25880"/>
    <n v="108"/>
    <n v="37"/>
    <n v="2"/>
    <x v="1"/>
    <x v="1"/>
    <x v="3"/>
    <d v="2018-11-24T00:00:00"/>
    <x v="242"/>
    <s v="Udaipur"/>
    <x v="7"/>
    <n v="0.34259259259259262"/>
    <n v="2018"/>
    <n v="4"/>
  </r>
  <r>
    <s v="B-25881"/>
    <n v="37"/>
    <n v="3"/>
    <n v="3"/>
    <x v="1"/>
    <x v="2"/>
    <x v="8"/>
    <d v="2018-11-25T00:00:00"/>
    <x v="27"/>
    <s v="Allahabad"/>
    <x v="7"/>
    <n v="8.1081081081081086E-2"/>
    <n v="2018"/>
    <n v="4"/>
  </r>
  <r>
    <s v="B-25881"/>
    <n v="26"/>
    <n v="9"/>
    <n v="2"/>
    <x v="1"/>
    <x v="11"/>
    <x v="8"/>
    <d v="2018-11-25T00:00:00"/>
    <x v="27"/>
    <s v="Allahabad"/>
    <x v="7"/>
    <n v="0.34615384615384615"/>
    <n v="2018"/>
    <n v="4"/>
  </r>
  <r>
    <s v="B-25881"/>
    <n v="1351"/>
    <n v="111"/>
    <n v="6"/>
    <x v="2"/>
    <x v="3"/>
    <x v="8"/>
    <d v="2018-11-25T00:00:00"/>
    <x v="27"/>
    <s v="Allahabad"/>
    <x v="7"/>
    <n v="8.2161361954108073E-2"/>
    <n v="2018"/>
    <n v="4"/>
  </r>
  <r>
    <s v="B-25881"/>
    <n v="2244"/>
    <n v="247"/>
    <n v="4"/>
    <x v="1"/>
    <x v="6"/>
    <x v="8"/>
    <d v="2018-11-25T00:00:00"/>
    <x v="27"/>
    <s v="Allahabad"/>
    <x v="7"/>
    <n v="0.11007130124777184"/>
    <n v="2018"/>
    <n v="4"/>
  </r>
  <r>
    <s v="B-25881"/>
    <n v="36"/>
    <n v="7"/>
    <n v="3"/>
    <x v="1"/>
    <x v="11"/>
    <x v="8"/>
    <d v="2018-11-25T00:00:00"/>
    <x v="27"/>
    <s v="Allahabad"/>
    <x v="7"/>
    <n v="0.19444444444444445"/>
    <n v="2018"/>
    <n v="4"/>
  </r>
  <r>
    <s v="B-25881"/>
    <n v="2115"/>
    <n v="23"/>
    <n v="5"/>
    <x v="0"/>
    <x v="7"/>
    <x v="8"/>
    <d v="2018-11-25T00:00:00"/>
    <x v="27"/>
    <s v="Allahabad"/>
    <x v="7"/>
    <n v="1.0874704491725768E-2"/>
    <n v="2018"/>
    <n v="4"/>
  </r>
  <r>
    <s v="B-25882"/>
    <n v="121"/>
    <n v="19"/>
    <n v="4"/>
    <x v="1"/>
    <x v="1"/>
    <x v="11"/>
    <d v="2018-11-26T00:00:00"/>
    <x v="243"/>
    <s v="Amritsar"/>
    <x v="7"/>
    <n v="0.15702479338842976"/>
    <n v="2018"/>
    <n v="4"/>
  </r>
  <r>
    <s v="B-25883"/>
    <n v="146"/>
    <n v="42"/>
    <n v="5"/>
    <x v="1"/>
    <x v="2"/>
    <x v="0"/>
    <d v="2018-11-27T00:00:00"/>
    <x v="244"/>
    <s v="Surat"/>
    <x v="7"/>
    <n v="0.28767123287671231"/>
    <n v="2018"/>
    <n v="4"/>
  </r>
  <r>
    <s v="B-25883"/>
    <n v="105"/>
    <n v="26"/>
    <n v="8"/>
    <x v="1"/>
    <x v="11"/>
    <x v="0"/>
    <d v="2018-11-27T00:00:00"/>
    <x v="244"/>
    <s v="Surat"/>
    <x v="7"/>
    <n v="0.24761904761904763"/>
    <n v="2018"/>
    <n v="4"/>
  </r>
  <r>
    <s v="B-25883"/>
    <n v="127"/>
    <n v="29"/>
    <n v="3"/>
    <x v="0"/>
    <x v="15"/>
    <x v="0"/>
    <d v="2018-11-27T00:00:00"/>
    <x v="244"/>
    <s v="Surat"/>
    <x v="7"/>
    <n v="0.2283464566929134"/>
    <n v="2018"/>
    <n v="4"/>
  </r>
  <r>
    <s v="B-25883"/>
    <n v="16"/>
    <n v="-15"/>
    <n v="4"/>
    <x v="1"/>
    <x v="2"/>
    <x v="0"/>
    <d v="2018-11-27T00:00:00"/>
    <x v="244"/>
    <s v="Surat"/>
    <x v="7"/>
    <n v="-0.9375"/>
    <n v="2018"/>
    <n v="4"/>
  </r>
  <r>
    <s v="B-25883"/>
    <n v="10"/>
    <n v="-2"/>
    <n v="2"/>
    <x v="1"/>
    <x v="11"/>
    <x v="0"/>
    <d v="2018-11-27T00:00:00"/>
    <x v="244"/>
    <s v="Surat"/>
    <x v="7"/>
    <n v="-0.2"/>
    <n v="2018"/>
    <n v="4"/>
  </r>
  <r>
    <s v="B-25884"/>
    <n v="24"/>
    <n v="2"/>
    <n v="4"/>
    <x v="1"/>
    <x v="2"/>
    <x v="1"/>
    <d v="2018-11-28T00:00:00"/>
    <x v="245"/>
    <s v="Mumbai"/>
    <x v="7"/>
    <n v="8.3333333333333329E-2"/>
    <n v="2018"/>
    <n v="4"/>
  </r>
  <r>
    <s v="B-25885"/>
    <n v="94"/>
    <n v="27"/>
    <n v="2"/>
    <x v="1"/>
    <x v="10"/>
    <x v="2"/>
    <d v="2018-11-28T00:00:00"/>
    <x v="246"/>
    <s v="Indore"/>
    <x v="7"/>
    <n v="0.28723404255319152"/>
    <n v="2018"/>
    <n v="4"/>
  </r>
  <r>
    <s v="B-25885"/>
    <n v="394"/>
    <n v="146"/>
    <n v="2"/>
    <x v="0"/>
    <x v="0"/>
    <x v="2"/>
    <d v="2018-11-28T00:00:00"/>
    <x v="246"/>
    <s v="Indore"/>
    <x v="7"/>
    <n v="0.37055837563451777"/>
    <n v="2018"/>
    <n v="4"/>
  </r>
  <r>
    <s v="B-25885"/>
    <n v="734"/>
    <n v="248"/>
    <n v="2"/>
    <x v="0"/>
    <x v="7"/>
    <x v="2"/>
    <d v="2018-11-28T00:00:00"/>
    <x v="246"/>
    <s v="Indore"/>
    <x v="7"/>
    <n v="0.33787465940054495"/>
    <n v="2018"/>
    <n v="4"/>
  </r>
  <r>
    <s v="B-25885"/>
    <n v="349"/>
    <n v="0"/>
    <n v="7"/>
    <x v="1"/>
    <x v="1"/>
    <x v="2"/>
    <d v="2018-11-28T00:00:00"/>
    <x v="246"/>
    <s v="Indore"/>
    <x v="7"/>
    <n v="0"/>
    <n v="2018"/>
    <n v="4"/>
  </r>
  <r>
    <s v="B-25886"/>
    <n v="89"/>
    <n v="17"/>
    <n v="2"/>
    <x v="1"/>
    <x v="1"/>
    <x v="3"/>
    <d v="2018-11-28T00:00:00"/>
    <x v="247"/>
    <s v="Udaipur"/>
    <x v="7"/>
    <n v="0.19101123595505617"/>
    <n v="2018"/>
    <n v="4"/>
  </r>
  <r>
    <s v="B-25886"/>
    <n v="502"/>
    <n v="84"/>
    <n v="4"/>
    <x v="2"/>
    <x v="4"/>
    <x v="3"/>
    <d v="2018-11-28T00:00:00"/>
    <x v="247"/>
    <s v="Udaipur"/>
    <x v="7"/>
    <n v="0.16733067729083664"/>
    <n v="2018"/>
    <n v="4"/>
  </r>
  <r>
    <s v="B-25886"/>
    <n v="63"/>
    <n v="1"/>
    <n v="4"/>
    <x v="1"/>
    <x v="9"/>
    <x v="3"/>
    <d v="2018-11-28T00:00:00"/>
    <x v="247"/>
    <s v="Udaipur"/>
    <x v="7"/>
    <n v="1.5873015873015872E-2"/>
    <n v="2018"/>
    <n v="4"/>
  </r>
  <r>
    <s v="B-25886"/>
    <n v="107"/>
    <n v="37"/>
    <n v="3"/>
    <x v="1"/>
    <x v="10"/>
    <x v="3"/>
    <d v="2018-11-28T00:00:00"/>
    <x v="247"/>
    <s v="Udaipur"/>
    <x v="7"/>
    <n v="0.34579439252336447"/>
    <n v="2018"/>
    <n v="4"/>
  </r>
  <r>
    <s v="B-25887"/>
    <n v="83"/>
    <n v="6"/>
    <n v="6"/>
    <x v="1"/>
    <x v="10"/>
    <x v="8"/>
    <d v="2018-12-01T00:00:00"/>
    <x v="248"/>
    <s v="Allahabad"/>
    <x v="8"/>
    <n v="7.2289156626506021E-2"/>
    <n v="2018"/>
    <n v="4"/>
  </r>
  <r>
    <s v="B-25887"/>
    <n v="2125"/>
    <n v="234"/>
    <n v="6"/>
    <x v="2"/>
    <x v="13"/>
    <x v="8"/>
    <d v="2018-12-01T00:00:00"/>
    <x v="248"/>
    <s v="Allahabad"/>
    <x v="8"/>
    <n v="0.11011764705882353"/>
    <n v="2018"/>
    <n v="4"/>
  </r>
  <r>
    <s v="B-25888"/>
    <n v="18"/>
    <n v="2"/>
    <n v="3"/>
    <x v="1"/>
    <x v="2"/>
    <x v="11"/>
    <d v="2018-12-02T00:00:00"/>
    <x v="200"/>
    <s v="Amritsar"/>
    <x v="8"/>
    <n v="0.1111111111111111"/>
    <n v="2018"/>
    <n v="4"/>
  </r>
  <r>
    <s v="B-25888"/>
    <n v="223"/>
    <n v="4"/>
    <n v="3"/>
    <x v="2"/>
    <x v="4"/>
    <x v="11"/>
    <d v="2018-12-02T00:00:00"/>
    <x v="200"/>
    <s v="Amritsar"/>
    <x v="8"/>
    <n v="1.7937219730941704E-2"/>
    <n v="2018"/>
    <n v="4"/>
  </r>
  <r>
    <s v="B-25888"/>
    <n v="646"/>
    <n v="213"/>
    <n v="3"/>
    <x v="2"/>
    <x v="3"/>
    <x v="11"/>
    <d v="2018-12-02T00:00:00"/>
    <x v="200"/>
    <s v="Amritsar"/>
    <x v="8"/>
    <n v="0.32972136222910214"/>
    <n v="2018"/>
    <n v="4"/>
  </r>
  <r>
    <s v="B-25889"/>
    <n v="31"/>
    <n v="10"/>
    <n v="1"/>
    <x v="1"/>
    <x v="8"/>
    <x v="0"/>
    <d v="2018-12-03T00:00:00"/>
    <x v="168"/>
    <s v="Surat"/>
    <x v="8"/>
    <n v="0.32258064516129031"/>
    <n v="2018"/>
    <n v="4"/>
  </r>
  <r>
    <s v="B-25889"/>
    <n v="119"/>
    <n v="43"/>
    <n v="7"/>
    <x v="1"/>
    <x v="8"/>
    <x v="0"/>
    <d v="2018-12-03T00:00:00"/>
    <x v="168"/>
    <s v="Surat"/>
    <x v="8"/>
    <n v="0.36134453781512604"/>
    <n v="2018"/>
    <n v="4"/>
  </r>
  <r>
    <s v="B-25889"/>
    <n v="114"/>
    <n v="11"/>
    <n v="4"/>
    <x v="1"/>
    <x v="9"/>
    <x v="0"/>
    <d v="2018-12-03T00:00:00"/>
    <x v="168"/>
    <s v="Surat"/>
    <x v="8"/>
    <n v="9.6491228070175433E-2"/>
    <n v="2018"/>
    <n v="4"/>
  </r>
  <r>
    <s v="B-25890"/>
    <n v="465"/>
    <n v="207"/>
    <n v="9"/>
    <x v="1"/>
    <x v="5"/>
    <x v="1"/>
    <d v="2018-12-04T00:00:00"/>
    <x v="249"/>
    <s v="Mumbai"/>
    <x v="8"/>
    <n v="0.44516129032258067"/>
    <n v="2018"/>
    <n v="4"/>
  </r>
  <r>
    <s v="B-25891"/>
    <n v="25"/>
    <n v="2"/>
    <n v="2"/>
    <x v="1"/>
    <x v="2"/>
    <x v="2"/>
    <d v="2018-12-04T00:00:00"/>
    <x v="103"/>
    <s v="Indore"/>
    <x v="8"/>
    <n v="0.08"/>
    <n v="2018"/>
    <n v="4"/>
  </r>
  <r>
    <s v="B-25891"/>
    <n v="97"/>
    <n v="36"/>
    <n v="7"/>
    <x v="1"/>
    <x v="2"/>
    <x v="2"/>
    <d v="2018-12-04T00:00:00"/>
    <x v="103"/>
    <s v="Indore"/>
    <x v="8"/>
    <n v="0.37113402061855671"/>
    <n v="2018"/>
    <n v="4"/>
  </r>
  <r>
    <s v="B-25891"/>
    <n v="121"/>
    <n v="41"/>
    <n v="4"/>
    <x v="1"/>
    <x v="1"/>
    <x v="2"/>
    <d v="2018-12-04T00:00:00"/>
    <x v="103"/>
    <s v="Indore"/>
    <x v="8"/>
    <n v="0.33884297520661155"/>
    <n v="2018"/>
    <n v="4"/>
  </r>
  <r>
    <s v="B-25892"/>
    <n v="139"/>
    <n v="30"/>
    <n v="3"/>
    <x v="1"/>
    <x v="10"/>
    <x v="3"/>
    <d v="2018-12-04T00:00:00"/>
    <x v="162"/>
    <s v="Udaipur"/>
    <x v="8"/>
    <n v="0.21582733812949639"/>
    <n v="2018"/>
    <n v="4"/>
  </r>
  <r>
    <s v="B-25893"/>
    <n v="355"/>
    <n v="114"/>
    <n v="7"/>
    <x v="1"/>
    <x v="1"/>
    <x v="8"/>
    <d v="2018-12-04T00:00:00"/>
    <x v="250"/>
    <s v="Allahabad"/>
    <x v="8"/>
    <n v="0.3211267605633803"/>
    <n v="2018"/>
    <n v="4"/>
  </r>
  <r>
    <s v="B-25893"/>
    <n v="61"/>
    <n v="11"/>
    <n v="3"/>
    <x v="1"/>
    <x v="8"/>
    <x v="8"/>
    <d v="2018-12-04T00:00:00"/>
    <x v="250"/>
    <s v="Allahabad"/>
    <x v="8"/>
    <n v="0.18032786885245902"/>
    <n v="2018"/>
    <n v="4"/>
  </r>
  <r>
    <s v="B-25893"/>
    <n v="149"/>
    <n v="15"/>
    <n v="3"/>
    <x v="1"/>
    <x v="5"/>
    <x v="8"/>
    <d v="2018-12-04T00:00:00"/>
    <x v="250"/>
    <s v="Allahabad"/>
    <x v="8"/>
    <n v="0.10067114093959731"/>
    <n v="2018"/>
    <n v="4"/>
  </r>
  <r>
    <s v="B-25893"/>
    <n v="688"/>
    <n v="103"/>
    <n v="6"/>
    <x v="2"/>
    <x v="14"/>
    <x v="8"/>
    <d v="2018-12-04T00:00:00"/>
    <x v="250"/>
    <s v="Allahabad"/>
    <x v="8"/>
    <n v="0.14970930232558138"/>
    <n v="2018"/>
    <n v="4"/>
  </r>
  <r>
    <s v="B-25893"/>
    <n v="372"/>
    <n v="59"/>
    <n v="3"/>
    <x v="2"/>
    <x v="13"/>
    <x v="8"/>
    <d v="2018-12-04T00:00:00"/>
    <x v="250"/>
    <s v="Allahabad"/>
    <x v="8"/>
    <n v="0.15860215053763441"/>
    <n v="2018"/>
    <n v="4"/>
  </r>
  <r>
    <s v="B-25893"/>
    <n v="223"/>
    <n v="62"/>
    <n v="7"/>
    <x v="1"/>
    <x v="10"/>
    <x v="8"/>
    <d v="2018-12-04T00:00:00"/>
    <x v="250"/>
    <s v="Allahabad"/>
    <x v="8"/>
    <n v="0.27802690582959644"/>
    <n v="2018"/>
    <n v="4"/>
  </r>
  <r>
    <s v="B-25893"/>
    <n v="83"/>
    <n v="12"/>
    <n v="3"/>
    <x v="1"/>
    <x v="1"/>
    <x v="8"/>
    <d v="2018-12-04T00:00:00"/>
    <x v="250"/>
    <s v="Allahabad"/>
    <x v="8"/>
    <n v="0.14457831325301204"/>
    <n v="2018"/>
    <n v="4"/>
  </r>
  <r>
    <s v="B-25894"/>
    <n v="1246"/>
    <n v="62"/>
    <n v="3"/>
    <x v="0"/>
    <x v="0"/>
    <x v="11"/>
    <d v="2018-12-04T00:00:00"/>
    <x v="251"/>
    <s v="Amritsar"/>
    <x v="8"/>
    <n v="4.9759229534510431E-2"/>
    <n v="2018"/>
    <n v="4"/>
  </r>
  <r>
    <s v="B-25895"/>
    <n v="388"/>
    <n v="93"/>
    <n v="2"/>
    <x v="0"/>
    <x v="0"/>
    <x v="0"/>
    <d v="2018-12-04T00:00:00"/>
    <x v="252"/>
    <s v="Surat"/>
    <x v="8"/>
    <n v="0.23969072164948454"/>
    <n v="2018"/>
    <n v="4"/>
  </r>
  <r>
    <s v="B-25896"/>
    <n v="31"/>
    <n v="11"/>
    <n v="3"/>
    <x v="1"/>
    <x v="16"/>
    <x v="1"/>
    <d v="2018-12-05T00:00:00"/>
    <x v="136"/>
    <s v="Mumbai"/>
    <x v="8"/>
    <n v="0.35483870967741937"/>
    <n v="2018"/>
    <n v="4"/>
  </r>
  <r>
    <s v="B-25896"/>
    <n v="42"/>
    <n v="7"/>
    <n v="2"/>
    <x v="1"/>
    <x v="8"/>
    <x v="1"/>
    <d v="2018-12-05T00:00:00"/>
    <x v="136"/>
    <s v="Mumbai"/>
    <x v="8"/>
    <n v="0.16666666666666666"/>
    <n v="2018"/>
    <n v="4"/>
  </r>
  <r>
    <s v="B-25896"/>
    <n v="190"/>
    <n v="68"/>
    <n v="8"/>
    <x v="1"/>
    <x v="9"/>
    <x v="1"/>
    <d v="2018-12-05T00:00:00"/>
    <x v="136"/>
    <s v="Mumbai"/>
    <x v="8"/>
    <n v="0.35789473684210527"/>
    <n v="2018"/>
    <n v="4"/>
  </r>
  <r>
    <s v="B-25896"/>
    <n v="103"/>
    <n v="36"/>
    <n v="2"/>
    <x v="1"/>
    <x v="2"/>
    <x v="1"/>
    <d v="2018-12-05T00:00:00"/>
    <x v="136"/>
    <s v="Mumbai"/>
    <x v="8"/>
    <n v="0.34951456310679613"/>
    <n v="2018"/>
    <n v="4"/>
  </r>
  <r>
    <s v="B-25896"/>
    <n v="287"/>
    <n v="66"/>
    <n v="6"/>
    <x v="1"/>
    <x v="8"/>
    <x v="1"/>
    <d v="2018-12-05T00:00:00"/>
    <x v="136"/>
    <s v="Mumbai"/>
    <x v="8"/>
    <n v="0.22996515679442509"/>
    <n v="2018"/>
    <n v="4"/>
  </r>
  <r>
    <s v="B-25896"/>
    <n v="23"/>
    <n v="4"/>
    <n v="2"/>
    <x v="1"/>
    <x v="16"/>
    <x v="1"/>
    <d v="2018-12-05T00:00:00"/>
    <x v="136"/>
    <s v="Mumbai"/>
    <x v="8"/>
    <n v="0.17391304347826086"/>
    <n v="2018"/>
    <n v="4"/>
  </r>
  <r>
    <s v="B-25896"/>
    <n v="79"/>
    <n v="-2"/>
    <n v="2"/>
    <x v="0"/>
    <x v="15"/>
    <x v="1"/>
    <d v="2018-12-05T00:00:00"/>
    <x v="136"/>
    <s v="Mumbai"/>
    <x v="8"/>
    <n v="-2.5316455696202531E-2"/>
    <n v="2018"/>
    <n v="4"/>
  </r>
  <r>
    <s v="B-25897"/>
    <n v="43"/>
    <n v="5"/>
    <n v="3"/>
    <x v="1"/>
    <x v="1"/>
    <x v="2"/>
    <d v="2018-12-06T00:00:00"/>
    <x v="200"/>
    <s v="Indore"/>
    <x v="8"/>
    <n v="0.11627906976744186"/>
    <n v="2018"/>
    <n v="4"/>
  </r>
  <r>
    <s v="B-25897"/>
    <n v="33"/>
    <n v="10"/>
    <n v="3"/>
    <x v="1"/>
    <x v="2"/>
    <x v="2"/>
    <d v="2018-12-06T00:00:00"/>
    <x v="200"/>
    <s v="Indore"/>
    <x v="8"/>
    <n v="0.30303030303030304"/>
    <n v="2018"/>
    <n v="4"/>
  </r>
  <r>
    <s v="B-25897"/>
    <n v="24"/>
    <n v="11"/>
    <n v="5"/>
    <x v="1"/>
    <x v="2"/>
    <x v="2"/>
    <d v="2018-12-06T00:00:00"/>
    <x v="200"/>
    <s v="Indore"/>
    <x v="8"/>
    <n v="0.45833333333333331"/>
    <n v="2018"/>
    <n v="4"/>
  </r>
  <r>
    <s v="B-25897"/>
    <n v="734"/>
    <n v="213"/>
    <n v="6"/>
    <x v="2"/>
    <x v="3"/>
    <x v="2"/>
    <d v="2018-12-06T00:00:00"/>
    <x v="200"/>
    <s v="Indore"/>
    <x v="8"/>
    <n v="0.2901907356948229"/>
    <n v="2018"/>
    <n v="4"/>
  </r>
  <r>
    <s v="B-25898"/>
    <n v="33"/>
    <n v="13"/>
    <n v="3"/>
    <x v="1"/>
    <x v="11"/>
    <x v="3"/>
    <d v="2018-12-07T00:00:00"/>
    <x v="168"/>
    <s v="Udaipur"/>
    <x v="8"/>
    <n v="0.39393939393939392"/>
    <n v="2018"/>
    <n v="4"/>
  </r>
  <r>
    <s v="B-25898"/>
    <n v="499"/>
    <n v="33"/>
    <n v="4"/>
    <x v="1"/>
    <x v="5"/>
    <x v="3"/>
    <d v="2018-12-07T00:00:00"/>
    <x v="168"/>
    <s v="Udaipur"/>
    <x v="8"/>
    <n v="6.6132264529058113E-2"/>
    <n v="2018"/>
    <n v="4"/>
  </r>
  <r>
    <s v="B-25898"/>
    <n v="147"/>
    <n v="73"/>
    <n v="3"/>
    <x v="1"/>
    <x v="1"/>
    <x v="3"/>
    <d v="2018-12-07T00:00:00"/>
    <x v="168"/>
    <s v="Udaipur"/>
    <x v="8"/>
    <n v="0.49659863945578231"/>
    <n v="2018"/>
    <n v="4"/>
  </r>
  <r>
    <s v="B-25898"/>
    <n v="53"/>
    <n v="5"/>
    <n v="3"/>
    <x v="1"/>
    <x v="9"/>
    <x v="3"/>
    <d v="2018-12-07T00:00:00"/>
    <x v="168"/>
    <s v="Udaipur"/>
    <x v="8"/>
    <n v="9.4339622641509441E-2"/>
    <n v="2018"/>
    <n v="4"/>
  </r>
  <r>
    <s v="B-25898"/>
    <n v="171"/>
    <n v="2"/>
    <n v="2"/>
    <x v="2"/>
    <x v="3"/>
    <x v="3"/>
    <d v="2018-12-07T00:00:00"/>
    <x v="168"/>
    <s v="Udaipur"/>
    <x v="8"/>
    <n v="1.1695906432748537E-2"/>
    <n v="2018"/>
    <n v="4"/>
  </r>
  <r>
    <s v="B-25898"/>
    <n v="915"/>
    <n v="-99"/>
    <n v="3"/>
    <x v="0"/>
    <x v="12"/>
    <x v="3"/>
    <d v="2018-12-07T00:00:00"/>
    <x v="168"/>
    <s v="Udaipur"/>
    <x v="8"/>
    <n v="-0.10819672131147541"/>
    <n v="2018"/>
    <n v="4"/>
  </r>
  <r>
    <s v="B-25898"/>
    <n v="191"/>
    <n v="93"/>
    <n v="4"/>
    <x v="1"/>
    <x v="10"/>
    <x v="3"/>
    <d v="2018-12-07T00:00:00"/>
    <x v="168"/>
    <s v="Udaipur"/>
    <x v="8"/>
    <n v="0.48691099476439792"/>
    <n v="2018"/>
    <n v="4"/>
  </r>
  <r>
    <s v="B-25898"/>
    <n v="857"/>
    <n v="274"/>
    <n v="2"/>
    <x v="0"/>
    <x v="12"/>
    <x v="3"/>
    <d v="2018-12-07T00:00:00"/>
    <x v="168"/>
    <s v="Udaipur"/>
    <x v="8"/>
    <n v="0.31971995332555425"/>
    <n v="2018"/>
    <n v="4"/>
  </r>
  <r>
    <s v="B-25899"/>
    <n v="22"/>
    <n v="9"/>
    <n v="2"/>
    <x v="1"/>
    <x v="11"/>
    <x v="8"/>
    <d v="2018-12-08T00:00:00"/>
    <x v="253"/>
    <s v="Allahabad"/>
    <x v="8"/>
    <n v="0.40909090909090912"/>
    <n v="2018"/>
    <n v="4"/>
  </r>
  <r>
    <s v="B-25899"/>
    <n v="28"/>
    <n v="6"/>
    <n v="4"/>
    <x v="1"/>
    <x v="16"/>
    <x v="8"/>
    <d v="2018-12-08T00:00:00"/>
    <x v="253"/>
    <s v="Allahabad"/>
    <x v="8"/>
    <n v="0.21428571428571427"/>
    <n v="2018"/>
    <n v="4"/>
  </r>
  <r>
    <s v="B-25899"/>
    <n v="43"/>
    <n v="17"/>
    <n v="1"/>
    <x v="1"/>
    <x v="5"/>
    <x v="8"/>
    <d v="2018-12-08T00:00:00"/>
    <x v="253"/>
    <s v="Allahabad"/>
    <x v="8"/>
    <n v="0.39534883720930231"/>
    <n v="2018"/>
    <n v="4"/>
  </r>
  <r>
    <s v="B-25899"/>
    <n v="846"/>
    <n v="9"/>
    <n v="2"/>
    <x v="0"/>
    <x v="7"/>
    <x v="8"/>
    <d v="2018-12-08T00:00:00"/>
    <x v="253"/>
    <s v="Allahabad"/>
    <x v="8"/>
    <n v="1.0638297872340425E-2"/>
    <n v="2018"/>
    <n v="4"/>
  </r>
  <r>
    <s v="B-25900"/>
    <n v="15"/>
    <n v="2"/>
    <n v="1"/>
    <x v="1"/>
    <x v="11"/>
    <x v="11"/>
    <d v="2018-12-09T00:00:00"/>
    <x v="225"/>
    <s v="Amritsar"/>
    <x v="8"/>
    <n v="0.13333333333333333"/>
    <n v="2018"/>
    <n v="4"/>
  </r>
  <r>
    <s v="B-25900"/>
    <n v="140"/>
    <n v="68"/>
    <n v="5"/>
    <x v="1"/>
    <x v="9"/>
    <x v="11"/>
    <d v="2018-12-09T00:00:00"/>
    <x v="225"/>
    <s v="Amritsar"/>
    <x v="8"/>
    <n v="0.48571428571428571"/>
    <n v="2018"/>
    <n v="4"/>
  </r>
  <r>
    <s v="B-25900"/>
    <n v="210"/>
    <n v="62"/>
    <n v="2"/>
    <x v="2"/>
    <x v="4"/>
    <x v="11"/>
    <d v="2018-12-09T00:00:00"/>
    <x v="225"/>
    <s v="Amritsar"/>
    <x v="8"/>
    <n v="0.29523809523809524"/>
    <n v="2018"/>
    <n v="4"/>
  </r>
  <r>
    <s v="B-25901"/>
    <n v="158"/>
    <n v="38"/>
    <n v="3"/>
    <x v="1"/>
    <x v="2"/>
    <x v="0"/>
    <d v="2018-12-10T00:00:00"/>
    <x v="254"/>
    <s v="Surat"/>
    <x v="8"/>
    <n v="0.24050632911392406"/>
    <n v="2018"/>
    <n v="4"/>
  </r>
  <r>
    <s v="B-25901"/>
    <n v="90"/>
    <n v="27"/>
    <n v="2"/>
    <x v="1"/>
    <x v="9"/>
    <x v="0"/>
    <d v="2018-12-10T00:00:00"/>
    <x v="254"/>
    <s v="Surat"/>
    <x v="8"/>
    <n v="0.3"/>
    <n v="2018"/>
    <n v="4"/>
  </r>
  <r>
    <s v="B-25901"/>
    <n v="159"/>
    <n v="2"/>
    <n v="3"/>
    <x v="0"/>
    <x v="15"/>
    <x v="0"/>
    <d v="2018-12-10T00:00:00"/>
    <x v="254"/>
    <s v="Surat"/>
    <x v="8"/>
    <n v="1.2578616352201259E-2"/>
    <n v="2018"/>
    <n v="4"/>
  </r>
  <r>
    <s v="B-25901"/>
    <n v="61"/>
    <n v="28"/>
    <n v="2"/>
    <x v="1"/>
    <x v="2"/>
    <x v="0"/>
    <d v="2018-12-10T00:00:00"/>
    <x v="254"/>
    <s v="Surat"/>
    <x v="8"/>
    <n v="0.45901639344262296"/>
    <n v="2018"/>
    <n v="4"/>
  </r>
  <r>
    <s v="B-25902"/>
    <n v="79"/>
    <n v="6"/>
    <n v="7"/>
    <x v="1"/>
    <x v="5"/>
    <x v="1"/>
    <d v="2018-12-10T00:00:00"/>
    <x v="255"/>
    <s v="Mumbai"/>
    <x v="8"/>
    <n v="7.5949367088607597E-2"/>
    <n v="2018"/>
    <n v="4"/>
  </r>
  <r>
    <s v="B-25902"/>
    <n v="268"/>
    <n v="6"/>
    <n v="2"/>
    <x v="0"/>
    <x v="0"/>
    <x v="1"/>
    <d v="2018-12-10T00:00:00"/>
    <x v="255"/>
    <s v="Mumbai"/>
    <x v="8"/>
    <n v="2.2388059701492536E-2"/>
    <n v="2018"/>
    <n v="4"/>
  </r>
  <r>
    <s v="B-25902"/>
    <n v="802"/>
    <n v="120"/>
    <n v="7"/>
    <x v="2"/>
    <x v="14"/>
    <x v="1"/>
    <d v="2018-12-10T00:00:00"/>
    <x v="255"/>
    <s v="Mumbai"/>
    <x v="8"/>
    <n v="0.14962593516209477"/>
    <n v="2018"/>
    <n v="4"/>
  </r>
  <r>
    <s v="B-25902"/>
    <n v="1700"/>
    <n v="85"/>
    <n v="3"/>
    <x v="1"/>
    <x v="6"/>
    <x v="1"/>
    <d v="2018-12-10T00:00:00"/>
    <x v="255"/>
    <s v="Mumbai"/>
    <x v="8"/>
    <n v="0.05"/>
    <n v="2018"/>
    <n v="4"/>
  </r>
  <r>
    <s v="B-25902"/>
    <n v="154"/>
    <n v="26"/>
    <n v="4"/>
    <x v="2"/>
    <x v="14"/>
    <x v="1"/>
    <d v="2018-12-10T00:00:00"/>
    <x v="255"/>
    <s v="Mumbai"/>
    <x v="8"/>
    <n v="0.16883116883116883"/>
    <n v="2018"/>
    <n v="4"/>
  </r>
  <r>
    <s v="B-25903"/>
    <n v="455"/>
    <n v="77"/>
    <n v="8"/>
    <x v="2"/>
    <x v="14"/>
    <x v="2"/>
    <d v="2018-12-10T00:00:00"/>
    <x v="256"/>
    <s v="Indore"/>
    <x v="8"/>
    <n v="0.16923076923076924"/>
    <n v="2018"/>
    <n v="4"/>
  </r>
  <r>
    <s v="B-25903"/>
    <n v="19"/>
    <n v="8"/>
    <n v="2"/>
    <x v="1"/>
    <x v="2"/>
    <x v="2"/>
    <d v="2018-12-10T00:00:00"/>
    <x v="256"/>
    <s v="Indore"/>
    <x v="8"/>
    <n v="0.42105263157894735"/>
    <n v="2018"/>
    <n v="4"/>
  </r>
  <r>
    <s v="B-25903"/>
    <n v="25"/>
    <n v="11"/>
    <n v="3"/>
    <x v="1"/>
    <x v="11"/>
    <x v="2"/>
    <d v="2018-12-10T00:00:00"/>
    <x v="256"/>
    <s v="Indore"/>
    <x v="8"/>
    <n v="0.44"/>
    <n v="2018"/>
    <n v="4"/>
  </r>
  <r>
    <s v="B-25903"/>
    <n v="37"/>
    <n v="17"/>
    <n v="3"/>
    <x v="1"/>
    <x v="2"/>
    <x v="2"/>
    <d v="2018-12-10T00:00:00"/>
    <x v="256"/>
    <s v="Indore"/>
    <x v="8"/>
    <n v="0.45945945945945948"/>
    <n v="2018"/>
    <n v="4"/>
  </r>
  <r>
    <s v="B-25903"/>
    <n v="60"/>
    <n v="-10"/>
    <n v="2"/>
    <x v="0"/>
    <x v="15"/>
    <x v="2"/>
    <d v="2018-12-10T00:00:00"/>
    <x v="256"/>
    <s v="Indore"/>
    <x v="8"/>
    <n v="-0.16666666666666666"/>
    <n v="2018"/>
    <n v="4"/>
  </r>
  <r>
    <s v="B-25903"/>
    <n v="204"/>
    <n v="94"/>
    <n v="4"/>
    <x v="1"/>
    <x v="2"/>
    <x v="2"/>
    <d v="2018-12-10T00:00:00"/>
    <x v="256"/>
    <s v="Indore"/>
    <x v="8"/>
    <n v="0.46078431372549017"/>
    <n v="2018"/>
    <n v="4"/>
  </r>
  <r>
    <s v="B-25903"/>
    <n v="74"/>
    <n v="33"/>
    <n v="2"/>
    <x v="1"/>
    <x v="10"/>
    <x v="2"/>
    <d v="2018-12-10T00:00:00"/>
    <x v="256"/>
    <s v="Indore"/>
    <x v="8"/>
    <n v="0.44594594594594594"/>
    <n v="2018"/>
    <n v="4"/>
  </r>
  <r>
    <s v="B-25903"/>
    <n v="336"/>
    <n v="57"/>
    <n v="2"/>
    <x v="2"/>
    <x v="4"/>
    <x v="2"/>
    <d v="2018-12-10T00:00:00"/>
    <x v="256"/>
    <s v="Indore"/>
    <x v="8"/>
    <n v="0.16964285714285715"/>
    <n v="2018"/>
    <n v="4"/>
  </r>
  <r>
    <s v="B-25904"/>
    <n v="871"/>
    <n v="131"/>
    <n v="2"/>
    <x v="0"/>
    <x v="0"/>
    <x v="18"/>
    <d v="2018-12-10T00:00:00"/>
    <x v="193"/>
    <s v="Delhi"/>
    <x v="8"/>
    <n v="0.15040183696900114"/>
    <n v="2018"/>
    <n v="4"/>
  </r>
  <r>
    <s v="B-25904"/>
    <n v="83"/>
    <n v="12"/>
    <n v="2"/>
    <x v="0"/>
    <x v="7"/>
    <x v="18"/>
    <d v="2018-12-10T00:00:00"/>
    <x v="193"/>
    <s v="Delhi"/>
    <x v="8"/>
    <n v="0.14457831325301204"/>
    <n v="2018"/>
    <n v="4"/>
  </r>
  <r>
    <s v="B-25905"/>
    <n v="152"/>
    <n v="50"/>
    <n v="6"/>
    <x v="1"/>
    <x v="1"/>
    <x v="2"/>
    <d v="2018-12-11T00:00:00"/>
    <x v="257"/>
    <s v="Delhi"/>
    <x v="8"/>
    <n v="0.32894736842105265"/>
    <n v="2018"/>
    <n v="4"/>
  </r>
  <r>
    <s v="B-25906"/>
    <n v="78"/>
    <n v="27"/>
    <n v="3"/>
    <x v="1"/>
    <x v="1"/>
    <x v="18"/>
    <d v="2018-12-11T00:00:00"/>
    <x v="258"/>
    <s v="Delhi"/>
    <x v="8"/>
    <n v="0.34615384615384615"/>
    <n v="2018"/>
    <n v="4"/>
  </r>
  <r>
    <s v="B-25907"/>
    <n v="30"/>
    <n v="11"/>
    <n v="5"/>
    <x v="1"/>
    <x v="2"/>
    <x v="2"/>
    <d v="2018-12-11T00:00:00"/>
    <x v="259"/>
    <s v="Bhopal"/>
    <x v="8"/>
    <n v="0.36666666666666664"/>
    <n v="2018"/>
    <n v="4"/>
  </r>
  <r>
    <s v="B-25908"/>
    <n v="179"/>
    <n v="25"/>
    <n v="5"/>
    <x v="1"/>
    <x v="8"/>
    <x v="18"/>
    <d v="2018-12-12T00:00:00"/>
    <x v="260"/>
    <s v="Delhi"/>
    <x v="8"/>
    <n v="0.13966480446927373"/>
    <n v="2018"/>
    <n v="4"/>
  </r>
  <r>
    <s v="B-25909"/>
    <n v="168"/>
    <n v="56"/>
    <n v="3"/>
    <x v="1"/>
    <x v="5"/>
    <x v="2"/>
    <d v="2018-12-13T00:00:00"/>
    <x v="261"/>
    <s v="Delhi"/>
    <x v="8"/>
    <n v="0.33333333333333331"/>
    <n v="2018"/>
    <n v="4"/>
  </r>
  <r>
    <s v="B-25909"/>
    <n v="108"/>
    <n v="22"/>
    <n v="3"/>
    <x v="2"/>
    <x v="14"/>
    <x v="2"/>
    <d v="2018-12-13T00:00:00"/>
    <x v="261"/>
    <s v="Delhi"/>
    <x v="8"/>
    <n v="0.20370370370370369"/>
    <n v="2018"/>
    <n v="4"/>
  </r>
  <r>
    <s v="B-25909"/>
    <n v="1622"/>
    <n v="248"/>
    <n v="3"/>
    <x v="2"/>
    <x v="4"/>
    <x v="2"/>
    <d v="2018-12-13T00:00:00"/>
    <x v="261"/>
    <s v="Delhi"/>
    <x v="8"/>
    <n v="0.15289765721331688"/>
    <n v="2018"/>
    <n v="4"/>
  </r>
  <r>
    <s v="B-25909"/>
    <n v="323"/>
    <n v="122"/>
    <n v="5"/>
    <x v="2"/>
    <x v="4"/>
    <x v="2"/>
    <d v="2018-12-13T00:00:00"/>
    <x v="261"/>
    <s v="Delhi"/>
    <x v="8"/>
    <n v="0.37770897832817335"/>
    <n v="2018"/>
    <n v="4"/>
  </r>
  <r>
    <s v="B-25909"/>
    <n v="12"/>
    <n v="2"/>
    <n v="2"/>
    <x v="1"/>
    <x v="16"/>
    <x v="2"/>
    <d v="2018-12-13T00:00:00"/>
    <x v="261"/>
    <s v="Delhi"/>
    <x v="8"/>
    <n v="0.16666666666666666"/>
    <n v="2018"/>
    <n v="4"/>
  </r>
  <r>
    <s v="B-25910"/>
    <n v="125"/>
    <n v="15"/>
    <n v="5"/>
    <x v="1"/>
    <x v="10"/>
    <x v="18"/>
    <d v="2018-12-14T00:00:00"/>
    <x v="262"/>
    <s v="Delhi"/>
    <x v="8"/>
    <n v="0.12"/>
    <n v="2018"/>
    <n v="4"/>
  </r>
  <r>
    <s v="B-25910"/>
    <n v="685"/>
    <n v="7"/>
    <n v="7"/>
    <x v="1"/>
    <x v="6"/>
    <x v="18"/>
    <d v="2018-12-14T00:00:00"/>
    <x v="262"/>
    <s v="Delhi"/>
    <x v="8"/>
    <n v="1.0218978102189781E-2"/>
    <n v="2018"/>
    <n v="4"/>
  </r>
  <r>
    <s v="B-25910"/>
    <n v="850"/>
    <n v="289"/>
    <n v="5"/>
    <x v="2"/>
    <x v="3"/>
    <x v="18"/>
    <d v="2018-12-14T00:00:00"/>
    <x v="262"/>
    <s v="Delhi"/>
    <x v="8"/>
    <n v="0.34"/>
    <n v="2018"/>
    <n v="4"/>
  </r>
  <r>
    <s v="B-25910"/>
    <n v="1622"/>
    <n v="-624"/>
    <n v="5"/>
    <x v="0"/>
    <x v="12"/>
    <x v="18"/>
    <d v="2018-12-14T00:00:00"/>
    <x v="262"/>
    <s v="Delhi"/>
    <x v="8"/>
    <n v="-0.38471023427866829"/>
    <n v="2018"/>
    <n v="4"/>
  </r>
  <r>
    <s v="B-25910"/>
    <n v="259"/>
    <n v="47"/>
    <n v="5"/>
    <x v="1"/>
    <x v="2"/>
    <x v="18"/>
    <d v="2018-12-14T00:00:00"/>
    <x v="262"/>
    <s v="Delhi"/>
    <x v="8"/>
    <n v="0.18146718146718147"/>
    <n v="2018"/>
    <n v="4"/>
  </r>
  <r>
    <s v="B-25910"/>
    <n v="33"/>
    <n v="1"/>
    <n v="2"/>
    <x v="1"/>
    <x v="10"/>
    <x v="18"/>
    <d v="2018-12-14T00:00:00"/>
    <x v="262"/>
    <s v="Delhi"/>
    <x v="8"/>
    <n v="3.0303030303030304E-2"/>
    <n v="2018"/>
    <n v="4"/>
  </r>
  <r>
    <s v="B-25911"/>
    <n v="40"/>
    <n v="15"/>
    <n v="1"/>
    <x v="1"/>
    <x v="8"/>
    <x v="2"/>
    <d v="2018-12-15T00:00:00"/>
    <x v="263"/>
    <s v="Bhopal"/>
    <x v="8"/>
    <n v="0.375"/>
    <n v="2018"/>
    <n v="4"/>
  </r>
  <r>
    <s v="B-25912"/>
    <n v="102"/>
    <n v="11"/>
    <n v="6"/>
    <x v="1"/>
    <x v="9"/>
    <x v="18"/>
    <d v="2018-12-16T00:00:00"/>
    <x v="264"/>
    <s v="Delhi"/>
    <x v="8"/>
    <n v="0.10784313725490197"/>
    <n v="2018"/>
    <n v="4"/>
  </r>
  <r>
    <s v="B-25913"/>
    <n v="103"/>
    <n v="21"/>
    <n v="7"/>
    <x v="1"/>
    <x v="1"/>
    <x v="2"/>
    <d v="2018-12-17T00:00:00"/>
    <x v="265"/>
    <s v="Delhi"/>
    <x v="8"/>
    <n v="0.20388349514563106"/>
    <n v="2018"/>
    <n v="4"/>
  </r>
  <r>
    <s v="B-25914"/>
    <n v="460"/>
    <n v="143"/>
    <n v="3"/>
    <x v="0"/>
    <x v="7"/>
    <x v="18"/>
    <d v="2018-12-18T00:00:00"/>
    <x v="266"/>
    <s v="Delhi"/>
    <x v="8"/>
    <n v="0.31086956521739129"/>
    <n v="2018"/>
    <n v="4"/>
  </r>
  <r>
    <s v="B-25914"/>
    <n v="125"/>
    <n v="22"/>
    <n v="3"/>
    <x v="1"/>
    <x v="1"/>
    <x v="18"/>
    <d v="2018-12-18T00:00:00"/>
    <x v="266"/>
    <s v="Delhi"/>
    <x v="8"/>
    <n v="0.17599999999999999"/>
    <n v="2018"/>
    <n v="4"/>
  </r>
  <r>
    <s v="B-25915"/>
    <n v="277"/>
    <n v="3"/>
    <n v="1"/>
    <x v="2"/>
    <x v="3"/>
    <x v="11"/>
    <d v="2018-12-19T00:00:00"/>
    <x v="267"/>
    <s v="Amritsar"/>
    <x v="8"/>
    <n v="1.0830324909747292E-2"/>
    <n v="2018"/>
    <n v="4"/>
  </r>
  <r>
    <s v="B-25916"/>
    <n v="80"/>
    <n v="26"/>
    <n v="9"/>
    <x v="1"/>
    <x v="16"/>
    <x v="0"/>
    <d v="2018-12-20T00:00:00"/>
    <x v="268"/>
    <s v="Surat"/>
    <x v="8"/>
    <n v="0.32500000000000001"/>
    <n v="2018"/>
    <n v="4"/>
  </r>
  <r>
    <s v="B-25917"/>
    <n v="100"/>
    <n v="12"/>
    <n v="2"/>
    <x v="1"/>
    <x v="9"/>
    <x v="1"/>
    <d v="2018-12-21T00:00:00"/>
    <x v="33"/>
    <s v="Mumbai"/>
    <x v="8"/>
    <n v="0.12"/>
    <n v="2018"/>
    <n v="4"/>
  </r>
  <r>
    <s v="B-25918"/>
    <n v="244"/>
    <n v="122"/>
    <n v="5"/>
    <x v="0"/>
    <x v="15"/>
    <x v="2"/>
    <d v="2018-12-22T00:00:00"/>
    <x v="269"/>
    <s v="Indore"/>
    <x v="8"/>
    <n v="0.5"/>
    <n v="2018"/>
    <n v="4"/>
  </r>
  <r>
    <s v="B-25919"/>
    <n v="28"/>
    <n v="4"/>
    <n v="1"/>
    <x v="1"/>
    <x v="9"/>
    <x v="3"/>
    <d v="2018-12-23T00:00:00"/>
    <x v="270"/>
    <s v="Udaipur"/>
    <x v="8"/>
    <n v="0.14285714285714285"/>
    <n v="2018"/>
    <n v="4"/>
  </r>
  <r>
    <s v="B-25919"/>
    <n v="110"/>
    <n v="12"/>
    <n v="7"/>
    <x v="1"/>
    <x v="1"/>
    <x v="3"/>
    <d v="2018-12-23T00:00:00"/>
    <x v="270"/>
    <s v="Udaipur"/>
    <x v="8"/>
    <n v="0.10909090909090909"/>
    <n v="2018"/>
    <n v="4"/>
  </r>
  <r>
    <s v="B-25919"/>
    <n v="636"/>
    <n v="204"/>
    <n v="2"/>
    <x v="2"/>
    <x v="13"/>
    <x v="3"/>
    <d v="2018-12-23T00:00:00"/>
    <x v="270"/>
    <s v="Udaipur"/>
    <x v="8"/>
    <n v="0.32075471698113206"/>
    <n v="2018"/>
    <n v="4"/>
  </r>
  <r>
    <s v="B-25919"/>
    <n v="1599"/>
    <n v="37"/>
    <n v="6"/>
    <x v="2"/>
    <x v="3"/>
    <x v="3"/>
    <d v="2018-12-23T00:00:00"/>
    <x v="270"/>
    <s v="Udaipur"/>
    <x v="8"/>
    <n v="2.3139462163852407E-2"/>
    <n v="2018"/>
    <n v="4"/>
  </r>
  <r>
    <s v="B-25919"/>
    <n v="977"/>
    <n v="244"/>
    <n v="7"/>
    <x v="2"/>
    <x v="4"/>
    <x v="3"/>
    <d v="2018-12-23T00:00:00"/>
    <x v="270"/>
    <s v="Udaipur"/>
    <x v="8"/>
    <n v="0.24974411463664278"/>
    <n v="2018"/>
    <n v="4"/>
  </r>
  <r>
    <s v="B-25920"/>
    <n v="100"/>
    <n v="7"/>
    <n v="2"/>
    <x v="1"/>
    <x v="9"/>
    <x v="8"/>
    <d v="2018-12-24T00:00:00"/>
    <x v="271"/>
    <s v="Allahabad"/>
    <x v="8"/>
    <n v="7.0000000000000007E-2"/>
    <n v="2018"/>
    <n v="4"/>
  </r>
  <r>
    <s v="B-25921"/>
    <n v="170"/>
    <n v="19"/>
    <n v="5"/>
    <x v="1"/>
    <x v="9"/>
    <x v="11"/>
    <d v="2018-12-25T00:00:00"/>
    <x v="272"/>
    <s v="Amritsar"/>
    <x v="8"/>
    <n v="0.11176470588235295"/>
    <n v="2018"/>
    <n v="4"/>
  </r>
  <r>
    <s v="B-25921"/>
    <n v="84"/>
    <n v="-42"/>
    <n v="2"/>
    <x v="2"/>
    <x v="14"/>
    <x v="11"/>
    <d v="2018-12-25T00:00:00"/>
    <x v="272"/>
    <s v="Amritsar"/>
    <x v="8"/>
    <n v="-0.5"/>
    <n v="2018"/>
    <n v="4"/>
  </r>
  <r>
    <s v="B-25921"/>
    <n v="71"/>
    <n v="-44"/>
    <n v="5"/>
    <x v="2"/>
    <x v="14"/>
    <x v="11"/>
    <d v="2018-12-25T00:00:00"/>
    <x v="272"/>
    <s v="Amritsar"/>
    <x v="8"/>
    <n v="-0.61971830985915488"/>
    <n v="2018"/>
    <n v="4"/>
  </r>
  <r>
    <s v="B-25922"/>
    <n v="52"/>
    <n v="18"/>
    <n v="2"/>
    <x v="1"/>
    <x v="1"/>
    <x v="0"/>
    <d v="2018-12-26T00:00:00"/>
    <x v="273"/>
    <s v="Surat"/>
    <x v="8"/>
    <n v="0.34615384615384615"/>
    <n v="2018"/>
    <n v="4"/>
  </r>
  <r>
    <s v="B-25923"/>
    <n v="226"/>
    <n v="58"/>
    <n v="3"/>
    <x v="2"/>
    <x v="14"/>
    <x v="1"/>
    <d v="2018-12-27T00:00:00"/>
    <x v="274"/>
    <s v="Mumbai"/>
    <x v="8"/>
    <n v="0.25663716814159293"/>
    <n v="2018"/>
    <n v="4"/>
  </r>
  <r>
    <s v="B-25923"/>
    <n v="484"/>
    <n v="28"/>
    <n v="3"/>
    <x v="2"/>
    <x v="13"/>
    <x v="1"/>
    <d v="2018-12-27T00:00:00"/>
    <x v="274"/>
    <s v="Mumbai"/>
    <x v="8"/>
    <n v="5.7851239669421489E-2"/>
    <n v="2018"/>
    <n v="4"/>
  </r>
  <r>
    <s v="B-25923"/>
    <n v="253"/>
    <n v="-11"/>
    <n v="1"/>
    <x v="1"/>
    <x v="6"/>
    <x v="1"/>
    <d v="2018-12-27T00:00:00"/>
    <x v="274"/>
    <s v="Mumbai"/>
    <x v="8"/>
    <n v="-4.3478260869565216E-2"/>
    <n v="2018"/>
    <n v="4"/>
  </r>
  <r>
    <s v="B-25923"/>
    <n v="3873"/>
    <n v="891"/>
    <n v="6"/>
    <x v="2"/>
    <x v="4"/>
    <x v="1"/>
    <d v="2018-12-27T00:00:00"/>
    <x v="274"/>
    <s v="Mumbai"/>
    <x v="8"/>
    <n v="0.23005422153369481"/>
    <n v="2018"/>
    <n v="4"/>
  </r>
  <r>
    <s v="B-25924"/>
    <n v="148"/>
    <n v="54"/>
    <n v="2"/>
    <x v="0"/>
    <x v="7"/>
    <x v="5"/>
    <d v="2018-12-28T00:00:00"/>
    <x v="275"/>
    <s v="Bangalore"/>
    <x v="8"/>
    <n v="0.36486486486486486"/>
    <n v="2018"/>
    <n v="4"/>
  </r>
  <r>
    <s v="B-25925"/>
    <n v="27"/>
    <n v="12"/>
    <n v="1"/>
    <x v="1"/>
    <x v="1"/>
    <x v="1"/>
    <d v="2018-12-29T00:00:00"/>
    <x v="59"/>
    <s v="Mumbai"/>
    <x v="8"/>
    <n v="0.44444444444444442"/>
    <n v="2018"/>
    <n v="4"/>
  </r>
  <r>
    <s v="B-25925"/>
    <n v="314"/>
    <n v="-41"/>
    <n v="3"/>
    <x v="2"/>
    <x v="3"/>
    <x v="1"/>
    <d v="2018-12-29T00:00:00"/>
    <x v="59"/>
    <s v="Mumbai"/>
    <x v="8"/>
    <n v="-0.13057324840764331"/>
    <n v="2018"/>
    <n v="4"/>
  </r>
  <r>
    <s v="B-25925"/>
    <n v="1228"/>
    <n v="14"/>
    <n v="3"/>
    <x v="0"/>
    <x v="7"/>
    <x v="1"/>
    <d v="2018-12-29T00:00:00"/>
    <x v="59"/>
    <s v="Mumbai"/>
    <x v="8"/>
    <n v="1.1400651465798045E-2"/>
    <n v="2018"/>
    <n v="4"/>
  </r>
  <r>
    <s v="B-25926"/>
    <n v="57"/>
    <n v="6"/>
    <n v="5"/>
    <x v="1"/>
    <x v="11"/>
    <x v="2"/>
    <d v="2018-12-30T00:00:00"/>
    <x v="276"/>
    <s v="Indore"/>
    <x v="8"/>
    <n v="0.10526315789473684"/>
    <n v="2018"/>
    <n v="4"/>
  </r>
  <r>
    <s v="B-25927"/>
    <n v="200"/>
    <n v="7"/>
    <n v="4"/>
    <x v="2"/>
    <x v="3"/>
    <x v="8"/>
    <d v="2018-12-31T00:00:00"/>
    <x v="74"/>
    <s v="Lucknow"/>
    <x v="8"/>
    <n v="3.5000000000000003E-2"/>
    <n v="2018"/>
    <n v="4"/>
  </r>
  <r>
    <s v="B-25928"/>
    <n v="25"/>
    <n v="10"/>
    <n v="1"/>
    <x v="0"/>
    <x v="15"/>
    <x v="9"/>
    <d v="2019-01-01T00:00:00"/>
    <x v="277"/>
    <s v="Patna"/>
    <x v="9"/>
    <n v="0.4"/>
    <n v="2019"/>
    <n v="1"/>
  </r>
  <r>
    <s v="B-25928"/>
    <n v="122"/>
    <n v="15"/>
    <n v="3"/>
    <x v="2"/>
    <x v="14"/>
    <x v="9"/>
    <d v="2019-01-01T00:00:00"/>
    <x v="277"/>
    <s v="Patna"/>
    <x v="9"/>
    <n v="0.12295081967213115"/>
    <n v="2019"/>
    <n v="1"/>
  </r>
  <r>
    <s v="B-25929"/>
    <n v="1308"/>
    <n v="536"/>
    <n v="3"/>
    <x v="0"/>
    <x v="0"/>
    <x v="10"/>
    <d v="2019-01-02T00:00:00"/>
    <x v="278"/>
    <s v="Thiruvananthapuram"/>
    <x v="9"/>
    <n v="0.40978593272171254"/>
    <n v="2019"/>
    <n v="1"/>
  </r>
  <r>
    <s v="B-25929"/>
    <n v="216"/>
    <n v="-135"/>
    <n v="3"/>
    <x v="0"/>
    <x v="7"/>
    <x v="10"/>
    <d v="2019-01-02T00:00:00"/>
    <x v="278"/>
    <s v="Thiruvananthapuram"/>
    <x v="9"/>
    <n v="-0.625"/>
    <n v="2019"/>
    <n v="1"/>
  </r>
  <r>
    <s v="B-25929"/>
    <n v="154"/>
    <n v="-85"/>
    <n v="3"/>
    <x v="0"/>
    <x v="7"/>
    <x v="10"/>
    <d v="2019-01-02T00:00:00"/>
    <x v="278"/>
    <s v="Thiruvananthapuram"/>
    <x v="9"/>
    <n v="-0.55194805194805197"/>
    <n v="2019"/>
    <n v="1"/>
  </r>
  <r>
    <s v="B-25930"/>
    <n v="40"/>
    <n v="13"/>
    <n v="3"/>
    <x v="1"/>
    <x v="9"/>
    <x v="11"/>
    <d v="2019-01-03T00:00:00"/>
    <x v="279"/>
    <s v="Chandigarh"/>
    <x v="9"/>
    <n v="0.32500000000000001"/>
    <n v="2019"/>
    <n v="1"/>
  </r>
  <r>
    <s v="B-25930"/>
    <n v="351"/>
    <n v="-94"/>
    <n v="5"/>
    <x v="2"/>
    <x v="3"/>
    <x v="11"/>
    <d v="2019-01-03T00:00:00"/>
    <x v="279"/>
    <s v="Chandigarh"/>
    <x v="9"/>
    <n v="-0.26780626780626782"/>
    <n v="2019"/>
    <n v="1"/>
  </r>
  <r>
    <s v="B-25930"/>
    <n v="595"/>
    <n v="119"/>
    <n v="4"/>
    <x v="0"/>
    <x v="0"/>
    <x v="11"/>
    <d v="2019-01-03T00:00:00"/>
    <x v="279"/>
    <s v="Chandigarh"/>
    <x v="9"/>
    <n v="0.2"/>
    <n v="2019"/>
    <n v="1"/>
  </r>
  <r>
    <s v="B-25930"/>
    <n v="151"/>
    <n v="29"/>
    <n v="5"/>
    <x v="1"/>
    <x v="2"/>
    <x v="11"/>
    <d v="2019-01-03T00:00:00"/>
    <x v="279"/>
    <s v="Chandigarh"/>
    <x v="9"/>
    <n v="0.19205298013245034"/>
    <n v="2019"/>
    <n v="1"/>
  </r>
  <r>
    <s v="B-25930"/>
    <n v="58"/>
    <n v="17"/>
    <n v="2"/>
    <x v="1"/>
    <x v="2"/>
    <x v="11"/>
    <d v="2019-01-03T00:00:00"/>
    <x v="279"/>
    <s v="Chandigarh"/>
    <x v="9"/>
    <n v="0.29310344827586204"/>
    <n v="2019"/>
    <n v="1"/>
  </r>
  <r>
    <s v="B-25930"/>
    <n v="202"/>
    <n v="89"/>
    <n v="9"/>
    <x v="1"/>
    <x v="9"/>
    <x v="11"/>
    <d v="2019-01-03T00:00:00"/>
    <x v="279"/>
    <s v="Chandigarh"/>
    <x v="9"/>
    <n v="0.4405940594059406"/>
    <n v="2019"/>
    <n v="1"/>
  </r>
  <r>
    <s v="B-25931"/>
    <n v="73"/>
    <n v="-36"/>
    <n v="3"/>
    <x v="0"/>
    <x v="7"/>
    <x v="1"/>
    <d v="2019-01-04T00:00:00"/>
    <x v="280"/>
    <s v="Mumbai"/>
    <x v="9"/>
    <n v="-0.49315068493150682"/>
    <n v="2019"/>
    <n v="1"/>
  </r>
  <r>
    <s v="B-25932"/>
    <n v="71"/>
    <n v="-14"/>
    <n v="4"/>
    <x v="0"/>
    <x v="15"/>
    <x v="2"/>
    <d v="2019-01-04T00:00:00"/>
    <x v="281"/>
    <s v="Indore"/>
    <x v="9"/>
    <n v="-0.19718309859154928"/>
    <n v="2019"/>
    <n v="1"/>
  </r>
  <r>
    <s v="B-25933"/>
    <n v="81"/>
    <n v="-44"/>
    <n v="3"/>
    <x v="1"/>
    <x v="1"/>
    <x v="1"/>
    <d v="2019-01-04T00:00:00"/>
    <x v="282"/>
    <s v="Mumbai"/>
    <x v="9"/>
    <n v="-0.54320987654320985"/>
    <n v="2019"/>
    <n v="1"/>
  </r>
  <r>
    <s v="B-25933"/>
    <n v="412"/>
    <n v="-412"/>
    <n v="6"/>
    <x v="1"/>
    <x v="5"/>
    <x v="1"/>
    <d v="2019-01-04T00:00:00"/>
    <x v="282"/>
    <s v="Mumbai"/>
    <x v="9"/>
    <n v="-1"/>
    <n v="2019"/>
    <n v="1"/>
  </r>
  <r>
    <s v="B-25933"/>
    <n v="207"/>
    <n v="-100"/>
    <n v="2"/>
    <x v="1"/>
    <x v="5"/>
    <x v="1"/>
    <d v="2019-01-04T00:00:00"/>
    <x v="282"/>
    <s v="Mumbai"/>
    <x v="9"/>
    <n v="-0.48309178743961351"/>
    <n v="2019"/>
    <n v="1"/>
  </r>
  <r>
    <s v="B-25934"/>
    <n v="105"/>
    <n v="33"/>
    <n v="6"/>
    <x v="1"/>
    <x v="5"/>
    <x v="2"/>
    <d v="2019-01-04T00:00:00"/>
    <x v="283"/>
    <s v="Indore"/>
    <x v="9"/>
    <n v="0.31428571428571428"/>
    <n v="2019"/>
    <n v="1"/>
  </r>
  <r>
    <s v="B-25935"/>
    <n v="162"/>
    <n v="20"/>
    <n v="3"/>
    <x v="0"/>
    <x v="7"/>
    <x v="16"/>
    <d v="2019-01-04T00:00:00"/>
    <x v="284"/>
    <s v="Kohima"/>
    <x v="9"/>
    <n v="0.12345679012345678"/>
    <n v="2019"/>
    <n v="1"/>
  </r>
  <r>
    <s v="B-25935"/>
    <n v="150"/>
    <n v="32"/>
    <n v="3"/>
    <x v="1"/>
    <x v="2"/>
    <x v="16"/>
    <d v="2019-01-04T00:00:00"/>
    <x v="284"/>
    <s v="Kohima"/>
    <x v="9"/>
    <n v="0.21333333333333335"/>
    <n v="2019"/>
    <n v="1"/>
  </r>
  <r>
    <s v="B-25935"/>
    <n v="1657"/>
    <n v="460"/>
    <n v="4"/>
    <x v="0"/>
    <x v="7"/>
    <x v="16"/>
    <d v="2019-01-04T00:00:00"/>
    <x v="284"/>
    <s v="Kohima"/>
    <x v="9"/>
    <n v="0.27761013880506941"/>
    <n v="2019"/>
    <n v="1"/>
  </r>
  <r>
    <s v="B-25936"/>
    <n v="61"/>
    <n v="25"/>
    <n v="4"/>
    <x v="1"/>
    <x v="5"/>
    <x v="11"/>
    <d v="2019-01-05T00:00:00"/>
    <x v="285"/>
    <s v="Chandigarh"/>
    <x v="9"/>
    <n v="0.4098360655737705"/>
    <n v="2019"/>
    <n v="1"/>
  </r>
  <r>
    <s v="B-25937"/>
    <n v="1101"/>
    <n v="352"/>
    <n v="3"/>
    <x v="0"/>
    <x v="0"/>
    <x v="12"/>
    <d v="2019-01-05T00:00:00"/>
    <x v="184"/>
    <s v="Chandigarh"/>
    <x v="9"/>
    <n v="0.31970935513169846"/>
    <n v="2019"/>
    <n v="1"/>
  </r>
  <r>
    <s v="B-25938"/>
    <n v="61"/>
    <n v="1"/>
    <n v="2"/>
    <x v="0"/>
    <x v="15"/>
    <x v="13"/>
    <d v="2019-01-05T00:00:00"/>
    <x v="282"/>
    <s v="Simla"/>
    <x v="9"/>
    <n v="1.6393442622950821E-2"/>
    <n v="2019"/>
    <n v="1"/>
  </r>
  <r>
    <s v="B-25938"/>
    <n v="59"/>
    <n v="25"/>
    <n v="3"/>
    <x v="1"/>
    <x v="1"/>
    <x v="13"/>
    <d v="2019-01-05T00:00:00"/>
    <x v="282"/>
    <s v="Simla"/>
    <x v="9"/>
    <n v="0.42372881355932202"/>
    <n v="2019"/>
    <n v="1"/>
  </r>
  <r>
    <s v="B-25939"/>
    <n v="61"/>
    <n v="18"/>
    <n v="2"/>
    <x v="2"/>
    <x v="14"/>
    <x v="14"/>
    <d v="2019-01-05T00:00:00"/>
    <x v="286"/>
    <s v="Gangtok"/>
    <x v="9"/>
    <n v="0.29508196721311475"/>
    <n v="2019"/>
    <n v="1"/>
  </r>
  <r>
    <s v="B-25939"/>
    <n v="136"/>
    <n v="41"/>
    <n v="3"/>
    <x v="2"/>
    <x v="14"/>
    <x v="14"/>
    <d v="2019-01-05T00:00:00"/>
    <x v="286"/>
    <s v="Gangtok"/>
    <x v="9"/>
    <n v="0.3014705882352941"/>
    <n v="2019"/>
    <n v="1"/>
  </r>
  <r>
    <s v="B-25939"/>
    <n v="469"/>
    <n v="33"/>
    <n v="4"/>
    <x v="2"/>
    <x v="3"/>
    <x v="14"/>
    <d v="2019-01-05T00:00:00"/>
    <x v="286"/>
    <s v="Gangtok"/>
    <x v="9"/>
    <n v="7.0362473347547971E-2"/>
    <n v="2019"/>
    <n v="1"/>
  </r>
  <r>
    <s v="B-25940"/>
    <n v="55"/>
    <n v="4"/>
    <n v="2"/>
    <x v="1"/>
    <x v="1"/>
    <x v="15"/>
    <d v="2019-01-06T00:00:00"/>
    <x v="287"/>
    <s v="Goa"/>
    <x v="9"/>
    <n v="7.2727272727272724E-2"/>
    <n v="2019"/>
    <n v="1"/>
  </r>
  <r>
    <s v="B-25940"/>
    <n v="13"/>
    <n v="3"/>
    <n v="2"/>
    <x v="1"/>
    <x v="2"/>
    <x v="15"/>
    <d v="2019-01-06T00:00:00"/>
    <x v="287"/>
    <s v="Goa"/>
    <x v="9"/>
    <n v="0.23076923076923078"/>
    <n v="2019"/>
    <n v="1"/>
  </r>
  <r>
    <s v="B-25940"/>
    <n v="46"/>
    <n v="0"/>
    <n v="4"/>
    <x v="1"/>
    <x v="11"/>
    <x v="15"/>
    <d v="2019-01-06T00:00:00"/>
    <x v="287"/>
    <s v="Goa"/>
    <x v="9"/>
    <n v="0"/>
    <n v="2019"/>
    <n v="1"/>
  </r>
  <r>
    <s v="B-25941"/>
    <n v="177"/>
    <n v="41"/>
    <n v="4"/>
    <x v="1"/>
    <x v="10"/>
    <x v="16"/>
    <d v="2019-01-07T00:00:00"/>
    <x v="288"/>
    <s v="Kohima"/>
    <x v="9"/>
    <n v="0.23163841807909605"/>
    <n v="2019"/>
    <n v="1"/>
  </r>
  <r>
    <s v="B-25942"/>
    <n v="646"/>
    <n v="-23"/>
    <n v="2"/>
    <x v="2"/>
    <x v="13"/>
    <x v="17"/>
    <d v="2019-01-08T00:00:00"/>
    <x v="197"/>
    <s v="Hyderabad"/>
    <x v="9"/>
    <n v="-3.5603715170278639E-2"/>
    <n v="2019"/>
    <n v="1"/>
  </r>
  <r>
    <s v="B-25943"/>
    <n v="48"/>
    <n v="20"/>
    <n v="4"/>
    <x v="1"/>
    <x v="1"/>
    <x v="0"/>
    <d v="2019-01-09T00:00:00"/>
    <x v="289"/>
    <s v="Ahmedabad"/>
    <x v="9"/>
    <n v="0.41666666666666669"/>
    <n v="2019"/>
    <n v="1"/>
  </r>
  <r>
    <s v="B-25943"/>
    <n v="26"/>
    <n v="7"/>
    <n v="4"/>
    <x v="1"/>
    <x v="2"/>
    <x v="0"/>
    <d v="2019-01-09T00:00:00"/>
    <x v="289"/>
    <s v="Ahmedabad"/>
    <x v="9"/>
    <n v="0.26923076923076922"/>
    <n v="2019"/>
    <n v="1"/>
  </r>
  <r>
    <s v="B-25943"/>
    <n v="149"/>
    <n v="15"/>
    <n v="3"/>
    <x v="1"/>
    <x v="5"/>
    <x v="0"/>
    <d v="2019-01-09T00:00:00"/>
    <x v="289"/>
    <s v="Ahmedabad"/>
    <x v="9"/>
    <n v="0.10067114093959731"/>
    <n v="2019"/>
    <n v="1"/>
  </r>
  <r>
    <s v="B-25943"/>
    <n v="1547"/>
    <n v="340"/>
    <n v="6"/>
    <x v="2"/>
    <x v="14"/>
    <x v="0"/>
    <d v="2019-01-09T00:00:00"/>
    <x v="289"/>
    <s v="Ahmedabad"/>
    <x v="9"/>
    <n v="0.21978021978021978"/>
    <n v="2019"/>
    <n v="1"/>
  </r>
  <r>
    <s v="B-25943"/>
    <n v="137"/>
    <n v="38"/>
    <n v="5"/>
    <x v="1"/>
    <x v="2"/>
    <x v="0"/>
    <d v="2019-01-09T00:00:00"/>
    <x v="289"/>
    <s v="Ahmedabad"/>
    <x v="9"/>
    <n v="0.27737226277372262"/>
    <n v="2019"/>
    <n v="1"/>
  </r>
  <r>
    <s v="B-25944"/>
    <n v="169"/>
    <n v="38"/>
    <n v="3"/>
    <x v="1"/>
    <x v="5"/>
    <x v="1"/>
    <d v="2019-01-10T00:00:00"/>
    <x v="290"/>
    <s v="Pune"/>
    <x v="9"/>
    <n v="0.22485207100591717"/>
    <n v="2019"/>
    <n v="1"/>
  </r>
  <r>
    <s v="B-25945"/>
    <n v="245"/>
    <n v="10"/>
    <n v="2"/>
    <x v="0"/>
    <x v="0"/>
    <x v="2"/>
    <d v="2019-01-11T00:00:00"/>
    <x v="291"/>
    <s v="Indore"/>
    <x v="9"/>
    <n v="4.0816326530612242E-2"/>
    <n v="2019"/>
    <n v="1"/>
  </r>
  <r>
    <s v="B-25945"/>
    <n v="60"/>
    <n v="3"/>
    <n v="3"/>
    <x v="1"/>
    <x v="5"/>
    <x v="2"/>
    <d v="2019-01-11T00:00:00"/>
    <x v="291"/>
    <s v="Indore"/>
    <x v="9"/>
    <n v="0.05"/>
    <n v="2019"/>
    <n v="1"/>
  </r>
  <r>
    <s v="B-25945"/>
    <n v="63"/>
    <n v="14"/>
    <n v="2"/>
    <x v="1"/>
    <x v="10"/>
    <x v="2"/>
    <d v="2019-01-11T00:00:00"/>
    <x v="291"/>
    <s v="Indore"/>
    <x v="9"/>
    <n v="0.22222222222222221"/>
    <n v="2019"/>
    <n v="1"/>
  </r>
  <r>
    <s v="B-25945"/>
    <n v="765"/>
    <n v="-36"/>
    <n v="3"/>
    <x v="2"/>
    <x v="3"/>
    <x v="2"/>
    <d v="2019-01-11T00:00:00"/>
    <x v="291"/>
    <s v="Indore"/>
    <x v="9"/>
    <n v="-4.7058823529411764E-2"/>
    <n v="2019"/>
    <n v="1"/>
  </r>
  <r>
    <s v="B-25946"/>
    <n v="146"/>
    <n v="7"/>
    <n v="2"/>
    <x v="2"/>
    <x v="4"/>
    <x v="17"/>
    <d v="2019-01-12T00:00:00"/>
    <x v="236"/>
    <s v="Hyderabad"/>
    <x v="9"/>
    <n v="4.7945205479452052E-2"/>
    <n v="2019"/>
    <n v="1"/>
  </r>
  <r>
    <s v="B-25947"/>
    <n v="290"/>
    <n v="35"/>
    <n v="6"/>
    <x v="1"/>
    <x v="2"/>
    <x v="0"/>
    <d v="2019-01-13T00:00:00"/>
    <x v="292"/>
    <s v="Ahmedabad"/>
    <x v="9"/>
    <n v="0.1206896551724138"/>
    <n v="2019"/>
    <n v="1"/>
  </r>
  <r>
    <s v="B-25947"/>
    <n v="207"/>
    <n v="33"/>
    <n v="2"/>
    <x v="2"/>
    <x v="14"/>
    <x v="0"/>
    <d v="2019-01-13T00:00:00"/>
    <x v="292"/>
    <s v="Ahmedabad"/>
    <x v="9"/>
    <n v="0.15942028985507245"/>
    <n v="2019"/>
    <n v="1"/>
  </r>
  <r>
    <s v="B-25948"/>
    <n v="152"/>
    <n v="23"/>
    <n v="3"/>
    <x v="0"/>
    <x v="15"/>
    <x v="1"/>
    <d v="2019-01-13T00:00:00"/>
    <x v="293"/>
    <s v="Pune"/>
    <x v="9"/>
    <n v="0.15131578947368421"/>
    <n v="2019"/>
    <n v="1"/>
  </r>
  <r>
    <s v="B-25949"/>
    <n v="24"/>
    <n v="11"/>
    <n v="3"/>
    <x v="1"/>
    <x v="2"/>
    <x v="1"/>
    <d v="2019-01-13T00:00:00"/>
    <x v="294"/>
    <s v="Mumbai"/>
    <x v="9"/>
    <n v="0.45833333333333331"/>
    <n v="2019"/>
    <n v="1"/>
  </r>
  <r>
    <s v="B-25949"/>
    <n v="140"/>
    <n v="57"/>
    <n v="2"/>
    <x v="1"/>
    <x v="6"/>
    <x v="1"/>
    <d v="2019-01-13T00:00:00"/>
    <x v="294"/>
    <s v="Mumbai"/>
    <x v="9"/>
    <n v="0.40714285714285714"/>
    <n v="2019"/>
    <n v="1"/>
  </r>
  <r>
    <s v="B-25949"/>
    <n v="151"/>
    <n v="9"/>
    <n v="3"/>
    <x v="1"/>
    <x v="2"/>
    <x v="1"/>
    <d v="2019-01-13T00:00:00"/>
    <x v="294"/>
    <s v="Mumbai"/>
    <x v="9"/>
    <n v="5.9602649006622516E-2"/>
    <n v="2019"/>
    <n v="1"/>
  </r>
  <r>
    <s v="B-25950"/>
    <n v="13"/>
    <n v="4"/>
    <n v="1"/>
    <x v="1"/>
    <x v="11"/>
    <x v="2"/>
    <d v="2019-01-13T00:00:00"/>
    <x v="59"/>
    <s v="Indore"/>
    <x v="9"/>
    <n v="0.30769230769230771"/>
    <n v="2019"/>
    <n v="1"/>
  </r>
  <r>
    <s v="B-25950"/>
    <n v="54"/>
    <n v="27"/>
    <n v="2"/>
    <x v="1"/>
    <x v="1"/>
    <x v="2"/>
    <d v="2019-01-13T00:00:00"/>
    <x v="59"/>
    <s v="Indore"/>
    <x v="9"/>
    <n v="0.5"/>
    <n v="2019"/>
    <n v="1"/>
  </r>
  <r>
    <s v="B-25950"/>
    <n v="644"/>
    <n v="167"/>
    <n v="2"/>
    <x v="2"/>
    <x v="13"/>
    <x v="2"/>
    <d v="2019-01-13T00:00:00"/>
    <x v="59"/>
    <s v="Indore"/>
    <x v="9"/>
    <n v="0.25931677018633542"/>
    <n v="2019"/>
    <n v="1"/>
  </r>
  <r>
    <s v="B-25950"/>
    <n v="261"/>
    <n v="13"/>
    <n v="6"/>
    <x v="1"/>
    <x v="10"/>
    <x v="2"/>
    <d v="2019-01-13T00:00:00"/>
    <x v="59"/>
    <s v="Indore"/>
    <x v="9"/>
    <n v="4.9808429118773943E-2"/>
    <n v="2019"/>
    <n v="1"/>
  </r>
  <r>
    <s v="B-25950"/>
    <n v="1622"/>
    <n v="95"/>
    <n v="5"/>
    <x v="2"/>
    <x v="13"/>
    <x v="2"/>
    <d v="2019-01-13T00:00:00"/>
    <x v="59"/>
    <s v="Indore"/>
    <x v="9"/>
    <n v="5.8569667077681874E-2"/>
    <n v="2019"/>
    <n v="1"/>
  </r>
  <r>
    <s v="B-25950"/>
    <n v="190"/>
    <n v="19"/>
    <n v="9"/>
    <x v="0"/>
    <x v="15"/>
    <x v="2"/>
    <d v="2019-01-13T00:00:00"/>
    <x v="59"/>
    <s v="Indore"/>
    <x v="9"/>
    <n v="0.1"/>
    <n v="2019"/>
    <n v="1"/>
  </r>
  <r>
    <s v="B-25950"/>
    <n v="158"/>
    <n v="-29"/>
    <n v="10"/>
    <x v="1"/>
    <x v="2"/>
    <x v="2"/>
    <d v="2019-01-13T00:00:00"/>
    <x v="59"/>
    <s v="Indore"/>
    <x v="9"/>
    <n v="-0.18354430379746836"/>
    <n v="2019"/>
    <n v="1"/>
  </r>
  <r>
    <s v="B-25950"/>
    <n v="136"/>
    <n v="-33"/>
    <n v="5"/>
    <x v="1"/>
    <x v="5"/>
    <x v="2"/>
    <d v="2019-01-13T00:00:00"/>
    <x v="59"/>
    <s v="Indore"/>
    <x v="9"/>
    <n v="-0.24264705882352941"/>
    <n v="2019"/>
    <n v="1"/>
  </r>
  <r>
    <s v="B-25950"/>
    <n v="133"/>
    <n v="5"/>
    <n v="5"/>
    <x v="1"/>
    <x v="1"/>
    <x v="2"/>
    <d v="2019-01-13T00:00:00"/>
    <x v="59"/>
    <s v="Indore"/>
    <x v="9"/>
    <n v="3.7593984962406013E-2"/>
    <n v="2019"/>
    <n v="1"/>
  </r>
  <r>
    <s v="B-25951"/>
    <n v="102"/>
    <n v="13"/>
    <n v="2"/>
    <x v="1"/>
    <x v="1"/>
    <x v="4"/>
    <d v="2019-01-13T00:00:00"/>
    <x v="295"/>
    <s v="Kolkata"/>
    <x v="9"/>
    <n v="0.12745098039215685"/>
    <n v="2019"/>
    <n v="1"/>
  </r>
  <r>
    <s v="B-25951"/>
    <n v="50"/>
    <n v="14"/>
    <n v="1"/>
    <x v="2"/>
    <x v="3"/>
    <x v="4"/>
    <d v="2019-01-13T00:00:00"/>
    <x v="295"/>
    <s v="Kolkata"/>
    <x v="9"/>
    <n v="0.28000000000000003"/>
    <n v="2019"/>
    <n v="1"/>
  </r>
  <r>
    <s v="B-25951"/>
    <n v="111"/>
    <n v="11"/>
    <n v="9"/>
    <x v="1"/>
    <x v="2"/>
    <x v="4"/>
    <d v="2019-01-13T00:00:00"/>
    <x v="295"/>
    <s v="Kolkata"/>
    <x v="9"/>
    <n v="9.90990990990991E-2"/>
    <n v="2019"/>
    <n v="1"/>
  </r>
  <r>
    <s v="B-25951"/>
    <n v="120"/>
    <n v="23"/>
    <n v="5"/>
    <x v="1"/>
    <x v="1"/>
    <x v="4"/>
    <d v="2019-01-13T00:00:00"/>
    <x v="295"/>
    <s v="Kolkata"/>
    <x v="9"/>
    <n v="0.19166666666666668"/>
    <n v="2019"/>
    <n v="1"/>
  </r>
  <r>
    <s v="B-25951"/>
    <n v="40"/>
    <n v="18"/>
    <n v="1"/>
    <x v="2"/>
    <x v="14"/>
    <x v="4"/>
    <d v="2019-01-13T00:00:00"/>
    <x v="295"/>
    <s v="Kolkata"/>
    <x v="9"/>
    <n v="0.45"/>
    <n v="2019"/>
    <n v="1"/>
  </r>
  <r>
    <s v="B-25951"/>
    <n v="250"/>
    <n v="100"/>
    <n v="3"/>
    <x v="1"/>
    <x v="6"/>
    <x v="4"/>
    <d v="2019-01-13T00:00:00"/>
    <x v="295"/>
    <s v="Kolkata"/>
    <x v="9"/>
    <n v="0.4"/>
    <n v="2019"/>
    <n v="1"/>
  </r>
  <r>
    <s v="B-25951"/>
    <n v="89"/>
    <n v="29"/>
    <n v="2"/>
    <x v="1"/>
    <x v="1"/>
    <x v="4"/>
    <d v="2019-01-13T00:00:00"/>
    <x v="295"/>
    <s v="Kolkata"/>
    <x v="9"/>
    <n v="0.3258426966292135"/>
    <n v="2019"/>
    <n v="1"/>
  </r>
  <r>
    <s v="B-25951"/>
    <n v="30"/>
    <n v="5"/>
    <n v="2"/>
    <x v="1"/>
    <x v="8"/>
    <x v="4"/>
    <d v="2019-01-13T00:00:00"/>
    <x v="295"/>
    <s v="Kolkata"/>
    <x v="9"/>
    <n v="0.16666666666666666"/>
    <n v="2019"/>
    <n v="1"/>
  </r>
  <r>
    <s v="B-25951"/>
    <n v="248"/>
    <n v="105"/>
    <n v="2"/>
    <x v="2"/>
    <x v="4"/>
    <x v="4"/>
    <d v="2019-01-13T00:00:00"/>
    <x v="295"/>
    <s v="Kolkata"/>
    <x v="9"/>
    <n v="0.42338709677419356"/>
    <n v="2019"/>
    <n v="1"/>
  </r>
  <r>
    <s v="B-25951"/>
    <n v="742"/>
    <n v="198"/>
    <n v="2"/>
    <x v="0"/>
    <x v="0"/>
    <x v="4"/>
    <d v="2019-01-13T00:00:00"/>
    <x v="295"/>
    <s v="Kolkata"/>
    <x v="9"/>
    <n v="0.26684636118598382"/>
    <n v="2019"/>
    <n v="1"/>
  </r>
  <r>
    <s v="B-25952"/>
    <n v="14"/>
    <n v="0"/>
    <n v="4"/>
    <x v="1"/>
    <x v="2"/>
    <x v="2"/>
    <d v="2019-01-13T00:00:00"/>
    <x v="55"/>
    <s v="Indore"/>
    <x v="9"/>
    <n v="0"/>
    <n v="2019"/>
    <n v="1"/>
  </r>
  <r>
    <s v="B-25952"/>
    <n v="87"/>
    <n v="32"/>
    <n v="9"/>
    <x v="1"/>
    <x v="16"/>
    <x v="2"/>
    <d v="2019-01-13T00:00:00"/>
    <x v="55"/>
    <s v="Indore"/>
    <x v="9"/>
    <n v="0.36781609195402298"/>
    <n v="2019"/>
    <n v="1"/>
  </r>
  <r>
    <s v="B-25952"/>
    <n v="935"/>
    <n v="114"/>
    <n v="4"/>
    <x v="2"/>
    <x v="3"/>
    <x v="2"/>
    <d v="2019-01-13T00:00:00"/>
    <x v="55"/>
    <s v="Indore"/>
    <x v="9"/>
    <n v="0.12192513368983957"/>
    <n v="2019"/>
    <n v="1"/>
  </r>
  <r>
    <s v="B-25952"/>
    <n v="173"/>
    <n v="69"/>
    <n v="3"/>
    <x v="0"/>
    <x v="7"/>
    <x v="2"/>
    <d v="2019-01-13T00:00:00"/>
    <x v="55"/>
    <s v="Indore"/>
    <x v="9"/>
    <n v="0.39884393063583817"/>
    <n v="2019"/>
    <n v="1"/>
  </r>
  <r>
    <s v="B-25952"/>
    <n v="352"/>
    <n v="18"/>
    <n v="5"/>
    <x v="1"/>
    <x v="6"/>
    <x v="2"/>
    <d v="2019-01-13T00:00:00"/>
    <x v="55"/>
    <s v="Indore"/>
    <x v="9"/>
    <n v="5.113636363636364E-2"/>
    <n v="2019"/>
    <n v="1"/>
  </r>
  <r>
    <s v="B-25952"/>
    <n v="147"/>
    <n v="48"/>
    <n v="3"/>
    <x v="1"/>
    <x v="5"/>
    <x v="2"/>
    <d v="2019-01-13T00:00:00"/>
    <x v="55"/>
    <s v="Indore"/>
    <x v="9"/>
    <n v="0.32653061224489793"/>
    <n v="2019"/>
    <n v="1"/>
  </r>
  <r>
    <s v="B-25952"/>
    <n v="44"/>
    <n v="14"/>
    <n v="3"/>
    <x v="1"/>
    <x v="2"/>
    <x v="2"/>
    <d v="2019-01-13T00:00:00"/>
    <x v="55"/>
    <s v="Indore"/>
    <x v="9"/>
    <n v="0.31818181818181818"/>
    <n v="2019"/>
    <n v="1"/>
  </r>
  <r>
    <s v="B-25953"/>
    <n v="22"/>
    <n v="-8"/>
    <n v="4"/>
    <x v="1"/>
    <x v="2"/>
    <x v="17"/>
    <d v="2019-01-14T00:00:00"/>
    <x v="81"/>
    <s v="Hyderabad"/>
    <x v="9"/>
    <n v="-0.36363636363636365"/>
    <n v="2019"/>
    <n v="1"/>
  </r>
  <r>
    <s v="B-25953"/>
    <n v="188"/>
    <n v="-193"/>
    <n v="2"/>
    <x v="2"/>
    <x v="3"/>
    <x v="17"/>
    <d v="2019-01-14T00:00:00"/>
    <x v="81"/>
    <s v="Hyderabad"/>
    <x v="9"/>
    <n v="-1.0265957446808511"/>
    <n v="2019"/>
    <n v="1"/>
  </r>
  <r>
    <s v="B-25953"/>
    <n v="81"/>
    <n v="41"/>
    <n v="3"/>
    <x v="1"/>
    <x v="1"/>
    <x v="17"/>
    <d v="2019-01-14T00:00:00"/>
    <x v="81"/>
    <s v="Hyderabad"/>
    <x v="9"/>
    <n v="0.50617283950617287"/>
    <n v="2019"/>
    <n v="1"/>
  </r>
  <r>
    <s v="B-25953"/>
    <n v="44"/>
    <n v="2"/>
    <n v="3"/>
    <x v="1"/>
    <x v="2"/>
    <x v="17"/>
    <d v="2019-01-14T00:00:00"/>
    <x v="81"/>
    <s v="Hyderabad"/>
    <x v="9"/>
    <n v="4.5454545454545456E-2"/>
    <n v="2019"/>
    <n v="1"/>
  </r>
  <r>
    <s v="B-25953"/>
    <n v="116"/>
    <n v="22"/>
    <n v="1"/>
    <x v="2"/>
    <x v="14"/>
    <x v="17"/>
    <d v="2019-01-14T00:00:00"/>
    <x v="81"/>
    <s v="Hyderabad"/>
    <x v="9"/>
    <n v="0.18965517241379309"/>
    <n v="2019"/>
    <n v="1"/>
  </r>
  <r>
    <s v="B-25953"/>
    <n v="67"/>
    <n v="20"/>
    <n v="4"/>
    <x v="1"/>
    <x v="9"/>
    <x v="17"/>
    <d v="2019-01-14T00:00:00"/>
    <x v="81"/>
    <s v="Hyderabad"/>
    <x v="9"/>
    <n v="0.29850746268656714"/>
    <n v="2019"/>
    <n v="1"/>
  </r>
  <r>
    <s v="B-25953"/>
    <n v="744"/>
    <n v="119"/>
    <n v="6"/>
    <x v="2"/>
    <x v="13"/>
    <x v="17"/>
    <d v="2019-01-14T00:00:00"/>
    <x v="81"/>
    <s v="Hyderabad"/>
    <x v="9"/>
    <n v="0.15994623655913978"/>
    <n v="2019"/>
    <n v="1"/>
  </r>
  <r>
    <s v="B-25953"/>
    <n v="1218"/>
    <n v="352"/>
    <n v="9"/>
    <x v="0"/>
    <x v="0"/>
    <x v="17"/>
    <d v="2019-01-14T00:00:00"/>
    <x v="81"/>
    <s v="Hyderabad"/>
    <x v="9"/>
    <n v="0.28899835796387519"/>
    <n v="2019"/>
    <n v="1"/>
  </r>
  <r>
    <s v="B-25953"/>
    <n v="87"/>
    <n v="36"/>
    <n v="5"/>
    <x v="1"/>
    <x v="1"/>
    <x v="17"/>
    <d v="2019-01-14T00:00:00"/>
    <x v="81"/>
    <s v="Hyderabad"/>
    <x v="9"/>
    <n v="0.41379310344827586"/>
    <n v="2019"/>
    <n v="1"/>
  </r>
  <r>
    <s v="B-25954"/>
    <n v="891"/>
    <n v="0"/>
    <n v="5"/>
    <x v="1"/>
    <x v="5"/>
    <x v="0"/>
    <d v="2019-01-14T00:00:00"/>
    <x v="296"/>
    <s v="Ahmedabad"/>
    <x v="9"/>
    <n v="0"/>
    <n v="2019"/>
    <n v="1"/>
  </r>
  <r>
    <s v="B-25954"/>
    <n v="146"/>
    <n v="66"/>
    <n v="1"/>
    <x v="2"/>
    <x v="4"/>
    <x v="0"/>
    <d v="2019-01-14T00:00:00"/>
    <x v="296"/>
    <s v="Ahmedabad"/>
    <x v="9"/>
    <n v="0.45205479452054792"/>
    <n v="2019"/>
    <n v="1"/>
  </r>
  <r>
    <s v="B-25954"/>
    <n v="44"/>
    <n v="10"/>
    <n v="3"/>
    <x v="1"/>
    <x v="1"/>
    <x v="0"/>
    <d v="2019-01-14T00:00:00"/>
    <x v="296"/>
    <s v="Ahmedabad"/>
    <x v="9"/>
    <n v="0.22727272727272727"/>
    <n v="2019"/>
    <n v="1"/>
  </r>
  <r>
    <s v="B-25954"/>
    <n v="27"/>
    <n v="0"/>
    <n v="2"/>
    <x v="1"/>
    <x v="11"/>
    <x v="0"/>
    <d v="2019-01-14T00:00:00"/>
    <x v="296"/>
    <s v="Ahmedabad"/>
    <x v="9"/>
    <n v="0"/>
    <n v="2019"/>
    <n v="1"/>
  </r>
  <r>
    <s v="B-25954"/>
    <n v="48"/>
    <n v="11"/>
    <n v="2"/>
    <x v="1"/>
    <x v="10"/>
    <x v="0"/>
    <d v="2019-01-14T00:00:00"/>
    <x v="296"/>
    <s v="Ahmedabad"/>
    <x v="9"/>
    <n v="0.22916666666666666"/>
    <n v="2019"/>
    <n v="1"/>
  </r>
  <r>
    <s v="B-25954"/>
    <n v="189"/>
    <n v="60"/>
    <n v="4"/>
    <x v="0"/>
    <x v="15"/>
    <x v="0"/>
    <d v="2019-01-14T00:00:00"/>
    <x v="296"/>
    <s v="Ahmedabad"/>
    <x v="9"/>
    <n v="0.31746031746031744"/>
    <n v="2019"/>
    <n v="1"/>
  </r>
  <r>
    <s v="B-25954"/>
    <n v="524"/>
    <n v="-25"/>
    <n v="2"/>
    <x v="2"/>
    <x v="3"/>
    <x v="0"/>
    <d v="2019-01-14T00:00:00"/>
    <x v="296"/>
    <s v="Ahmedabad"/>
    <x v="9"/>
    <n v="-4.7709923664122141E-2"/>
    <n v="2019"/>
    <n v="1"/>
  </r>
  <r>
    <s v="B-25954"/>
    <n v="148"/>
    <n v="9"/>
    <n v="1"/>
    <x v="2"/>
    <x v="3"/>
    <x v="0"/>
    <d v="2019-01-14T00:00:00"/>
    <x v="296"/>
    <s v="Ahmedabad"/>
    <x v="9"/>
    <n v="6.0810810810810814E-2"/>
    <n v="2019"/>
    <n v="1"/>
  </r>
  <r>
    <s v="B-25955"/>
    <n v="1716"/>
    <n v="309"/>
    <n v="7"/>
    <x v="2"/>
    <x v="14"/>
    <x v="1"/>
    <d v="2019-01-16T00:00:00"/>
    <x v="149"/>
    <s v="Pune"/>
    <x v="9"/>
    <n v="0.18006993006993008"/>
    <n v="2019"/>
    <n v="1"/>
  </r>
  <r>
    <s v="B-25955"/>
    <n v="45"/>
    <n v="8"/>
    <n v="4"/>
    <x v="1"/>
    <x v="16"/>
    <x v="1"/>
    <d v="2019-01-16T00:00:00"/>
    <x v="149"/>
    <s v="Pune"/>
    <x v="9"/>
    <n v="0.17777777777777778"/>
    <n v="2019"/>
    <n v="1"/>
  </r>
  <r>
    <s v="B-25955"/>
    <n v="39"/>
    <n v="2"/>
    <n v="2"/>
    <x v="1"/>
    <x v="5"/>
    <x v="1"/>
    <d v="2019-01-16T00:00:00"/>
    <x v="149"/>
    <s v="Pune"/>
    <x v="9"/>
    <n v="5.128205128205128E-2"/>
    <n v="2019"/>
    <n v="1"/>
  </r>
  <r>
    <s v="B-25955"/>
    <n v="110"/>
    <n v="20"/>
    <n v="5"/>
    <x v="1"/>
    <x v="1"/>
    <x v="1"/>
    <d v="2019-01-16T00:00:00"/>
    <x v="149"/>
    <s v="Pune"/>
    <x v="9"/>
    <n v="0.18181818181818182"/>
    <n v="2019"/>
    <n v="1"/>
  </r>
  <r>
    <s v="B-25955"/>
    <n v="54"/>
    <n v="14"/>
    <n v="3"/>
    <x v="1"/>
    <x v="9"/>
    <x v="1"/>
    <d v="2019-01-16T00:00:00"/>
    <x v="149"/>
    <s v="Pune"/>
    <x v="9"/>
    <n v="0.25925925925925924"/>
    <n v="2019"/>
    <n v="1"/>
  </r>
  <r>
    <s v="B-25955"/>
    <n v="954"/>
    <n v="95"/>
    <n v="3"/>
    <x v="2"/>
    <x v="13"/>
    <x v="1"/>
    <d v="2019-01-16T00:00:00"/>
    <x v="149"/>
    <s v="Pune"/>
    <x v="9"/>
    <n v="9.9580712788259959E-2"/>
    <n v="2019"/>
    <n v="1"/>
  </r>
  <r>
    <s v="B-25955"/>
    <n v="2927"/>
    <n v="146"/>
    <n v="8"/>
    <x v="0"/>
    <x v="0"/>
    <x v="1"/>
    <d v="2019-01-16T00:00:00"/>
    <x v="149"/>
    <s v="Pune"/>
    <x v="9"/>
    <n v="4.9880423641954219E-2"/>
    <n v="2019"/>
    <n v="1"/>
  </r>
  <r>
    <s v="B-25955"/>
    <n v="294"/>
    <n v="62"/>
    <n v="9"/>
    <x v="1"/>
    <x v="9"/>
    <x v="1"/>
    <d v="2019-01-16T00:00:00"/>
    <x v="149"/>
    <s v="Pune"/>
    <x v="9"/>
    <n v="0.21088435374149661"/>
    <n v="2019"/>
    <n v="1"/>
  </r>
  <r>
    <s v="B-25955"/>
    <n v="200"/>
    <n v="13"/>
    <n v="5"/>
    <x v="2"/>
    <x v="4"/>
    <x v="1"/>
    <d v="2019-01-16T00:00:00"/>
    <x v="149"/>
    <s v="Pune"/>
    <x v="9"/>
    <n v="6.5000000000000002E-2"/>
    <n v="2019"/>
    <n v="1"/>
  </r>
  <r>
    <s v="B-25956"/>
    <n v="89"/>
    <n v="-37"/>
    <n v="4"/>
    <x v="1"/>
    <x v="10"/>
    <x v="1"/>
    <d v="2019-01-17T00:00:00"/>
    <x v="74"/>
    <s v="Mumbai"/>
    <x v="9"/>
    <n v="-0.4157303370786517"/>
    <n v="2019"/>
    <n v="1"/>
  </r>
  <r>
    <s v="B-25956"/>
    <n v="59"/>
    <n v="10"/>
    <n v="2"/>
    <x v="1"/>
    <x v="2"/>
    <x v="1"/>
    <d v="2019-01-17T00:00:00"/>
    <x v="74"/>
    <s v="Mumbai"/>
    <x v="9"/>
    <n v="0.16949152542372881"/>
    <n v="2019"/>
    <n v="1"/>
  </r>
  <r>
    <s v="B-25956"/>
    <n v="33"/>
    <n v="10"/>
    <n v="3"/>
    <x v="1"/>
    <x v="2"/>
    <x v="1"/>
    <d v="2019-01-17T00:00:00"/>
    <x v="74"/>
    <s v="Mumbai"/>
    <x v="9"/>
    <n v="0.30303030303030304"/>
    <n v="2019"/>
    <n v="1"/>
  </r>
  <r>
    <s v="B-25956"/>
    <n v="474"/>
    <n v="56"/>
    <n v="4"/>
    <x v="2"/>
    <x v="4"/>
    <x v="1"/>
    <d v="2019-01-17T00:00:00"/>
    <x v="74"/>
    <s v="Mumbai"/>
    <x v="9"/>
    <n v="0.11814345991561181"/>
    <n v="2019"/>
    <n v="1"/>
  </r>
  <r>
    <s v="B-25956"/>
    <n v="140"/>
    <n v="28"/>
    <n v="2"/>
    <x v="2"/>
    <x v="4"/>
    <x v="1"/>
    <d v="2019-01-17T00:00:00"/>
    <x v="74"/>
    <s v="Mumbai"/>
    <x v="9"/>
    <n v="0.2"/>
    <n v="2019"/>
    <n v="1"/>
  </r>
  <r>
    <s v="B-25957"/>
    <n v="147"/>
    <n v="73"/>
    <n v="3"/>
    <x v="1"/>
    <x v="1"/>
    <x v="2"/>
    <d v="2019-01-18T00:00:00"/>
    <x v="73"/>
    <s v="Indore"/>
    <x v="9"/>
    <n v="0.49659863945578231"/>
    <n v="2019"/>
    <n v="1"/>
  </r>
  <r>
    <s v="B-25957"/>
    <n v="16"/>
    <n v="2"/>
    <n v="1"/>
    <x v="1"/>
    <x v="5"/>
    <x v="2"/>
    <d v="2019-01-18T00:00:00"/>
    <x v="73"/>
    <s v="Indore"/>
    <x v="9"/>
    <n v="0.125"/>
    <n v="2019"/>
    <n v="1"/>
  </r>
  <r>
    <s v="B-25957"/>
    <n v="1157"/>
    <n v="-13"/>
    <n v="9"/>
    <x v="0"/>
    <x v="0"/>
    <x v="2"/>
    <d v="2019-01-18T00:00:00"/>
    <x v="73"/>
    <s v="Indore"/>
    <x v="9"/>
    <n v="-1.1235955056179775E-2"/>
    <n v="2019"/>
    <n v="1"/>
  </r>
  <r>
    <s v="B-25958"/>
    <n v="105"/>
    <n v="25"/>
    <n v="2"/>
    <x v="1"/>
    <x v="2"/>
    <x v="4"/>
    <d v="2019-01-18T00:00:00"/>
    <x v="297"/>
    <s v="Kolkata"/>
    <x v="9"/>
    <n v="0.23809523809523808"/>
    <n v="2019"/>
    <n v="1"/>
  </r>
  <r>
    <s v="B-25958"/>
    <n v="360"/>
    <n v="32"/>
    <n v="3"/>
    <x v="1"/>
    <x v="5"/>
    <x v="4"/>
    <d v="2019-01-18T00:00:00"/>
    <x v="297"/>
    <s v="Kolkata"/>
    <x v="9"/>
    <n v="8.8888888888888892E-2"/>
    <n v="2019"/>
    <n v="1"/>
  </r>
  <r>
    <s v="B-25959"/>
    <n v="252"/>
    <n v="56"/>
    <n v="2"/>
    <x v="2"/>
    <x v="4"/>
    <x v="2"/>
    <d v="2019-01-18T00:00:00"/>
    <x v="298"/>
    <s v="Indore"/>
    <x v="9"/>
    <n v="0.22222222222222221"/>
    <n v="2019"/>
    <n v="1"/>
  </r>
  <r>
    <s v="B-25959"/>
    <n v="681"/>
    <n v="259"/>
    <n v="4"/>
    <x v="0"/>
    <x v="7"/>
    <x v="2"/>
    <d v="2019-01-18T00:00:00"/>
    <x v="298"/>
    <s v="Indore"/>
    <x v="9"/>
    <n v="0.38032305433186492"/>
    <n v="2019"/>
    <n v="1"/>
  </r>
  <r>
    <s v="B-25959"/>
    <n v="32"/>
    <n v="2"/>
    <n v="2"/>
    <x v="1"/>
    <x v="8"/>
    <x v="2"/>
    <d v="2019-01-18T00:00:00"/>
    <x v="298"/>
    <s v="Indore"/>
    <x v="9"/>
    <n v="6.25E-2"/>
    <n v="2019"/>
    <n v="1"/>
  </r>
  <r>
    <s v="B-25959"/>
    <n v="132"/>
    <n v="49"/>
    <n v="3"/>
    <x v="1"/>
    <x v="10"/>
    <x v="2"/>
    <d v="2019-01-18T00:00:00"/>
    <x v="298"/>
    <s v="Indore"/>
    <x v="9"/>
    <n v="0.37121212121212122"/>
    <n v="2019"/>
    <n v="1"/>
  </r>
  <r>
    <s v="B-25959"/>
    <n v="637"/>
    <n v="212"/>
    <n v="8"/>
    <x v="2"/>
    <x v="4"/>
    <x v="2"/>
    <d v="2019-01-18T00:00:00"/>
    <x v="298"/>
    <s v="Indore"/>
    <x v="9"/>
    <n v="0.3328100470957614"/>
    <n v="2019"/>
    <n v="1"/>
  </r>
  <r>
    <s v="B-25959"/>
    <n v="429"/>
    <n v="17"/>
    <n v="3"/>
    <x v="0"/>
    <x v="7"/>
    <x v="2"/>
    <d v="2019-01-18T00:00:00"/>
    <x v="298"/>
    <s v="Indore"/>
    <x v="9"/>
    <n v="3.9627039627039624E-2"/>
    <n v="2019"/>
    <n v="1"/>
  </r>
  <r>
    <s v="B-25959"/>
    <n v="82"/>
    <n v="24"/>
    <n v="6"/>
    <x v="1"/>
    <x v="2"/>
    <x v="2"/>
    <d v="2019-01-18T00:00:00"/>
    <x v="298"/>
    <s v="Indore"/>
    <x v="9"/>
    <n v="0.29268292682926828"/>
    <n v="2019"/>
    <n v="1"/>
  </r>
  <r>
    <s v="B-25959"/>
    <n v="23"/>
    <n v="8"/>
    <n v="2"/>
    <x v="1"/>
    <x v="2"/>
    <x v="2"/>
    <d v="2019-01-18T00:00:00"/>
    <x v="298"/>
    <s v="Indore"/>
    <x v="9"/>
    <n v="0.34782608695652173"/>
    <n v="2019"/>
    <n v="1"/>
  </r>
  <r>
    <s v="B-25960"/>
    <n v="171"/>
    <n v="-140"/>
    <n v="2"/>
    <x v="0"/>
    <x v="0"/>
    <x v="17"/>
    <d v="2019-01-18T00:00:00"/>
    <x v="74"/>
    <s v="Hyderabad"/>
    <x v="9"/>
    <n v="-0.81871345029239762"/>
    <n v="2019"/>
    <n v="1"/>
  </r>
  <r>
    <s v="B-25961"/>
    <n v="34"/>
    <n v="-12"/>
    <n v="5"/>
    <x v="1"/>
    <x v="11"/>
    <x v="0"/>
    <d v="2019-01-18T00:00:00"/>
    <x v="156"/>
    <s v="Ahmedabad"/>
    <x v="9"/>
    <n v="-0.35294117647058826"/>
    <n v="2019"/>
    <n v="1"/>
  </r>
  <r>
    <s v="B-25961"/>
    <n v="366"/>
    <n v="84"/>
    <n v="3"/>
    <x v="0"/>
    <x v="0"/>
    <x v="0"/>
    <d v="2019-01-18T00:00:00"/>
    <x v="156"/>
    <s v="Ahmedabad"/>
    <x v="9"/>
    <n v="0.22950819672131148"/>
    <n v="2019"/>
    <n v="1"/>
  </r>
  <r>
    <s v="B-25961"/>
    <n v="26"/>
    <n v="3"/>
    <n v="3"/>
    <x v="1"/>
    <x v="16"/>
    <x v="0"/>
    <d v="2019-01-18T00:00:00"/>
    <x v="156"/>
    <s v="Ahmedabad"/>
    <x v="9"/>
    <n v="0.11538461538461539"/>
    <n v="2019"/>
    <n v="1"/>
  </r>
  <r>
    <s v="B-25961"/>
    <n v="446"/>
    <n v="53"/>
    <n v="3"/>
    <x v="2"/>
    <x v="13"/>
    <x v="0"/>
    <d v="2019-01-18T00:00:00"/>
    <x v="156"/>
    <s v="Ahmedabad"/>
    <x v="9"/>
    <n v="0.11883408071748879"/>
    <n v="2019"/>
    <n v="1"/>
  </r>
  <r>
    <s v="B-25961"/>
    <n v="48"/>
    <n v="16"/>
    <n v="3"/>
    <x v="1"/>
    <x v="10"/>
    <x v="0"/>
    <d v="2019-01-18T00:00:00"/>
    <x v="156"/>
    <s v="Ahmedabad"/>
    <x v="9"/>
    <n v="0.33333333333333331"/>
    <n v="2019"/>
    <n v="1"/>
  </r>
  <r>
    <s v="B-25961"/>
    <n v="34"/>
    <n v="10"/>
    <n v="3"/>
    <x v="1"/>
    <x v="16"/>
    <x v="0"/>
    <d v="2019-01-18T00:00:00"/>
    <x v="156"/>
    <s v="Ahmedabad"/>
    <x v="9"/>
    <n v="0.29411764705882354"/>
    <n v="2019"/>
    <n v="1"/>
  </r>
  <r>
    <s v="B-25962"/>
    <n v="260"/>
    <n v="68"/>
    <n v="2"/>
    <x v="2"/>
    <x v="13"/>
    <x v="1"/>
    <d v="2019-01-19T00:00:00"/>
    <x v="299"/>
    <s v="Pune"/>
    <x v="9"/>
    <n v="0.26153846153846155"/>
    <n v="2019"/>
    <n v="1"/>
  </r>
  <r>
    <s v="B-25962"/>
    <n v="312"/>
    <n v="62"/>
    <n v="1"/>
    <x v="2"/>
    <x v="3"/>
    <x v="1"/>
    <d v="2019-01-19T00:00:00"/>
    <x v="299"/>
    <s v="Pune"/>
    <x v="9"/>
    <n v="0.19871794871794871"/>
    <n v="2019"/>
    <n v="1"/>
  </r>
  <r>
    <s v="B-25962"/>
    <n v="544"/>
    <n v="-152"/>
    <n v="3"/>
    <x v="0"/>
    <x v="0"/>
    <x v="1"/>
    <d v="2019-01-19T00:00:00"/>
    <x v="299"/>
    <s v="Pune"/>
    <x v="9"/>
    <n v="-0.27941176470588236"/>
    <n v="2019"/>
    <n v="1"/>
  </r>
  <r>
    <s v="B-25963"/>
    <n v="53"/>
    <n v="8"/>
    <n v="3"/>
    <x v="0"/>
    <x v="15"/>
    <x v="1"/>
    <d v="2019-01-19T00:00:00"/>
    <x v="300"/>
    <s v="Mumbai"/>
    <x v="9"/>
    <n v="0.15094339622641509"/>
    <n v="2019"/>
    <n v="1"/>
  </r>
  <r>
    <s v="B-25964"/>
    <n v="199"/>
    <n v="0"/>
    <n v="4"/>
    <x v="1"/>
    <x v="1"/>
    <x v="2"/>
    <d v="2019-01-20T00:00:00"/>
    <x v="301"/>
    <s v="Indore"/>
    <x v="9"/>
    <n v="0"/>
    <n v="2019"/>
    <n v="1"/>
  </r>
  <r>
    <s v="B-25964"/>
    <n v="89"/>
    <n v="6"/>
    <n v="5"/>
    <x v="1"/>
    <x v="5"/>
    <x v="2"/>
    <d v="2019-01-20T00:00:00"/>
    <x v="301"/>
    <s v="Indore"/>
    <x v="9"/>
    <n v="6.741573033707865E-2"/>
    <n v="2019"/>
    <n v="1"/>
  </r>
  <r>
    <s v="B-25964"/>
    <n v="1270"/>
    <n v="546"/>
    <n v="11"/>
    <x v="2"/>
    <x v="3"/>
    <x v="2"/>
    <d v="2019-01-20T00:00:00"/>
    <x v="301"/>
    <s v="Indore"/>
    <x v="9"/>
    <n v="0.42992125984251967"/>
    <n v="2019"/>
    <n v="1"/>
  </r>
  <r>
    <s v="B-25964"/>
    <n v="346"/>
    <n v="108"/>
    <n v="3"/>
    <x v="0"/>
    <x v="7"/>
    <x v="2"/>
    <d v="2019-01-20T00:00:00"/>
    <x v="301"/>
    <s v="Indore"/>
    <x v="9"/>
    <n v="0.31213872832369943"/>
    <n v="2019"/>
    <n v="1"/>
  </r>
  <r>
    <s v="B-25965"/>
    <n v="17"/>
    <n v="7"/>
    <n v="3"/>
    <x v="1"/>
    <x v="2"/>
    <x v="4"/>
    <d v="2019-01-21T00:00:00"/>
    <x v="302"/>
    <s v="Kolkata"/>
    <x v="9"/>
    <n v="0.41176470588235292"/>
    <n v="2019"/>
    <n v="1"/>
  </r>
  <r>
    <s v="B-25966"/>
    <n v="510"/>
    <n v="234"/>
    <n v="6"/>
    <x v="2"/>
    <x v="3"/>
    <x v="3"/>
    <d v="2019-01-21T00:00:00"/>
    <x v="149"/>
    <s v="Udaipur"/>
    <x v="9"/>
    <n v="0.45882352941176469"/>
    <n v="2019"/>
    <n v="1"/>
  </r>
  <r>
    <s v="B-25967"/>
    <n v="17"/>
    <n v="2"/>
    <n v="2"/>
    <x v="1"/>
    <x v="16"/>
    <x v="8"/>
    <d v="2019-01-21T00:00:00"/>
    <x v="232"/>
    <s v="Allahabad"/>
    <x v="9"/>
    <n v="0.11764705882352941"/>
    <n v="2019"/>
    <n v="1"/>
  </r>
  <r>
    <s v="B-25967"/>
    <n v="119"/>
    <n v="-24"/>
    <n v="4"/>
    <x v="0"/>
    <x v="15"/>
    <x v="8"/>
    <d v="2019-01-21T00:00:00"/>
    <x v="232"/>
    <s v="Allahabad"/>
    <x v="9"/>
    <n v="-0.20168067226890757"/>
    <n v="2019"/>
    <n v="1"/>
  </r>
  <r>
    <s v="B-25967"/>
    <n v="229"/>
    <n v="59"/>
    <n v="9"/>
    <x v="1"/>
    <x v="5"/>
    <x v="8"/>
    <d v="2019-01-21T00:00:00"/>
    <x v="232"/>
    <s v="Allahabad"/>
    <x v="9"/>
    <n v="0.2576419213973799"/>
    <n v="2019"/>
    <n v="1"/>
  </r>
  <r>
    <s v="B-25968"/>
    <n v="811"/>
    <n v="154"/>
    <n v="7"/>
    <x v="2"/>
    <x v="14"/>
    <x v="11"/>
    <d v="2019-01-21T00:00:00"/>
    <x v="303"/>
    <s v="Amritsar"/>
    <x v="9"/>
    <n v="0.18988902589395806"/>
    <n v="2019"/>
    <n v="1"/>
  </r>
  <r>
    <s v="B-25969"/>
    <n v="720"/>
    <n v="43"/>
    <n v="2"/>
    <x v="2"/>
    <x v="13"/>
    <x v="0"/>
    <d v="2019-01-21T00:00:00"/>
    <x v="304"/>
    <s v="Surat"/>
    <x v="9"/>
    <n v="5.9722222222222225E-2"/>
    <n v="2019"/>
    <n v="1"/>
  </r>
  <r>
    <s v="B-25969"/>
    <n v="2452"/>
    <n v="191"/>
    <n v="7"/>
    <x v="0"/>
    <x v="0"/>
    <x v="0"/>
    <d v="2019-01-21T00:00:00"/>
    <x v="304"/>
    <s v="Surat"/>
    <x v="9"/>
    <n v="7.7895595432300166E-2"/>
    <n v="2019"/>
    <n v="1"/>
  </r>
  <r>
    <s v="B-25969"/>
    <n v="171"/>
    <n v="17"/>
    <n v="6"/>
    <x v="1"/>
    <x v="9"/>
    <x v="0"/>
    <d v="2019-01-21T00:00:00"/>
    <x v="304"/>
    <s v="Surat"/>
    <x v="9"/>
    <n v="9.9415204678362568E-2"/>
    <n v="2019"/>
    <n v="1"/>
  </r>
  <r>
    <s v="B-25970"/>
    <n v="203"/>
    <n v="84"/>
    <n v="2"/>
    <x v="2"/>
    <x v="13"/>
    <x v="1"/>
    <d v="2019-01-22T00:00:00"/>
    <x v="67"/>
    <s v="Mumbai"/>
    <x v="9"/>
    <n v="0.41379310344827586"/>
    <n v="2019"/>
    <n v="1"/>
  </r>
  <r>
    <s v="B-25970"/>
    <n v="742"/>
    <n v="198"/>
    <n v="2"/>
    <x v="0"/>
    <x v="0"/>
    <x v="1"/>
    <d v="2019-01-22T00:00:00"/>
    <x v="67"/>
    <s v="Mumbai"/>
    <x v="9"/>
    <n v="0.26684636118598382"/>
    <n v="2019"/>
    <n v="1"/>
  </r>
  <r>
    <s v="B-25970"/>
    <n v="111"/>
    <n v="9"/>
    <n v="4"/>
    <x v="1"/>
    <x v="1"/>
    <x v="1"/>
    <d v="2019-01-22T00:00:00"/>
    <x v="67"/>
    <s v="Mumbai"/>
    <x v="9"/>
    <n v="8.1081081081081086E-2"/>
    <n v="2019"/>
    <n v="1"/>
  </r>
  <r>
    <s v="B-25970"/>
    <n v="365"/>
    <n v="107"/>
    <n v="3"/>
    <x v="2"/>
    <x v="4"/>
    <x v="1"/>
    <d v="2019-01-22T00:00:00"/>
    <x v="67"/>
    <s v="Mumbai"/>
    <x v="9"/>
    <n v="0.29315068493150687"/>
    <n v="2019"/>
    <n v="1"/>
  </r>
  <r>
    <s v="B-25971"/>
    <n v="244"/>
    <n v="83"/>
    <n v="2"/>
    <x v="0"/>
    <x v="0"/>
    <x v="2"/>
    <d v="2019-01-22T00:00:00"/>
    <x v="70"/>
    <s v="Indore"/>
    <x v="9"/>
    <n v="0.3401639344262295"/>
    <n v="2019"/>
    <n v="1"/>
  </r>
  <r>
    <s v="B-25972"/>
    <n v="115"/>
    <n v="47"/>
    <n v="2"/>
    <x v="2"/>
    <x v="14"/>
    <x v="3"/>
    <d v="2019-01-23T00:00:00"/>
    <x v="305"/>
    <s v="Udaipur"/>
    <x v="9"/>
    <n v="0.40869565217391307"/>
    <n v="2019"/>
    <n v="1"/>
  </r>
  <r>
    <s v="B-25973"/>
    <n v="571"/>
    <n v="108"/>
    <n v="12"/>
    <x v="1"/>
    <x v="1"/>
    <x v="8"/>
    <d v="2019-01-24T00:00:00"/>
    <x v="306"/>
    <s v="Allahabad"/>
    <x v="9"/>
    <n v="0.18914185639229422"/>
    <n v="2019"/>
    <n v="1"/>
  </r>
  <r>
    <s v="B-25973"/>
    <n v="398"/>
    <n v="111"/>
    <n v="8"/>
    <x v="1"/>
    <x v="2"/>
    <x v="8"/>
    <d v="2019-01-24T00:00:00"/>
    <x v="306"/>
    <s v="Allahabad"/>
    <x v="9"/>
    <n v="0.27889447236180903"/>
    <n v="2019"/>
    <n v="1"/>
  </r>
  <r>
    <s v="B-25973"/>
    <n v="79"/>
    <n v="39"/>
    <n v="2"/>
    <x v="1"/>
    <x v="10"/>
    <x v="8"/>
    <d v="2019-01-24T00:00:00"/>
    <x v="306"/>
    <s v="Allahabad"/>
    <x v="9"/>
    <n v="0.49367088607594939"/>
    <n v="2019"/>
    <n v="1"/>
  </r>
  <r>
    <s v="B-25973"/>
    <n v="39"/>
    <n v="14"/>
    <n v="5"/>
    <x v="1"/>
    <x v="11"/>
    <x v="8"/>
    <d v="2019-01-24T00:00:00"/>
    <x v="306"/>
    <s v="Allahabad"/>
    <x v="9"/>
    <n v="0.35897435897435898"/>
    <n v="2019"/>
    <n v="1"/>
  </r>
  <r>
    <s v="B-25973"/>
    <n v="4141"/>
    <n v="1698"/>
    <n v="13"/>
    <x v="2"/>
    <x v="13"/>
    <x v="8"/>
    <d v="2019-01-24T00:00:00"/>
    <x v="306"/>
    <s v="Allahabad"/>
    <x v="9"/>
    <n v="0.41004588263704417"/>
    <n v="2019"/>
    <n v="1"/>
  </r>
  <r>
    <s v="B-25974"/>
    <n v="662"/>
    <n v="240"/>
    <n v="2"/>
    <x v="0"/>
    <x v="0"/>
    <x v="3"/>
    <d v="2019-01-25T00:00:00"/>
    <x v="307"/>
    <s v="Udaipur"/>
    <x v="9"/>
    <n v="0.36253776435045315"/>
    <n v="2019"/>
    <n v="1"/>
  </r>
  <r>
    <s v="B-25975"/>
    <n v="29"/>
    <n v="2"/>
    <n v="3"/>
    <x v="1"/>
    <x v="16"/>
    <x v="8"/>
    <d v="2019-01-25T00:00:00"/>
    <x v="55"/>
    <s v="Allahabad"/>
    <x v="9"/>
    <n v="6.8965517241379309E-2"/>
    <n v="2019"/>
    <n v="1"/>
  </r>
  <r>
    <s v="B-25976"/>
    <n v="193"/>
    <n v="8"/>
    <n v="4"/>
    <x v="1"/>
    <x v="9"/>
    <x v="11"/>
    <d v="2019-01-25T00:00:00"/>
    <x v="308"/>
    <s v="Amritsar"/>
    <x v="9"/>
    <n v="4.145077720207254E-2"/>
    <n v="2019"/>
    <n v="1"/>
  </r>
  <r>
    <s v="B-25977"/>
    <n v="27"/>
    <n v="1"/>
    <n v="1"/>
    <x v="1"/>
    <x v="1"/>
    <x v="0"/>
    <d v="2019-01-27T00:00:00"/>
    <x v="79"/>
    <s v="Surat"/>
    <x v="9"/>
    <n v="3.7037037037037035E-2"/>
    <n v="2019"/>
    <n v="1"/>
  </r>
  <r>
    <s v="B-25977"/>
    <n v="74"/>
    <n v="29"/>
    <n v="3"/>
    <x v="1"/>
    <x v="1"/>
    <x v="0"/>
    <d v="2019-01-27T00:00:00"/>
    <x v="79"/>
    <s v="Surat"/>
    <x v="9"/>
    <n v="0.39189189189189189"/>
    <n v="2019"/>
    <n v="1"/>
  </r>
  <r>
    <s v="B-25977"/>
    <n v="180"/>
    <n v="54"/>
    <n v="4"/>
    <x v="1"/>
    <x v="9"/>
    <x v="0"/>
    <d v="2019-01-27T00:00:00"/>
    <x v="79"/>
    <s v="Surat"/>
    <x v="9"/>
    <n v="0.3"/>
    <n v="2019"/>
    <n v="1"/>
  </r>
  <r>
    <s v="B-25978"/>
    <n v="1063"/>
    <n v="-175"/>
    <n v="4"/>
    <x v="2"/>
    <x v="3"/>
    <x v="1"/>
    <d v="2019-01-27T00:00:00"/>
    <x v="309"/>
    <s v="Mumbai"/>
    <x v="9"/>
    <n v="-0.16462841015992474"/>
    <n v="2019"/>
    <n v="1"/>
  </r>
  <r>
    <s v="B-25978"/>
    <n v="341"/>
    <n v="160"/>
    <n v="7"/>
    <x v="1"/>
    <x v="1"/>
    <x v="1"/>
    <d v="2019-01-27T00:00:00"/>
    <x v="309"/>
    <s v="Mumbai"/>
    <x v="9"/>
    <n v="0.46920821114369504"/>
    <n v="2019"/>
    <n v="1"/>
  </r>
  <r>
    <s v="B-25979"/>
    <n v="560"/>
    <n v="44"/>
    <n v="3"/>
    <x v="1"/>
    <x v="5"/>
    <x v="2"/>
    <d v="2019-01-27T00:00:00"/>
    <x v="166"/>
    <s v="Indore"/>
    <x v="9"/>
    <n v="7.857142857142857E-2"/>
    <n v="2019"/>
    <n v="1"/>
  </r>
  <r>
    <s v="B-25979"/>
    <n v="57"/>
    <n v="27"/>
    <n v="2"/>
    <x v="1"/>
    <x v="10"/>
    <x v="2"/>
    <d v="2019-01-27T00:00:00"/>
    <x v="166"/>
    <s v="Indore"/>
    <x v="9"/>
    <n v="0.47368421052631576"/>
    <n v="2019"/>
    <n v="1"/>
  </r>
  <r>
    <s v="B-25979"/>
    <n v="284"/>
    <n v="45"/>
    <n v="2"/>
    <x v="0"/>
    <x v="0"/>
    <x v="2"/>
    <d v="2019-01-27T00:00:00"/>
    <x v="166"/>
    <s v="Indore"/>
    <x v="9"/>
    <n v="0.15845070422535212"/>
    <n v="2019"/>
    <n v="1"/>
  </r>
  <r>
    <s v="B-25979"/>
    <n v="12"/>
    <n v="1"/>
    <n v="2"/>
    <x v="1"/>
    <x v="2"/>
    <x v="2"/>
    <d v="2019-01-27T00:00:00"/>
    <x v="166"/>
    <s v="Indore"/>
    <x v="9"/>
    <n v="8.3333333333333329E-2"/>
    <n v="2019"/>
    <n v="1"/>
  </r>
  <r>
    <s v="B-25979"/>
    <n v="82"/>
    <n v="27"/>
    <n v="3"/>
    <x v="1"/>
    <x v="8"/>
    <x v="2"/>
    <d v="2019-01-27T00:00:00"/>
    <x v="166"/>
    <s v="Indore"/>
    <x v="9"/>
    <n v="0.32926829268292684"/>
    <n v="2019"/>
    <n v="1"/>
  </r>
  <r>
    <s v="B-25980"/>
    <n v="22"/>
    <n v="11"/>
    <n v="3"/>
    <x v="1"/>
    <x v="8"/>
    <x v="3"/>
    <d v="2019-01-27T00:00:00"/>
    <x v="101"/>
    <s v="Udaipur"/>
    <x v="9"/>
    <n v="0.5"/>
    <n v="2019"/>
    <n v="1"/>
  </r>
  <r>
    <s v="B-25981"/>
    <n v="42"/>
    <n v="13"/>
    <n v="3"/>
    <x v="1"/>
    <x v="11"/>
    <x v="18"/>
    <d v="2019-01-28T00:00:00"/>
    <x v="310"/>
    <s v="Delhi"/>
    <x v="9"/>
    <n v="0.30952380952380953"/>
    <n v="2019"/>
    <n v="1"/>
  </r>
  <r>
    <s v="B-25981"/>
    <n v="54"/>
    <n v="12"/>
    <n v="3"/>
    <x v="1"/>
    <x v="5"/>
    <x v="18"/>
    <d v="2019-01-28T00:00:00"/>
    <x v="310"/>
    <s v="Delhi"/>
    <x v="9"/>
    <n v="0.22222222222222221"/>
    <n v="2019"/>
    <n v="1"/>
  </r>
  <r>
    <s v="B-25981"/>
    <n v="62"/>
    <n v="8"/>
    <n v="2"/>
    <x v="1"/>
    <x v="9"/>
    <x v="18"/>
    <d v="2019-01-28T00:00:00"/>
    <x v="310"/>
    <s v="Delhi"/>
    <x v="9"/>
    <n v="0.12903225806451613"/>
    <n v="2019"/>
    <n v="1"/>
  </r>
  <r>
    <s v="B-25981"/>
    <n v="245"/>
    <n v="91"/>
    <n v="2"/>
    <x v="0"/>
    <x v="0"/>
    <x v="18"/>
    <d v="2019-01-28T00:00:00"/>
    <x v="310"/>
    <s v="Delhi"/>
    <x v="9"/>
    <n v="0.37142857142857144"/>
    <n v="2019"/>
    <n v="1"/>
  </r>
  <r>
    <s v="B-25981"/>
    <n v="867"/>
    <n v="251"/>
    <n v="5"/>
    <x v="2"/>
    <x v="4"/>
    <x v="18"/>
    <d v="2019-01-28T00:00:00"/>
    <x v="310"/>
    <s v="Delhi"/>
    <x v="9"/>
    <n v="0.28950403690888121"/>
    <n v="2019"/>
    <n v="1"/>
  </r>
  <r>
    <s v="B-25981"/>
    <n v="48"/>
    <n v="2"/>
    <n v="3"/>
    <x v="1"/>
    <x v="1"/>
    <x v="18"/>
    <d v="2019-01-28T00:00:00"/>
    <x v="310"/>
    <s v="Delhi"/>
    <x v="9"/>
    <n v="4.1666666666666664E-2"/>
    <n v="2019"/>
    <n v="1"/>
  </r>
  <r>
    <s v="B-25982"/>
    <n v="13"/>
    <n v="3"/>
    <n v="1"/>
    <x v="1"/>
    <x v="11"/>
    <x v="18"/>
    <d v="2019-01-29T00:00:00"/>
    <x v="311"/>
    <s v="Delhi"/>
    <x v="9"/>
    <n v="0.23076923076923078"/>
    <n v="2019"/>
    <n v="1"/>
  </r>
  <r>
    <s v="B-25983"/>
    <n v="230"/>
    <n v="5"/>
    <n v="2"/>
    <x v="1"/>
    <x v="5"/>
    <x v="18"/>
    <d v="2019-01-30T00:00:00"/>
    <x v="312"/>
    <s v="Delhi"/>
    <x v="9"/>
    <n v="2.1739130434782608E-2"/>
    <n v="2019"/>
    <n v="1"/>
  </r>
  <r>
    <s v="B-25983"/>
    <n v="32"/>
    <n v="-12"/>
    <n v="1"/>
    <x v="0"/>
    <x v="7"/>
    <x v="18"/>
    <d v="2019-01-30T00:00:00"/>
    <x v="312"/>
    <s v="Delhi"/>
    <x v="9"/>
    <n v="-0.375"/>
    <n v="2019"/>
    <n v="1"/>
  </r>
  <r>
    <s v="B-25983"/>
    <n v="161"/>
    <n v="-229"/>
    <n v="8"/>
    <x v="0"/>
    <x v="15"/>
    <x v="18"/>
    <d v="2019-01-30T00:00:00"/>
    <x v="312"/>
    <s v="Delhi"/>
    <x v="9"/>
    <n v="-1.4223602484472049"/>
    <n v="2019"/>
    <n v="1"/>
  </r>
  <r>
    <s v="B-25983"/>
    <n v="50"/>
    <n v="-4"/>
    <n v="6"/>
    <x v="1"/>
    <x v="9"/>
    <x v="18"/>
    <d v="2019-01-30T00:00:00"/>
    <x v="312"/>
    <s v="Delhi"/>
    <x v="9"/>
    <n v="-0.08"/>
    <n v="2019"/>
    <n v="1"/>
  </r>
  <r>
    <s v="B-25983"/>
    <n v="561"/>
    <n v="118"/>
    <n v="5"/>
    <x v="0"/>
    <x v="0"/>
    <x v="18"/>
    <d v="2019-01-30T00:00:00"/>
    <x v="312"/>
    <s v="Delhi"/>
    <x v="9"/>
    <n v="0.21033868092691621"/>
    <n v="2019"/>
    <n v="1"/>
  </r>
  <r>
    <s v="B-25984"/>
    <n v="304"/>
    <n v="97"/>
    <n v="6"/>
    <x v="1"/>
    <x v="1"/>
    <x v="18"/>
    <d v="2019-01-30T00:00:00"/>
    <x v="266"/>
    <s v="Delhi"/>
    <x v="9"/>
    <n v="0.31907894736842107"/>
    <n v="2019"/>
    <n v="1"/>
  </r>
  <r>
    <s v="B-25985"/>
    <n v="197"/>
    <n v="20"/>
    <n v="4"/>
    <x v="1"/>
    <x v="8"/>
    <x v="2"/>
    <d v="2019-01-31T00:00:00"/>
    <x v="313"/>
    <s v="Indore"/>
    <x v="9"/>
    <n v="0.10152284263959391"/>
    <n v="2019"/>
    <n v="1"/>
  </r>
  <r>
    <s v="B-25985"/>
    <n v="108"/>
    <n v="26"/>
    <n v="4"/>
    <x v="1"/>
    <x v="10"/>
    <x v="2"/>
    <d v="2019-01-31T00:00:00"/>
    <x v="313"/>
    <s v="Indore"/>
    <x v="9"/>
    <n v="0.24074074074074073"/>
    <n v="2019"/>
    <n v="1"/>
  </r>
  <r>
    <s v="B-25985"/>
    <n v="32"/>
    <n v="8"/>
    <n v="5"/>
    <x v="1"/>
    <x v="2"/>
    <x v="2"/>
    <d v="2019-01-31T00:00:00"/>
    <x v="313"/>
    <s v="Indore"/>
    <x v="9"/>
    <n v="0.25"/>
    <n v="2019"/>
    <n v="1"/>
  </r>
  <r>
    <s v="B-25985"/>
    <n v="44"/>
    <n v="11"/>
    <n v="4"/>
    <x v="1"/>
    <x v="1"/>
    <x v="2"/>
    <d v="2019-01-31T00:00:00"/>
    <x v="313"/>
    <s v="Indore"/>
    <x v="9"/>
    <n v="0.25"/>
    <n v="2019"/>
    <n v="1"/>
  </r>
  <r>
    <s v="B-25986"/>
    <n v="749"/>
    <n v="307"/>
    <n v="7"/>
    <x v="0"/>
    <x v="15"/>
    <x v="3"/>
    <d v="2019-01-31T00:00:00"/>
    <x v="101"/>
    <s v="Udaipur"/>
    <x v="9"/>
    <n v="0.40987983978638182"/>
    <n v="2019"/>
    <n v="1"/>
  </r>
  <r>
    <s v="B-25986"/>
    <n v="71"/>
    <n v="4"/>
    <n v="5"/>
    <x v="1"/>
    <x v="11"/>
    <x v="3"/>
    <d v="2019-01-31T00:00:00"/>
    <x v="101"/>
    <s v="Udaipur"/>
    <x v="9"/>
    <n v="5.6338028169014086E-2"/>
    <n v="2019"/>
    <n v="1"/>
  </r>
  <r>
    <s v="B-25986"/>
    <n v="487"/>
    <n v="-23"/>
    <n v="3"/>
    <x v="2"/>
    <x v="13"/>
    <x v="3"/>
    <d v="2019-01-31T00:00:00"/>
    <x v="101"/>
    <s v="Udaipur"/>
    <x v="9"/>
    <n v="-4.7227926078028747E-2"/>
    <n v="2019"/>
    <n v="1"/>
  </r>
  <r>
    <s v="B-25986"/>
    <n v="918"/>
    <n v="22"/>
    <n v="9"/>
    <x v="2"/>
    <x v="3"/>
    <x v="3"/>
    <d v="2019-01-31T00:00:00"/>
    <x v="101"/>
    <s v="Udaipur"/>
    <x v="9"/>
    <n v="2.3965141612200435E-2"/>
    <n v="2019"/>
    <n v="1"/>
  </r>
  <r>
    <s v="B-25987"/>
    <n v="299"/>
    <n v="0"/>
    <n v="6"/>
    <x v="1"/>
    <x v="1"/>
    <x v="18"/>
    <d v="2019-01-31T00:00:00"/>
    <x v="314"/>
    <s v="Delhi"/>
    <x v="9"/>
    <n v="0"/>
    <n v="2019"/>
    <n v="1"/>
  </r>
  <r>
    <s v="B-25987"/>
    <n v="88"/>
    <n v="11"/>
    <n v="7"/>
    <x v="1"/>
    <x v="2"/>
    <x v="18"/>
    <d v="2019-01-31T00:00:00"/>
    <x v="314"/>
    <s v="Delhi"/>
    <x v="9"/>
    <n v="0.125"/>
    <n v="2019"/>
    <n v="1"/>
  </r>
  <r>
    <s v="B-25988"/>
    <n v="79"/>
    <n v="24"/>
    <n v="9"/>
    <x v="1"/>
    <x v="16"/>
    <x v="18"/>
    <d v="2019-01-31T00:00:00"/>
    <x v="315"/>
    <s v="Delhi"/>
    <x v="9"/>
    <n v="0.30379746835443039"/>
    <n v="2019"/>
    <n v="1"/>
  </r>
  <r>
    <s v="B-25989"/>
    <n v="44"/>
    <n v="14"/>
    <n v="3"/>
    <x v="1"/>
    <x v="2"/>
    <x v="18"/>
    <d v="2019-02-01T00:00:00"/>
    <x v="66"/>
    <s v="Delhi"/>
    <x v="10"/>
    <n v="0.31818181818181818"/>
    <n v="2019"/>
    <n v="1"/>
  </r>
  <r>
    <s v="B-25989"/>
    <n v="10"/>
    <n v="5"/>
    <n v="1"/>
    <x v="1"/>
    <x v="1"/>
    <x v="18"/>
    <d v="2019-02-01T00:00:00"/>
    <x v="66"/>
    <s v="Delhi"/>
    <x v="10"/>
    <n v="0.5"/>
    <n v="2019"/>
    <n v="1"/>
  </r>
  <r>
    <s v="B-25989"/>
    <n v="42"/>
    <n v="15"/>
    <n v="1"/>
    <x v="2"/>
    <x v="14"/>
    <x v="18"/>
    <d v="2019-02-01T00:00:00"/>
    <x v="66"/>
    <s v="Delhi"/>
    <x v="10"/>
    <n v="0.35714285714285715"/>
    <n v="2019"/>
    <n v="1"/>
  </r>
  <r>
    <s v="B-25989"/>
    <n v="330"/>
    <n v="81"/>
    <n v="1"/>
    <x v="0"/>
    <x v="0"/>
    <x v="18"/>
    <d v="2019-02-01T00:00:00"/>
    <x v="66"/>
    <s v="Delhi"/>
    <x v="10"/>
    <n v="0.24545454545454545"/>
    <n v="2019"/>
    <n v="1"/>
  </r>
  <r>
    <s v="B-25989"/>
    <n v="338"/>
    <n v="41"/>
    <n v="7"/>
    <x v="1"/>
    <x v="2"/>
    <x v="18"/>
    <d v="2019-02-01T00:00:00"/>
    <x v="66"/>
    <s v="Delhi"/>
    <x v="10"/>
    <n v="0.12130177514792899"/>
    <n v="2019"/>
    <n v="1"/>
  </r>
  <r>
    <s v="B-25990"/>
    <n v="71"/>
    <n v="32"/>
    <n v="3"/>
    <x v="1"/>
    <x v="5"/>
    <x v="18"/>
    <d v="2019-02-02T00:00:00"/>
    <x v="316"/>
    <s v="Delhi"/>
    <x v="10"/>
    <n v="0.45070422535211269"/>
    <n v="2019"/>
    <n v="1"/>
  </r>
  <r>
    <s v="B-25991"/>
    <n v="188"/>
    <n v="13"/>
    <n v="7"/>
    <x v="1"/>
    <x v="10"/>
    <x v="2"/>
    <d v="2019-02-03T00:00:00"/>
    <x v="317"/>
    <s v="Indore"/>
    <x v="10"/>
    <n v="6.9148936170212769E-2"/>
    <n v="2019"/>
    <n v="1"/>
  </r>
  <r>
    <s v="B-25991"/>
    <n v="90"/>
    <n v="30"/>
    <n v="2"/>
    <x v="0"/>
    <x v="7"/>
    <x v="2"/>
    <d v="2019-02-03T00:00:00"/>
    <x v="317"/>
    <s v="Indore"/>
    <x v="10"/>
    <n v="0.33333333333333331"/>
    <n v="2019"/>
    <n v="1"/>
  </r>
  <r>
    <s v="B-25991"/>
    <n v="13"/>
    <n v="5"/>
    <n v="2"/>
    <x v="1"/>
    <x v="2"/>
    <x v="2"/>
    <d v="2019-02-03T00:00:00"/>
    <x v="317"/>
    <s v="Indore"/>
    <x v="10"/>
    <n v="0.38461538461538464"/>
    <n v="2019"/>
    <n v="1"/>
  </r>
  <r>
    <s v="B-25992"/>
    <n v="141"/>
    <n v="41"/>
    <n v="3"/>
    <x v="1"/>
    <x v="10"/>
    <x v="3"/>
    <d v="2019-02-03T00:00:00"/>
    <x v="223"/>
    <s v="Udaipur"/>
    <x v="10"/>
    <n v="0.29078014184397161"/>
    <n v="2019"/>
    <n v="1"/>
  </r>
  <r>
    <s v="B-25993"/>
    <n v="44"/>
    <n v="8"/>
    <n v="2"/>
    <x v="1"/>
    <x v="1"/>
    <x v="18"/>
    <d v="2019-02-03T00:00:00"/>
    <x v="318"/>
    <s v="Delhi"/>
    <x v="10"/>
    <n v="0.18181818181818182"/>
    <n v="2019"/>
    <n v="1"/>
  </r>
  <r>
    <s v="B-25993"/>
    <n v="610"/>
    <n v="208"/>
    <n v="3"/>
    <x v="2"/>
    <x v="13"/>
    <x v="18"/>
    <d v="2019-02-03T00:00:00"/>
    <x v="318"/>
    <s v="Delhi"/>
    <x v="10"/>
    <n v="0.34098360655737703"/>
    <n v="2019"/>
    <n v="1"/>
  </r>
  <r>
    <s v="B-25993"/>
    <n v="4363"/>
    <n v="305"/>
    <n v="5"/>
    <x v="0"/>
    <x v="12"/>
    <x v="18"/>
    <d v="2019-02-03T00:00:00"/>
    <x v="318"/>
    <s v="Delhi"/>
    <x v="10"/>
    <n v="6.9906027962411188E-2"/>
    <n v="2019"/>
    <n v="1"/>
  </r>
  <r>
    <s v="B-25993"/>
    <n v="414"/>
    <n v="199"/>
    <n v="3"/>
    <x v="2"/>
    <x v="4"/>
    <x v="18"/>
    <d v="2019-02-03T00:00:00"/>
    <x v="318"/>
    <s v="Delhi"/>
    <x v="10"/>
    <n v="0.48067632850241548"/>
    <n v="2019"/>
    <n v="1"/>
  </r>
  <r>
    <s v="B-25993"/>
    <n v="221"/>
    <n v="26"/>
    <n v="7"/>
    <x v="0"/>
    <x v="15"/>
    <x v="18"/>
    <d v="2019-02-03T00:00:00"/>
    <x v="318"/>
    <s v="Delhi"/>
    <x v="10"/>
    <n v="0.11764705882352941"/>
    <n v="2019"/>
    <n v="1"/>
  </r>
  <r>
    <s v="B-25993"/>
    <n v="201"/>
    <n v="32"/>
    <n v="4"/>
    <x v="0"/>
    <x v="15"/>
    <x v="18"/>
    <d v="2019-02-03T00:00:00"/>
    <x v="318"/>
    <s v="Delhi"/>
    <x v="10"/>
    <n v="0.15920398009950248"/>
    <n v="2019"/>
    <n v="1"/>
  </r>
  <r>
    <s v="B-25993"/>
    <n v="173"/>
    <n v="86"/>
    <n v="1"/>
    <x v="2"/>
    <x v="13"/>
    <x v="18"/>
    <d v="2019-02-03T00:00:00"/>
    <x v="318"/>
    <s v="Delhi"/>
    <x v="10"/>
    <n v="0.49710982658959535"/>
    <n v="2019"/>
    <n v="1"/>
  </r>
  <r>
    <s v="B-25994"/>
    <n v="196"/>
    <n v="-7"/>
    <n v="5"/>
    <x v="2"/>
    <x v="4"/>
    <x v="18"/>
    <d v="2019-02-03T00:00:00"/>
    <x v="319"/>
    <s v="Delhi"/>
    <x v="10"/>
    <n v="-3.5714285714285712E-2"/>
    <n v="2019"/>
    <n v="1"/>
  </r>
  <r>
    <s v="B-25995"/>
    <n v="1314"/>
    <n v="342"/>
    <n v="3"/>
    <x v="0"/>
    <x v="0"/>
    <x v="18"/>
    <d v="2019-02-04T00:00:00"/>
    <x v="320"/>
    <s v="Delhi"/>
    <x v="10"/>
    <n v="0.26027397260273971"/>
    <n v="2019"/>
    <n v="1"/>
  </r>
  <r>
    <s v="B-25996"/>
    <n v="62"/>
    <n v="6"/>
    <n v="6"/>
    <x v="1"/>
    <x v="16"/>
    <x v="18"/>
    <d v="2019-02-04T00:00:00"/>
    <x v="321"/>
    <s v="Delhi"/>
    <x v="10"/>
    <n v="9.6774193548387094E-2"/>
    <n v="2019"/>
    <n v="1"/>
  </r>
  <r>
    <s v="B-25996"/>
    <n v="31"/>
    <n v="2"/>
    <n v="2"/>
    <x v="1"/>
    <x v="2"/>
    <x v="18"/>
    <d v="2019-02-04T00:00:00"/>
    <x v="321"/>
    <s v="Delhi"/>
    <x v="10"/>
    <n v="6.4516129032258063E-2"/>
    <n v="2019"/>
    <n v="1"/>
  </r>
  <r>
    <s v="B-25996"/>
    <n v="217"/>
    <n v="72"/>
    <n v="2"/>
    <x v="0"/>
    <x v="15"/>
    <x v="18"/>
    <d v="2019-02-04T00:00:00"/>
    <x v="321"/>
    <s v="Delhi"/>
    <x v="10"/>
    <n v="0.33179723502304148"/>
    <n v="2019"/>
    <n v="1"/>
  </r>
  <r>
    <s v="B-25996"/>
    <n v="286"/>
    <n v="140"/>
    <n v="6"/>
    <x v="1"/>
    <x v="10"/>
    <x v="18"/>
    <d v="2019-02-04T00:00:00"/>
    <x v="321"/>
    <s v="Delhi"/>
    <x v="10"/>
    <n v="0.48951048951048953"/>
    <n v="2019"/>
    <n v="1"/>
  </r>
  <r>
    <s v="B-25996"/>
    <n v="333"/>
    <n v="50"/>
    <n v="2"/>
    <x v="2"/>
    <x v="4"/>
    <x v="18"/>
    <d v="2019-02-04T00:00:00"/>
    <x v="321"/>
    <s v="Delhi"/>
    <x v="10"/>
    <n v="0.15015015015015015"/>
    <n v="2019"/>
    <n v="1"/>
  </r>
  <r>
    <s v="B-25996"/>
    <n v="47"/>
    <n v="1"/>
    <n v="2"/>
    <x v="1"/>
    <x v="1"/>
    <x v="18"/>
    <d v="2019-02-04T00:00:00"/>
    <x v="321"/>
    <s v="Delhi"/>
    <x v="10"/>
    <n v="2.1276595744680851E-2"/>
    <n v="2019"/>
    <n v="1"/>
  </r>
  <r>
    <s v="B-25996"/>
    <n v="18"/>
    <n v="4"/>
    <n v="1"/>
    <x v="1"/>
    <x v="5"/>
    <x v="18"/>
    <d v="2019-02-04T00:00:00"/>
    <x v="321"/>
    <s v="Delhi"/>
    <x v="10"/>
    <n v="0.22222222222222221"/>
    <n v="2019"/>
    <n v="1"/>
  </r>
  <r>
    <s v="B-25997"/>
    <n v="16"/>
    <n v="6"/>
    <n v="3"/>
    <x v="1"/>
    <x v="2"/>
    <x v="2"/>
    <d v="2019-02-04T00:00:00"/>
    <x v="9"/>
    <s v="Indore"/>
    <x v="10"/>
    <n v="0.375"/>
    <n v="2019"/>
    <n v="1"/>
  </r>
  <r>
    <s v="B-25997"/>
    <n v="231"/>
    <n v="99"/>
    <n v="2"/>
    <x v="2"/>
    <x v="3"/>
    <x v="2"/>
    <d v="2019-02-04T00:00:00"/>
    <x v="9"/>
    <s v="Indore"/>
    <x v="10"/>
    <n v="0.42857142857142855"/>
    <n v="2019"/>
    <n v="1"/>
  </r>
  <r>
    <s v="B-25997"/>
    <n v="2292"/>
    <n v="127"/>
    <n v="7"/>
    <x v="0"/>
    <x v="0"/>
    <x v="2"/>
    <d v="2019-02-04T00:00:00"/>
    <x v="9"/>
    <s v="Indore"/>
    <x v="10"/>
    <n v="5.5410122164048864E-2"/>
    <n v="2019"/>
    <n v="1"/>
  </r>
  <r>
    <s v="B-25997"/>
    <n v="48"/>
    <n v="15"/>
    <n v="1"/>
    <x v="1"/>
    <x v="2"/>
    <x v="2"/>
    <d v="2019-02-04T00:00:00"/>
    <x v="9"/>
    <s v="Indore"/>
    <x v="10"/>
    <n v="0.3125"/>
    <n v="2019"/>
    <n v="1"/>
  </r>
  <r>
    <s v="B-25998"/>
    <n v="50"/>
    <n v="-28"/>
    <n v="5"/>
    <x v="0"/>
    <x v="15"/>
    <x v="3"/>
    <d v="2019-02-04T00:00:00"/>
    <x v="322"/>
    <s v="Udaipur"/>
    <x v="10"/>
    <n v="-0.56000000000000005"/>
    <n v="2019"/>
    <n v="1"/>
  </r>
  <r>
    <s v="B-25999"/>
    <n v="26"/>
    <n v="-17"/>
    <n v="1"/>
    <x v="1"/>
    <x v="1"/>
    <x v="18"/>
    <d v="2019-02-05T00:00:00"/>
    <x v="323"/>
    <s v="Delhi"/>
    <x v="10"/>
    <n v="-0.65384615384615385"/>
    <n v="2019"/>
    <n v="1"/>
  </r>
  <r>
    <s v="B-25999"/>
    <n v="93"/>
    <n v="-65"/>
    <n v="4"/>
    <x v="1"/>
    <x v="1"/>
    <x v="18"/>
    <d v="2019-02-05T00:00:00"/>
    <x v="323"/>
    <s v="Delhi"/>
    <x v="10"/>
    <n v="-0.69892473118279574"/>
    <n v="2019"/>
    <n v="1"/>
  </r>
  <r>
    <s v="B-25999"/>
    <n v="152"/>
    <n v="-3"/>
    <n v="5"/>
    <x v="1"/>
    <x v="5"/>
    <x v="18"/>
    <d v="2019-02-05T00:00:00"/>
    <x v="323"/>
    <s v="Delhi"/>
    <x v="10"/>
    <n v="-1.9736842105263157E-2"/>
    <n v="2019"/>
    <n v="1"/>
  </r>
  <r>
    <s v="B-25999"/>
    <n v="51"/>
    <n v="-49"/>
    <n v="2"/>
    <x v="2"/>
    <x v="3"/>
    <x v="18"/>
    <d v="2019-02-05T00:00:00"/>
    <x v="323"/>
    <s v="Delhi"/>
    <x v="10"/>
    <n v="-0.96078431372549022"/>
    <n v="2019"/>
    <n v="1"/>
  </r>
  <r>
    <s v="B-25999"/>
    <n v="352"/>
    <n v="74"/>
    <n v="8"/>
    <x v="1"/>
    <x v="1"/>
    <x v="18"/>
    <d v="2019-02-05T00:00:00"/>
    <x v="323"/>
    <s v="Delhi"/>
    <x v="10"/>
    <n v="0.21022727272727273"/>
    <n v="2019"/>
    <n v="1"/>
  </r>
  <r>
    <s v="B-25999"/>
    <n v="129"/>
    <n v="11"/>
    <n v="2"/>
    <x v="2"/>
    <x v="4"/>
    <x v="18"/>
    <d v="2019-02-05T00:00:00"/>
    <x v="323"/>
    <s v="Delhi"/>
    <x v="10"/>
    <n v="8.5271317829457363E-2"/>
    <n v="2019"/>
    <n v="1"/>
  </r>
  <r>
    <s v="B-25999"/>
    <n v="223"/>
    <n v="62"/>
    <n v="7"/>
    <x v="1"/>
    <x v="10"/>
    <x v="18"/>
    <d v="2019-02-05T00:00:00"/>
    <x v="323"/>
    <s v="Delhi"/>
    <x v="10"/>
    <n v="0.27802690582959644"/>
    <n v="2019"/>
    <n v="1"/>
  </r>
  <r>
    <s v="B-25999"/>
    <n v="770"/>
    <n v="323"/>
    <n v="3"/>
    <x v="2"/>
    <x v="14"/>
    <x v="18"/>
    <d v="2019-02-05T00:00:00"/>
    <x v="323"/>
    <s v="Delhi"/>
    <x v="10"/>
    <n v="0.41948051948051945"/>
    <n v="2019"/>
    <n v="1"/>
  </r>
  <r>
    <s v="B-25999"/>
    <n v="222"/>
    <n v="74"/>
    <n v="5"/>
    <x v="1"/>
    <x v="2"/>
    <x v="18"/>
    <d v="2019-02-05T00:00:00"/>
    <x v="323"/>
    <s v="Delhi"/>
    <x v="10"/>
    <n v="0.33333333333333331"/>
    <n v="2019"/>
    <n v="1"/>
  </r>
  <r>
    <s v="B-25999"/>
    <n v="215"/>
    <n v="-30"/>
    <n v="2"/>
    <x v="1"/>
    <x v="5"/>
    <x v="18"/>
    <d v="2019-02-05T00:00:00"/>
    <x v="323"/>
    <s v="Delhi"/>
    <x v="10"/>
    <n v="-0.13953488372093023"/>
    <n v="2019"/>
    <n v="1"/>
  </r>
  <r>
    <s v="B-25999"/>
    <n v="109"/>
    <n v="40"/>
    <n v="1"/>
    <x v="0"/>
    <x v="15"/>
    <x v="18"/>
    <d v="2019-02-05T00:00:00"/>
    <x v="323"/>
    <s v="Delhi"/>
    <x v="10"/>
    <n v="0.3669724770642202"/>
    <n v="2019"/>
    <n v="1"/>
  </r>
  <r>
    <s v="B-26000"/>
    <n v="43"/>
    <n v="9"/>
    <n v="4"/>
    <x v="1"/>
    <x v="16"/>
    <x v="18"/>
    <d v="2019-02-06T00:00:00"/>
    <x v="130"/>
    <s v="Delhi"/>
    <x v="10"/>
    <n v="0.20930232558139536"/>
    <n v="2019"/>
    <n v="1"/>
  </r>
  <r>
    <s v="B-26000"/>
    <n v="676"/>
    <n v="151"/>
    <n v="3"/>
    <x v="2"/>
    <x v="13"/>
    <x v="18"/>
    <d v="2019-02-06T00:00:00"/>
    <x v="130"/>
    <s v="Delhi"/>
    <x v="10"/>
    <n v="0.22337278106508876"/>
    <n v="2019"/>
    <n v="1"/>
  </r>
  <r>
    <s v="B-26000"/>
    <n v="597"/>
    <n v="93"/>
    <n v="4"/>
    <x v="0"/>
    <x v="7"/>
    <x v="18"/>
    <d v="2019-02-06T00:00:00"/>
    <x v="130"/>
    <s v="Delhi"/>
    <x v="10"/>
    <n v="0.15577889447236182"/>
    <n v="2019"/>
    <n v="1"/>
  </r>
  <r>
    <s v="B-26001"/>
    <n v="13"/>
    <n v="0"/>
    <n v="2"/>
    <x v="1"/>
    <x v="2"/>
    <x v="18"/>
    <d v="2019-02-07T00:00:00"/>
    <x v="324"/>
    <s v="Delhi"/>
    <x v="10"/>
    <n v="0"/>
    <n v="2019"/>
    <n v="1"/>
  </r>
  <r>
    <s v="B-26001"/>
    <n v="149"/>
    <n v="17"/>
    <n v="4"/>
    <x v="0"/>
    <x v="15"/>
    <x v="18"/>
    <d v="2019-02-07T00:00:00"/>
    <x v="324"/>
    <s v="Delhi"/>
    <x v="10"/>
    <n v="0.11409395973154363"/>
    <n v="2019"/>
    <n v="1"/>
  </r>
  <r>
    <s v="B-26001"/>
    <n v="8"/>
    <n v="2"/>
    <n v="2"/>
    <x v="1"/>
    <x v="16"/>
    <x v="18"/>
    <d v="2019-02-07T00:00:00"/>
    <x v="324"/>
    <s v="Delhi"/>
    <x v="10"/>
    <n v="0.25"/>
    <n v="2019"/>
    <n v="1"/>
  </r>
  <r>
    <s v="B-26001"/>
    <n v="50"/>
    <n v="9"/>
    <n v="6"/>
    <x v="1"/>
    <x v="16"/>
    <x v="18"/>
    <d v="2019-02-07T00:00:00"/>
    <x v="324"/>
    <s v="Delhi"/>
    <x v="10"/>
    <n v="0.18"/>
    <n v="2019"/>
    <n v="1"/>
  </r>
  <r>
    <s v="B-26002"/>
    <n v="80"/>
    <n v="22"/>
    <n v="3"/>
    <x v="1"/>
    <x v="1"/>
    <x v="18"/>
    <d v="2019-02-08T00:00:00"/>
    <x v="140"/>
    <s v="Delhi"/>
    <x v="10"/>
    <n v="0.27500000000000002"/>
    <n v="2019"/>
    <n v="1"/>
  </r>
  <r>
    <s v="B-26002"/>
    <n v="276"/>
    <n v="52"/>
    <n v="5"/>
    <x v="1"/>
    <x v="5"/>
    <x v="18"/>
    <d v="2019-02-08T00:00:00"/>
    <x v="140"/>
    <s v="Delhi"/>
    <x v="10"/>
    <n v="0.18840579710144928"/>
    <n v="2019"/>
    <n v="1"/>
  </r>
  <r>
    <s v="B-26002"/>
    <n v="71"/>
    <n v="19"/>
    <n v="3"/>
    <x v="1"/>
    <x v="9"/>
    <x v="18"/>
    <d v="2019-02-08T00:00:00"/>
    <x v="140"/>
    <s v="Delhi"/>
    <x v="10"/>
    <n v="0.26760563380281688"/>
    <n v="2019"/>
    <n v="1"/>
  </r>
  <r>
    <s v="B-26002"/>
    <n v="141"/>
    <n v="7"/>
    <n v="7"/>
    <x v="1"/>
    <x v="5"/>
    <x v="18"/>
    <d v="2019-02-08T00:00:00"/>
    <x v="140"/>
    <s v="Delhi"/>
    <x v="10"/>
    <n v="4.9645390070921988E-2"/>
    <n v="2019"/>
    <n v="1"/>
  </r>
  <r>
    <s v="B-26002"/>
    <n v="113"/>
    <n v="28"/>
    <n v="2"/>
    <x v="1"/>
    <x v="5"/>
    <x v="18"/>
    <d v="2019-02-08T00:00:00"/>
    <x v="140"/>
    <s v="Delhi"/>
    <x v="10"/>
    <n v="0.24778761061946902"/>
    <n v="2019"/>
    <n v="1"/>
  </r>
  <r>
    <s v="B-26003"/>
    <n v="315"/>
    <n v="-8"/>
    <n v="3"/>
    <x v="0"/>
    <x v="7"/>
    <x v="2"/>
    <d v="2019-02-08T00:00:00"/>
    <x v="325"/>
    <s v="Bhopal"/>
    <x v="10"/>
    <n v="-2.5396825396825397E-2"/>
    <n v="2019"/>
    <n v="1"/>
  </r>
  <r>
    <s v="B-26003"/>
    <n v="128"/>
    <n v="47"/>
    <n v="4"/>
    <x v="1"/>
    <x v="2"/>
    <x v="2"/>
    <d v="2019-02-08T00:00:00"/>
    <x v="325"/>
    <s v="Bhopal"/>
    <x v="10"/>
    <n v="0.3671875"/>
    <n v="2019"/>
    <n v="1"/>
  </r>
  <r>
    <s v="B-26003"/>
    <n v="652"/>
    <n v="13"/>
    <n v="6"/>
    <x v="0"/>
    <x v="15"/>
    <x v="2"/>
    <d v="2019-02-08T00:00:00"/>
    <x v="325"/>
    <s v="Bhopal"/>
    <x v="10"/>
    <n v="1.9938650306748466E-2"/>
    <n v="2019"/>
    <n v="1"/>
  </r>
  <r>
    <s v="B-26003"/>
    <n v="114"/>
    <n v="41"/>
    <n v="6"/>
    <x v="0"/>
    <x v="15"/>
    <x v="2"/>
    <d v="2019-02-08T00:00:00"/>
    <x v="325"/>
    <s v="Bhopal"/>
    <x v="10"/>
    <n v="0.35964912280701755"/>
    <n v="2019"/>
    <n v="1"/>
  </r>
  <r>
    <s v="B-26003"/>
    <n v="79"/>
    <n v="16"/>
    <n v="3"/>
    <x v="1"/>
    <x v="9"/>
    <x v="2"/>
    <d v="2019-02-08T00:00:00"/>
    <x v="325"/>
    <s v="Bhopal"/>
    <x v="10"/>
    <n v="0.20253164556962025"/>
    <n v="2019"/>
    <n v="1"/>
  </r>
  <r>
    <s v="B-26003"/>
    <n v="498"/>
    <n v="-116"/>
    <n v="4"/>
    <x v="1"/>
    <x v="5"/>
    <x v="2"/>
    <d v="2019-02-08T00:00:00"/>
    <x v="325"/>
    <s v="Bhopal"/>
    <x v="10"/>
    <n v="-0.23293172690763053"/>
    <n v="2019"/>
    <n v="1"/>
  </r>
  <r>
    <s v="B-26003"/>
    <n v="1745"/>
    <n v="122"/>
    <n v="2"/>
    <x v="0"/>
    <x v="12"/>
    <x v="2"/>
    <d v="2019-02-08T00:00:00"/>
    <x v="325"/>
    <s v="Bhopal"/>
    <x v="10"/>
    <n v="6.9914040114613177E-2"/>
    <n v="2019"/>
    <n v="1"/>
  </r>
  <r>
    <s v="B-26003"/>
    <n v="17"/>
    <n v="2"/>
    <n v="2"/>
    <x v="1"/>
    <x v="16"/>
    <x v="2"/>
    <d v="2019-02-08T00:00:00"/>
    <x v="325"/>
    <s v="Bhopal"/>
    <x v="10"/>
    <n v="0.11764705882352941"/>
    <n v="2019"/>
    <n v="1"/>
  </r>
  <r>
    <s v="B-26004"/>
    <n v="147"/>
    <n v="44"/>
    <n v="3"/>
    <x v="1"/>
    <x v="5"/>
    <x v="3"/>
    <d v="2019-02-08T00:00:00"/>
    <x v="326"/>
    <s v="Jaipur"/>
    <x v="10"/>
    <n v="0.29931972789115646"/>
    <n v="2019"/>
    <n v="1"/>
  </r>
  <r>
    <s v="B-26004"/>
    <n v="162"/>
    <n v="73"/>
    <n v="2"/>
    <x v="2"/>
    <x v="3"/>
    <x v="3"/>
    <d v="2019-02-08T00:00:00"/>
    <x v="326"/>
    <s v="Jaipur"/>
    <x v="10"/>
    <n v="0.45061728395061729"/>
    <n v="2019"/>
    <n v="1"/>
  </r>
  <r>
    <s v="B-26005"/>
    <n v="87"/>
    <n v="10"/>
    <n v="3"/>
    <x v="1"/>
    <x v="1"/>
    <x v="4"/>
    <d v="2019-02-08T00:00:00"/>
    <x v="327"/>
    <s v="Kolkata"/>
    <x v="10"/>
    <n v="0.11494252873563218"/>
    <n v="2019"/>
    <n v="1"/>
  </r>
  <r>
    <s v="B-26006"/>
    <n v="1301"/>
    <n v="573"/>
    <n v="5"/>
    <x v="2"/>
    <x v="14"/>
    <x v="5"/>
    <d v="2019-02-09T00:00:00"/>
    <x v="328"/>
    <s v="Bangalore"/>
    <x v="10"/>
    <n v="0.4404304381245196"/>
    <n v="2019"/>
    <n v="1"/>
  </r>
  <r>
    <s v="B-26007"/>
    <n v="311"/>
    <n v="72"/>
    <n v="2"/>
    <x v="0"/>
    <x v="0"/>
    <x v="6"/>
    <d v="2019-02-09T00:00:00"/>
    <x v="130"/>
    <s v="Kashmir"/>
    <x v="10"/>
    <n v="0.23151125401929259"/>
    <n v="2019"/>
    <n v="1"/>
  </r>
  <r>
    <s v="B-26008"/>
    <n v="22"/>
    <n v="4"/>
    <n v="1"/>
    <x v="1"/>
    <x v="1"/>
    <x v="7"/>
    <d v="2019-02-09T00:00:00"/>
    <x v="329"/>
    <s v="Chennai"/>
    <x v="10"/>
    <n v="0.18181818181818182"/>
    <n v="2019"/>
    <n v="1"/>
  </r>
  <r>
    <s v="B-26008"/>
    <n v="206"/>
    <n v="51"/>
    <n v="4"/>
    <x v="1"/>
    <x v="2"/>
    <x v="7"/>
    <d v="2019-02-09T00:00:00"/>
    <x v="329"/>
    <s v="Chennai"/>
    <x v="10"/>
    <n v="0.24757281553398058"/>
    <n v="2019"/>
    <n v="1"/>
  </r>
  <r>
    <s v="B-26008"/>
    <n v="57"/>
    <n v="24"/>
    <n v="5"/>
    <x v="1"/>
    <x v="11"/>
    <x v="7"/>
    <d v="2019-02-09T00:00:00"/>
    <x v="329"/>
    <s v="Chennai"/>
    <x v="10"/>
    <n v="0.42105263157894735"/>
    <n v="2019"/>
    <n v="1"/>
  </r>
  <r>
    <s v="B-26008"/>
    <n v="10"/>
    <n v="-1"/>
    <n v="1"/>
    <x v="1"/>
    <x v="5"/>
    <x v="7"/>
    <d v="2019-02-09T00:00:00"/>
    <x v="329"/>
    <s v="Chennai"/>
    <x v="10"/>
    <n v="-0.1"/>
    <n v="2019"/>
    <n v="1"/>
  </r>
  <r>
    <s v="B-26009"/>
    <n v="285"/>
    <n v="128"/>
    <n v="2"/>
    <x v="2"/>
    <x v="13"/>
    <x v="8"/>
    <d v="2019-02-10T00:00:00"/>
    <x v="232"/>
    <s v="Lucknow"/>
    <x v="10"/>
    <n v="0.44912280701754387"/>
    <n v="2019"/>
    <n v="1"/>
  </r>
  <r>
    <s v="B-26009"/>
    <n v="195"/>
    <n v="12"/>
    <n v="9"/>
    <x v="1"/>
    <x v="10"/>
    <x v="8"/>
    <d v="2019-02-10T00:00:00"/>
    <x v="232"/>
    <s v="Lucknow"/>
    <x v="10"/>
    <n v="6.1538461538461542E-2"/>
    <n v="2019"/>
    <n v="1"/>
  </r>
  <r>
    <s v="B-26010"/>
    <n v="527"/>
    <n v="26"/>
    <n v="3"/>
    <x v="2"/>
    <x v="3"/>
    <x v="9"/>
    <d v="2019-02-11T00:00:00"/>
    <x v="330"/>
    <s v="Patna"/>
    <x v="10"/>
    <n v="4.9335863377609111E-2"/>
    <n v="2019"/>
    <n v="1"/>
  </r>
  <r>
    <s v="B-26010"/>
    <n v="29"/>
    <n v="3"/>
    <n v="2"/>
    <x v="1"/>
    <x v="1"/>
    <x v="9"/>
    <d v="2019-02-11T00:00:00"/>
    <x v="330"/>
    <s v="Patna"/>
    <x v="10"/>
    <n v="0.10344827586206896"/>
    <n v="2019"/>
    <n v="1"/>
  </r>
  <r>
    <s v="B-26010"/>
    <n v="85"/>
    <n v="13"/>
    <n v="2"/>
    <x v="1"/>
    <x v="10"/>
    <x v="9"/>
    <d v="2019-02-11T00:00:00"/>
    <x v="330"/>
    <s v="Patna"/>
    <x v="10"/>
    <n v="0.15294117647058825"/>
    <n v="2019"/>
    <n v="1"/>
  </r>
  <r>
    <s v="B-26010"/>
    <n v="18"/>
    <n v="2"/>
    <n v="3"/>
    <x v="1"/>
    <x v="2"/>
    <x v="9"/>
    <d v="2019-02-11T00:00:00"/>
    <x v="330"/>
    <s v="Patna"/>
    <x v="10"/>
    <n v="0.1111111111111111"/>
    <n v="2019"/>
    <n v="1"/>
  </r>
  <r>
    <s v="B-26010"/>
    <n v="176"/>
    <n v="-13"/>
    <n v="5"/>
    <x v="0"/>
    <x v="15"/>
    <x v="9"/>
    <d v="2019-02-11T00:00:00"/>
    <x v="330"/>
    <s v="Patna"/>
    <x v="10"/>
    <n v="-7.3863636363636367E-2"/>
    <n v="2019"/>
    <n v="1"/>
  </r>
  <r>
    <s v="B-26010"/>
    <n v="55"/>
    <n v="3"/>
    <n v="3"/>
    <x v="1"/>
    <x v="9"/>
    <x v="9"/>
    <d v="2019-02-11T00:00:00"/>
    <x v="330"/>
    <s v="Patna"/>
    <x v="10"/>
    <n v="5.4545454545454543E-2"/>
    <n v="2019"/>
    <n v="1"/>
  </r>
  <r>
    <s v="B-26011"/>
    <n v="93"/>
    <n v="44"/>
    <n v="2"/>
    <x v="1"/>
    <x v="1"/>
    <x v="0"/>
    <d v="2019-02-12T00:00:00"/>
    <x v="0"/>
    <s v="Ahmedabad"/>
    <x v="10"/>
    <n v="0.4731182795698925"/>
    <n v="2019"/>
    <n v="1"/>
  </r>
  <r>
    <s v="B-26012"/>
    <n v="21"/>
    <n v="8"/>
    <n v="2"/>
    <x v="1"/>
    <x v="5"/>
    <x v="1"/>
    <d v="2019-02-13T00:00:00"/>
    <x v="1"/>
    <s v="Pune"/>
    <x v="10"/>
    <n v="0.38095238095238093"/>
    <n v="2019"/>
    <n v="1"/>
  </r>
  <r>
    <s v="B-26013"/>
    <n v="29"/>
    <n v="10"/>
    <n v="3"/>
    <x v="1"/>
    <x v="16"/>
    <x v="2"/>
    <d v="2019-02-13T00:00:00"/>
    <x v="2"/>
    <s v="Bhopal"/>
    <x v="10"/>
    <n v="0.34482758620689657"/>
    <n v="2019"/>
    <n v="1"/>
  </r>
  <r>
    <s v="B-26014"/>
    <n v="406"/>
    <n v="97"/>
    <n v="7"/>
    <x v="0"/>
    <x v="7"/>
    <x v="3"/>
    <d v="2019-02-13T00:00:00"/>
    <x v="3"/>
    <s v="Jaipur"/>
    <x v="10"/>
    <n v="0.23891625615763548"/>
    <n v="2019"/>
    <n v="1"/>
  </r>
  <r>
    <s v="B-26014"/>
    <n v="278"/>
    <n v="39"/>
    <n v="5"/>
    <x v="0"/>
    <x v="7"/>
    <x v="3"/>
    <d v="2019-02-13T00:00:00"/>
    <x v="3"/>
    <s v="Jaipur"/>
    <x v="10"/>
    <n v="0.14028776978417265"/>
    <n v="2019"/>
    <n v="1"/>
  </r>
  <r>
    <s v="B-26015"/>
    <n v="128"/>
    <n v="55"/>
    <n v="1"/>
    <x v="1"/>
    <x v="5"/>
    <x v="4"/>
    <d v="2019-02-14T00:00:00"/>
    <x v="4"/>
    <s v="Kolkata"/>
    <x v="10"/>
    <n v="0.4296875"/>
    <n v="2019"/>
    <n v="1"/>
  </r>
  <r>
    <s v="B-26016"/>
    <n v="74"/>
    <n v="9"/>
    <n v="3"/>
    <x v="1"/>
    <x v="10"/>
    <x v="5"/>
    <d v="2019-02-14T00:00:00"/>
    <x v="5"/>
    <s v="Bangalore"/>
    <x v="10"/>
    <n v="0.12162162162162163"/>
    <n v="2019"/>
    <n v="1"/>
  </r>
  <r>
    <s v="B-26016"/>
    <n v="202"/>
    <n v="4"/>
    <n v="4"/>
    <x v="1"/>
    <x v="2"/>
    <x v="5"/>
    <d v="2019-02-14T00:00:00"/>
    <x v="5"/>
    <s v="Bangalore"/>
    <x v="10"/>
    <n v="1.9801980198019802E-2"/>
    <n v="2019"/>
    <n v="1"/>
  </r>
  <r>
    <s v="B-26016"/>
    <n v="429"/>
    <n v="61"/>
    <n v="3"/>
    <x v="2"/>
    <x v="3"/>
    <x v="5"/>
    <d v="2019-02-14T00:00:00"/>
    <x v="5"/>
    <s v="Bangalore"/>
    <x v="10"/>
    <n v="0.14219114219114218"/>
    <n v="2019"/>
    <n v="1"/>
  </r>
  <r>
    <s v="B-26016"/>
    <n v="134"/>
    <n v="-13"/>
    <n v="3"/>
    <x v="2"/>
    <x v="3"/>
    <x v="5"/>
    <d v="2019-02-14T00:00:00"/>
    <x v="5"/>
    <s v="Bangalore"/>
    <x v="10"/>
    <n v="-9.7014925373134331E-2"/>
    <n v="2019"/>
    <n v="1"/>
  </r>
  <r>
    <s v="B-26017"/>
    <n v="78"/>
    <n v="7"/>
    <n v="1"/>
    <x v="0"/>
    <x v="7"/>
    <x v="6"/>
    <d v="2019-02-14T00:00:00"/>
    <x v="6"/>
    <s v="Kashmir"/>
    <x v="10"/>
    <n v="8.9743589743589744E-2"/>
    <n v="2019"/>
    <n v="1"/>
  </r>
  <r>
    <s v="B-26018"/>
    <n v="326"/>
    <n v="107"/>
    <n v="3"/>
    <x v="0"/>
    <x v="15"/>
    <x v="7"/>
    <d v="2019-02-14T00:00:00"/>
    <x v="7"/>
    <s v="Chennai"/>
    <x v="10"/>
    <n v="0.32822085889570551"/>
    <n v="2019"/>
    <n v="1"/>
  </r>
  <r>
    <s v="B-26018"/>
    <n v="61"/>
    <n v="8"/>
    <n v="4"/>
    <x v="1"/>
    <x v="2"/>
    <x v="7"/>
    <d v="2019-02-14T00:00:00"/>
    <x v="7"/>
    <s v="Chennai"/>
    <x v="10"/>
    <n v="0.13114754098360656"/>
    <n v="2019"/>
    <n v="1"/>
  </r>
  <r>
    <s v="B-26019"/>
    <n v="585"/>
    <n v="175"/>
    <n v="13"/>
    <x v="1"/>
    <x v="9"/>
    <x v="8"/>
    <d v="2019-02-15T00:00:00"/>
    <x v="8"/>
    <s v="Lucknow"/>
    <x v="10"/>
    <n v="0.29914529914529914"/>
    <n v="2019"/>
    <n v="1"/>
  </r>
  <r>
    <s v="B-26020"/>
    <n v="319"/>
    <n v="102"/>
    <n v="6"/>
    <x v="2"/>
    <x v="14"/>
    <x v="9"/>
    <d v="2019-02-16T00:00:00"/>
    <x v="9"/>
    <s v="Patna"/>
    <x v="10"/>
    <n v="0.31974921630094044"/>
    <n v="2019"/>
    <n v="1"/>
  </r>
  <r>
    <s v="B-26021"/>
    <n v="122"/>
    <n v="59"/>
    <n v="7"/>
    <x v="0"/>
    <x v="15"/>
    <x v="10"/>
    <d v="2019-02-17T00:00:00"/>
    <x v="10"/>
    <s v="Thiruvananthapuram"/>
    <x v="10"/>
    <n v="0.48360655737704916"/>
    <n v="2019"/>
    <n v="1"/>
  </r>
  <r>
    <s v="B-26021"/>
    <n v="49"/>
    <n v="21"/>
    <n v="1"/>
    <x v="1"/>
    <x v="1"/>
    <x v="10"/>
    <d v="2019-02-17T00:00:00"/>
    <x v="10"/>
    <s v="Thiruvananthapuram"/>
    <x v="10"/>
    <n v="0.42857142857142855"/>
    <n v="2019"/>
    <n v="1"/>
  </r>
  <r>
    <s v="B-26021"/>
    <n v="21"/>
    <n v="-12"/>
    <n v="3"/>
    <x v="1"/>
    <x v="2"/>
    <x v="10"/>
    <d v="2019-02-17T00:00:00"/>
    <x v="10"/>
    <s v="Thiruvananthapuram"/>
    <x v="10"/>
    <n v="-0.5714285714285714"/>
    <n v="2019"/>
    <n v="1"/>
  </r>
  <r>
    <s v="B-26022"/>
    <n v="1824"/>
    <n v="-1303"/>
    <n v="8"/>
    <x v="2"/>
    <x v="4"/>
    <x v="11"/>
    <d v="2019-02-18T00:00:00"/>
    <x v="11"/>
    <s v="Chandigarh"/>
    <x v="10"/>
    <n v="-0.71436403508771928"/>
    <n v="2019"/>
    <n v="1"/>
  </r>
  <r>
    <s v="B-26023"/>
    <n v="1117"/>
    <n v="447"/>
    <n v="10"/>
    <x v="0"/>
    <x v="0"/>
    <x v="12"/>
    <d v="2019-02-19T00:00:00"/>
    <x v="12"/>
    <s v="Chandigarh"/>
    <x v="10"/>
    <n v="0.40017905102954343"/>
    <n v="2019"/>
    <n v="1"/>
  </r>
  <r>
    <s v="B-26023"/>
    <n v="29"/>
    <n v="0"/>
    <n v="3"/>
    <x v="0"/>
    <x v="15"/>
    <x v="12"/>
    <d v="2019-02-19T00:00:00"/>
    <x v="12"/>
    <s v="Chandigarh"/>
    <x v="10"/>
    <n v="0"/>
    <n v="2019"/>
    <n v="1"/>
  </r>
  <r>
    <s v="B-26023"/>
    <n v="66"/>
    <n v="22"/>
    <n v="3"/>
    <x v="1"/>
    <x v="1"/>
    <x v="12"/>
    <d v="2019-02-19T00:00:00"/>
    <x v="12"/>
    <s v="Chandigarh"/>
    <x v="10"/>
    <n v="0.33333333333333331"/>
    <n v="2019"/>
    <n v="1"/>
  </r>
  <r>
    <s v="B-26023"/>
    <n v="59"/>
    <n v="21"/>
    <n v="2"/>
    <x v="1"/>
    <x v="1"/>
    <x v="12"/>
    <d v="2019-02-19T00:00:00"/>
    <x v="12"/>
    <s v="Chandigarh"/>
    <x v="10"/>
    <n v="0.3559322033898305"/>
    <n v="2019"/>
    <n v="1"/>
  </r>
  <r>
    <s v="B-26024"/>
    <n v="168"/>
    <n v="18"/>
    <n v="6"/>
    <x v="1"/>
    <x v="1"/>
    <x v="13"/>
    <d v="2019-02-19T00:00:00"/>
    <x v="13"/>
    <s v="Simla"/>
    <x v="10"/>
    <n v="0.10714285714285714"/>
    <n v="2019"/>
    <n v="1"/>
  </r>
  <r>
    <s v="B-26025"/>
    <n v="155"/>
    <n v="5"/>
    <n v="3"/>
    <x v="1"/>
    <x v="1"/>
    <x v="14"/>
    <d v="2019-02-19T00:00:00"/>
    <x v="14"/>
    <s v="Gangtok"/>
    <x v="10"/>
    <n v="3.2258064516129031E-2"/>
    <n v="2019"/>
    <n v="1"/>
  </r>
  <r>
    <s v="B-26025"/>
    <n v="32"/>
    <n v="1"/>
    <n v="2"/>
    <x v="1"/>
    <x v="1"/>
    <x v="14"/>
    <d v="2019-02-19T00:00:00"/>
    <x v="14"/>
    <s v="Gangtok"/>
    <x v="10"/>
    <n v="3.125E-2"/>
    <n v="2019"/>
    <n v="1"/>
  </r>
  <r>
    <s v="B-26025"/>
    <n v="41"/>
    <n v="19"/>
    <n v="5"/>
    <x v="1"/>
    <x v="2"/>
    <x v="14"/>
    <d v="2019-02-19T00:00:00"/>
    <x v="14"/>
    <s v="Gangtok"/>
    <x v="10"/>
    <n v="0.46341463414634149"/>
    <n v="2019"/>
    <n v="1"/>
  </r>
  <r>
    <s v="B-26026"/>
    <n v="255"/>
    <n v="76"/>
    <n v="9"/>
    <x v="1"/>
    <x v="2"/>
    <x v="15"/>
    <d v="2019-02-19T00:00:00"/>
    <x v="15"/>
    <s v="Goa"/>
    <x v="10"/>
    <n v="0.29803921568627451"/>
    <n v="2019"/>
    <n v="1"/>
  </r>
  <r>
    <s v="B-26026"/>
    <n v="25"/>
    <n v="2"/>
    <n v="3"/>
    <x v="1"/>
    <x v="8"/>
    <x v="15"/>
    <d v="2019-02-19T00:00:00"/>
    <x v="15"/>
    <s v="Goa"/>
    <x v="10"/>
    <n v="0.08"/>
    <n v="2019"/>
    <n v="1"/>
  </r>
  <r>
    <s v="B-26027"/>
    <n v="54"/>
    <n v="8"/>
    <n v="4"/>
    <x v="1"/>
    <x v="9"/>
    <x v="16"/>
    <d v="2019-02-20T00:00:00"/>
    <x v="16"/>
    <s v="Kohima"/>
    <x v="10"/>
    <n v="0.14814814814814814"/>
    <n v="2019"/>
    <n v="1"/>
  </r>
  <r>
    <s v="B-26028"/>
    <n v="77"/>
    <n v="36"/>
    <n v="2"/>
    <x v="1"/>
    <x v="10"/>
    <x v="17"/>
    <d v="2019-02-20T00:00:00"/>
    <x v="17"/>
    <s v="Hyderabad"/>
    <x v="10"/>
    <n v="0.46753246753246752"/>
    <n v="2019"/>
    <n v="1"/>
  </r>
  <r>
    <s v="B-26028"/>
    <n v="115"/>
    <n v="0"/>
    <n v="1"/>
    <x v="2"/>
    <x v="14"/>
    <x v="17"/>
    <d v="2019-02-20T00:00:00"/>
    <x v="17"/>
    <s v="Hyderabad"/>
    <x v="10"/>
    <n v="0"/>
    <n v="2019"/>
    <n v="1"/>
  </r>
  <r>
    <s v="B-26028"/>
    <n v="1272"/>
    <n v="547"/>
    <n v="2"/>
    <x v="2"/>
    <x v="4"/>
    <x v="17"/>
    <d v="2019-02-20T00:00:00"/>
    <x v="17"/>
    <s v="Hyderabad"/>
    <x v="10"/>
    <n v="0.43003144654088049"/>
    <n v="2019"/>
    <n v="1"/>
  </r>
  <r>
    <s v="B-26029"/>
    <n v="21"/>
    <n v="10"/>
    <n v="1"/>
    <x v="1"/>
    <x v="9"/>
    <x v="0"/>
    <d v="2019-02-20T00:00:00"/>
    <x v="18"/>
    <s v="Ahmedabad"/>
    <x v="10"/>
    <n v="0.47619047619047616"/>
    <n v="2019"/>
    <n v="1"/>
  </r>
  <r>
    <s v="B-26030"/>
    <n v="92"/>
    <n v="5"/>
    <n v="6"/>
    <x v="1"/>
    <x v="2"/>
    <x v="1"/>
    <d v="2019-02-21T00:00:00"/>
    <x v="19"/>
    <s v="Pune"/>
    <x v="10"/>
    <n v="5.434782608695652E-2"/>
    <n v="2019"/>
    <n v="1"/>
  </r>
  <r>
    <s v="B-26030"/>
    <n v="11"/>
    <n v="5"/>
    <n v="1"/>
    <x v="1"/>
    <x v="16"/>
    <x v="1"/>
    <d v="2019-02-21T00:00:00"/>
    <x v="19"/>
    <s v="Pune"/>
    <x v="10"/>
    <n v="0.45454545454545453"/>
    <n v="2019"/>
    <n v="1"/>
  </r>
  <r>
    <s v="B-26030"/>
    <n v="221"/>
    <n v="35"/>
    <n v="4"/>
    <x v="2"/>
    <x v="14"/>
    <x v="1"/>
    <d v="2019-02-21T00:00:00"/>
    <x v="19"/>
    <s v="Pune"/>
    <x v="10"/>
    <n v="0.15837104072398189"/>
    <n v="2019"/>
    <n v="1"/>
  </r>
  <r>
    <s v="B-26030"/>
    <n v="50"/>
    <n v="25"/>
    <n v="5"/>
    <x v="1"/>
    <x v="1"/>
    <x v="1"/>
    <d v="2019-02-21T00:00:00"/>
    <x v="19"/>
    <s v="Pune"/>
    <x v="10"/>
    <n v="0.5"/>
    <n v="2019"/>
    <n v="1"/>
  </r>
  <r>
    <s v="B-26030"/>
    <n v="89"/>
    <n v="36"/>
    <n v="3"/>
    <x v="1"/>
    <x v="10"/>
    <x v="1"/>
    <d v="2019-02-21T00:00:00"/>
    <x v="19"/>
    <s v="Pune"/>
    <x v="10"/>
    <n v="0.4044943820224719"/>
    <n v="2019"/>
    <n v="1"/>
  </r>
  <r>
    <s v="B-26030"/>
    <n v="291"/>
    <n v="93"/>
    <n v="2"/>
    <x v="2"/>
    <x v="13"/>
    <x v="1"/>
    <d v="2019-02-21T00:00:00"/>
    <x v="19"/>
    <s v="Pune"/>
    <x v="10"/>
    <n v="0.31958762886597936"/>
    <n v="2019"/>
    <n v="1"/>
  </r>
  <r>
    <s v="B-26031"/>
    <n v="67"/>
    <n v="9"/>
    <n v="4"/>
    <x v="1"/>
    <x v="11"/>
    <x v="2"/>
    <d v="2019-02-22T00:00:00"/>
    <x v="20"/>
    <s v="Bhopal"/>
    <x v="10"/>
    <n v="0.13432835820895522"/>
    <n v="2019"/>
    <n v="1"/>
  </r>
  <r>
    <s v="B-26032"/>
    <n v="47"/>
    <n v="15"/>
    <n v="5"/>
    <x v="1"/>
    <x v="5"/>
    <x v="3"/>
    <d v="2019-02-22T00:00:00"/>
    <x v="21"/>
    <s v="Jaipur"/>
    <x v="10"/>
    <n v="0.31914893617021278"/>
    <n v="2019"/>
    <n v="1"/>
  </r>
  <r>
    <s v="B-26033"/>
    <n v="774"/>
    <n v="170"/>
    <n v="3"/>
    <x v="2"/>
    <x v="14"/>
    <x v="4"/>
    <d v="2019-02-22T00:00:00"/>
    <x v="22"/>
    <s v="Kolkata"/>
    <x v="10"/>
    <n v="0.21963824289405684"/>
    <n v="2019"/>
    <n v="1"/>
  </r>
  <r>
    <s v="B-26033"/>
    <n v="143"/>
    <n v="32"/>
    <n v="1"/>
    <x v="0"/>
    <x v="0"/>
    <x v="4"/>
    <d v="2019-02-22T00:00:00"/>
    <x v="22"/>
    <s v="Kolkata"/>
    <x v="10"/>
    <n v="0.22377622377622378"/>
    <n v="2019"/>
    <n v="1"/>
  </r>
  <r>
    <s v="B-26033"/>
    <n v="111"/>
    <n v="35"/>
    <n v="5"/>
    <x v="1"/>
    <x v="10"/>
    <x v="4"/>
    <d v="2019-02-22T00:00:00"/>
    <x v="22"/>
    <s v="Kolkata"/>
    <x v="10"/>
    <n v="0.31531531531531531"/>
    <n v="2019"/>
    <n v="1"/>
  </r>
  <r>
    <s v="B-26034"/>
    <n v="425"/>
    <n v="183"/>
    <n v="5"/>
    <x v="2"/>
    <x v="14"/>
    <x v="5"/>
    <d v="2019-02-23T00:00:00"/>
    <x v="23"/>
    <s v="Bangalore"/>
    <x v="10"/>
    <n v="0.43058823529411766"/>
    <n v="2019"/>
    <n v="1"/>
  </r>
  <r>
    <s v="B-26035"/>
    <n v="291"/>
    <n v="119"/>
    <n v="11"/>
    <x v="1"/>
    <x v="5"/>
    <x v="6"/>
    <d v="2019-02-23T00:00:00"/>
    <x v="24"/>
    <s v="Kashmir"/>
    <x v="10"/>
    <n v="0.40893470790378006"/>
    <n v="2019"/>
    <n v="1"/>
  </r>
  <r>
    <s v="B-26035"/>
    <n v="520"/>
    <n v="151"/>
    <n v="3"/>
    <x v="2"/>
    <x v="4"/>
    <x v="6"/>
    <d v="2019-02-23T00:00:00"/>
    <x v="24"/>
    <s v="Kashmir"/>
    <x v="10"/>
    <n v="0.29038461538461541"/>
    <n v="2019"/>
    <n v="1"/>
  </r>
  <r>
    <s v="B-26035"/>
    <n v="369"/>
    <n v="15"/>
    <n v="3"/>
    <x v="2"/>
    <x v="3"/>
    <x v="6"/>
    <d v="2019-02-23T00:00:00"/>
    <x v="24"/>
    <s v="Kashmir"/>
    <x v="10"/>
    <n v="4.065040650406504E-2"/>
    <n v="2019"/>
    <n v="1"/>
  </r>
  <r>
    <s v="B-26036"/>
    <n v="341"/>
    <n v="44"/>
    <n v="7"/>
    <x v="0"/>
    <x v="15"/>
    <x v="1"/>
    <d v="2019-02-23T00:00:00"/>
    <x v="25"/>
    <s v="Mumbai"/>
    <x v="10"/>
    <n v="0.12903225806451613"/>
    <n v="2019"/>
    <n v="1"/>
  </r>
  <r>
    <s v="B-26037"/>
    <n v="171"/>
    <n v="68"/>
    <n v="7"/>
    <x v="1"/>
    <x v="1"/>
    <x v="2"/>
    <d v="2019-02-23T00:00:00"/>
    <x v="26"/>
    <s v="Indore"/>
    <x v="10"/>
    <n v="0.39766081871345027"/>
    <n v="2019"/>
    <n v="1"/>
  </r>
  <r>
    <s v="B-26038"/>
    <n v="41"/>
    <n v="19"/>
    <n v="2"/>
    <x v="1"/>
    <x v="9"/>
    <x v="9"/>
    <d v="2019-02-24T00:00:00"/>
    <x v="27"/>
    <s v="Patna"/>
    <x v="10"/>
    <n v="0.46341463414634149"/>
    <n v="2019"/>
    <n v="1"/>
  </r>
  <r>
    <s v="B-26038"/>
    <n v="130"/>
    <n v="61"/>
    <n v="3"/>
    <x v="1"/>
    <x v="10"/>
    <x v="9"/>
    <d v="2019-02-24T00:00:00"/>
    <x v="27"/>
    <s v="Patna"/>
    <x v="10"/>
    <n v="0.46923076923076923"/>
    <n v="2019"/>
    <n v="1"/>
  </r>
  <r>
    <s v="B-26038"/>
    <n v="52"/>
    <n v="14"/>
    <n v="2"/>
    <x v="1"/>
    <x v="1"/>
    <x v="9"/>
    <d v="2019-02-24T00:00:00"/>
    <x v="27"/>
    <s v="Patna"/>
    <x v="10"/>
    <n v="0.26923076923076922"/>
    <n v="2019"/>
    <n v="1"/>
  </r>
  <r>
    <s v="B-26038"/>
    <n v="30"/>
    <n v="6"/>
    <n v="1"/>
    <x v="1"/>
    <x v="9"/>
    <x v="9"/>
    <d v="2019-02-24T00:00:00"/>
    <x v="27"/>
    <s v="Patna"/>
    <x v="10"/>
    <n v="0.2"/>
    <n v="2019"/>
    <n v="1"/>
  </r>
  <r>
    <s v="B-26039"/>
    <n v="83"/>
    <n v="34"/>
    <n v="5"/>
    <x v="1"/>
    <x v="10"/>
    <x v="10"/>
    <d v="2019-02-25T00:00:00"/>
    <x v="28"/>
    <s v="Thiruvananthapuram"/>
    <x v="10"/>
    <n v="0.40963855421686746"/>
    <n v="2019"/>
    <n v="1"/>
  </r>
  <r>
    <s v="B-26040"/>
    <n v="38"/>
    <n v="9"/>
    <n v="2"/>
    <x v="1"/>
    <x v="1"/>
    <x v="11"/>
    <d v="2019-02-26T00:00:00"/>
    <x v="29"/>
    <s v="Chandigarh"/>
    <x v="10"/>
    <n v="0.23684210526315788"/>
    <n v="2019"/>
    <n v="1"/>
  </r>
  <r>
    <s v="B-26040"/>
    <n v="113"/>
    <n v="24"/>
    <n v="4"/>
    <x v="1"/>
    <x v="2"/>
    <x v="11"/>
    <d v="2019-02-26T00:00:00"/>
    <x v="29"/>
    <s v="Chandigarh"/>
    <x v="10"/>
    <n v="0.21238938053097345"/>
    <n v="2019"/>
    <n v="1"/>
  </r>
  <r>
    <s v="B-26040"/>
    <n v="833"/>
    <n v="93"/>
    <n v="3"/>
    <x v="1"/>
    <x v="6"/>
    <x v="11"/>
    <d v="2019-02-26T00:00:00"/>
    <x v="29"/>
    <s v="Chandigarh"/>
    <x v="10"/>
    <n v="0.11164465786314526"/>
    <n v="2019"/>
    <n v="1"/>
  </r>
  <r>
    <s v="B-26041"/>
    <n v="176"/>
    <n v="-28"/>
    <n v="5"/>
    <x v="0"/>
    <x v="15"/>
    <x v="12"/>
    <d v="2019-02-27T00:00:00"/>
    <x v="30"/>
    <s v="Chandigarh"/>
    <x v="10"/>
    <n v="-0.15909090909090909"/>
    <n v="2019"/>
    <n v="1"/>
  </r>
  <r>
    <s v="B-26042"/>
    <n v="36"/>
    <n v="15"/>
    <n v="3"/>
    <x v="1"/>
    <x v="1"/>
    <x v="13"/>
    <d v="2019-02-28T00:00:00"/>
    <x v="31"/>
    <s v="Simla"/>
    <x v="10"/>
    <n v="0.41666666666666669"/>
    <n v="2019"/>
    <n v="1"/>
  </r>
  <r>
    <s v="B-26043"/>
    <n v="185"/>
    <n v="48"/>
    <n v="4"/>
    <x v="1"/>
    <x v="1"/>
    <x v="14"/>
    <d v="2019-03-01T00:00:00"/>
    <x v="32"/>
    <s v="Gangtok"/>
    <x v="11"/>
    <n v="0.25945945945945947"/>
    <n v="2019"/>
    <n v="1"/>
  </r>
  <r>
    <s v="B-26043"/>
    <n v="62"/>
    <n v="28"/>
    <n v="5"/>
    <x v="1"/>
    <x v="2"/>
    <x v="14"/>
    <d v="2019-03-01T00:00:00"/>
    <x v="32"/>
    <s v="Gangtok"/>
    <x v="11"/>
    <n v="0.45161290322580644"/>
    <n v="2019"/>
    <n v="1"/>
  </r>
  <r>
    <s v="B-26043"/>
    <n v="79"/>
    <n v="5"/>
    <n v="6"/>
    <x v="1"/>
    <x v="2"/>
    <x v="14"/>
    <d v="2019-03-01T00:00:00"/>
    <x v="32"/>
    <s v="Gangtok"/>
    <x v="11"/>
    <n v="6.3291139240506333E-2"/>
    <n v="2019"/>
    <n v="1"/>
  </r>
  <r>
    <s v="B-26043"/>
    <n v="30"/>
    <n v="12"/>
    <n v="3"/>
    <x v="1"/>
    <x v="16"/>
    <x v="14"/>
    <d v="2019-03-01T00:00:00"/>
    <x v="32"/>
    <s v="Gangtok"/>
    <x v="11"/>
    <n v="0.4"/>
    <n v="2019"/>
    <n v="1"/>
  </r>
  <r>
    <s v="B-26043"/>
    <n v="122"/>
    <n v="50"/>
    <n v="7"/>
    <x v="1"/>
    <x v="1"/>
    <x v="14"/>
    <d v="2019-03-01T00:00:00"/>
    <x v="32"/>
    <s v="Gangtok"/>
    <x v="11"/>
    <n v="0.4098360655737705"/>
    <n v="2019"/>
    <n v="1"/>
  </r>
  <r>
    <s v="B-26044"/>
    <n v="28"/>
    <n v="10"/>
    <n v="3"/>
    <x v="1"/>
    <x v="16"/>
    <x v="15"/>
    <d v="2019-03-02T00:00:00"/>
    <x v="33"/>
    <s v="Goa"/>
    <x v="11"/>
    <n v="0.35714285714285715"/>
    <n v="2019"/>
    <n v="1"/>
  </r>
  <r>
    <s v="B-26045"/>
    <n v="302"/>
    <n v="75"/>
    <n v="6"/>
    <x v="0"/>
    <x v="15"/>
    <x v="16"/>
    <d v="2019-03-03T00:00:00"/>
    <x v="34"/>
    <s v="Kohima"/>
    <x v="11"/>
    <n v="0.24834437086092714"/>
    <n v="2019"/>
    <n v="1"/>
  </r>
  <r>
    <s v="B-26045"/>
    <n v="376"/>
    <n v="0"/>
    <n v="7"/>
    <x v="1"/>
    <x v="1"/>
    <x v="16"/>
    <d v="2019-03-03T00:00:00"/>
    <x v="34"/>
    <s v="Kohima"/>
    <x v="11"/>
    <n v="0"/>
    <n v="2019"/>
    <n v="1"/>
  </r>
  <r>
    <s v="B-26045"/>
    <n v="179"/>
    <n v="77"/>
    <n v="1"/>
    <x v="1"/>
    <x v="5"/>
    <x v="16"/>
    <d v="2019-03-03T00:00:00"/>
    <x v="34"/>
    <s v="Kohima"/>
    <x v="11"/>
    <n v="0.43016759776536312"/>
    <n v="2019"/>
    <n v="1"/>
  </r>
  <r>
    <s v="B-26045"/>
    <n v="27"/>
    <n v="5"/>
    <n v="1"/>
    <x v="1"/>
    <x v="1"/>
    <x v="16"/>
    <d v="2019-03-03T00:00:00"/>
    <x v="34"/>
    <s v="Kohima"/>
    <x v="11"/>
    <n v="0.18518518518518517"/>
    <n v="2019"/>
    <n v="1"/>
  </r>
  <r>
    <s v="B-26046"/>
    <n v="32"/>
    <n v="3"/>
    <n v="8"/>
    <x v="1"/>
    <x v="2"/>
    <x v="1"/>
    <d v="2019-03-04T00:00:00"/>
    <x v="35"/>
    <s v="Mumbai"/>
    <x v="11"/>
    <n v="9.375E-2"/>
    <n v="2019"/>
    <n v="1"/>
  </r>
  <r>
    <s v="B-26047"/>
    <n v="55"/>
    <n v="12"/>
    <n v="5"/>
    <x v="1"/>
    <x v="16"/>
    <x v="2"/>
    <d v="2019-03-04T00:00:00"/>
    <x v="36"/>
    <s v="Indore"/>
    <x v="11"/>
    <n v="0.21818181818181817"/>
    <n v="2019"/>
    <n v="1"/>
  </r>
  <r>
    <s v="B-26048"/>
    <n v="163"/>
    <n v="81"/>
    <n v="2"/>
    <x v="2"/>
    <x v="14"/>
    <x v="1"/>
    <d v="2019-03-04T00:00:00"/>
    <x v="37"/>
    <s v="Pune"/>
    <x v="11"/>
    <n v="0.49693251533742333"/>
    <n v="2019"/>
    <n v="1"/>
  </r>
  <r>
    <s v="B-26048"/>
    <n v="401"/>
    <n v="13"/>
    <n v="6"/>
    <x v="0"/>
    <x v="7"/>
    <x v="1"/>
    <d v="2019-03-04T00:00:00"/>
    <x v="37"/>
    <s v="Pune"/>
    <x v="11"/>
    <n v="3.2418952618453865E-2"/>
    <n v="2019"/>
    <n v="1"/>
  </r>
  <r>
    <s v="B-26048"/>
    <n v="1461"/>
    <n v="202"/>
    <n v="5"/>
    <x v="0"/>
    <x v="12"/>
    <x v="1"/>
    <d v="2019-03-04T00:00:00"/>
    <x v="37"/>
    <s v="Pune"/>
    <x v="11"/>
    <n v="0.13826146475017112"/>
    <n v="2019"/>
    <n v="1"/>
  </r>
  <r>
    <s v="B-26048"/>
    <n v="1104"/>
    <n v="209"/>
    <n v="4"/>
    <x v="1"/>
    <x v="6"/>
    <x v="1"/>
    <d v="2019-03-04T00:00:00"/>
    <x v="37"/>
    <s v="Pune"/>
    <x v="11"/>
    <n v="0.18931159420289856"/>
    <n v="2019"/>
    <n v="1"/>
  </r>
  <r>
    <s v="B-26049"/>
    <n v="100"/>
    <n v="28"/>
    <n v="2"/>
    <x v="1"/>
    <x v="2"/>
    <x v="2"/>
    <d v="2019-03-05T00:00:00"/>
    <x v="38"/>
    <s v="Bhopal"/>
    <x v="11"/>
    <n v="0.28000000000000003"/>
    <n v="2019"/>
    <n v="1"/>
  </r>
  <r>
    <s v="B-26050"/>
    <n v="325"/>
    <n v="32"/>
    <n v="7"/>
    <x v="1"/>
    <x v="9"/>
    <x v="3"/>
    <d v="2019-03-06T00:00:00"/>
    <x v="39"/>
    <s v="Jaipur"/>
    <x v="11"/>
    <n v="9.8461538461538461E-2"/>
    <n v="2019"/>
    <n v="1"/>
  </r>
  <r>
    <s v="B-26050"/>
    <n v="169"/>
    <n v="55"/>
    <n v="4"/>
    <x v="1"/>
    <x v="5"/>
    <x v="3"/>
    <d v="2019-03-06T00:00:00"/>
    <x v="39"/>
    <s v="Jaipur"/>
    <x v="11"/>
    <n v="0.32544378698224852"/>
    <n v="2019"/>
    <n v="1"/>
  </r>
  <r>
    <s v="B-26050"/>
    <n v="487"/>
    <n v="143"/>
    <n v="4"/>
    <x v="2"/>
    <x v="4"/>
    <x v="3"/>
    <d v="2019-03-06T00:00:00"/>
    <x v="39"/>
    <s v="Jaipur"/>
    <x v="11"/>
    <n v="0.29363449691991789"/>
    <n v="2019"/>
    <n v="1"/>
  </r>
  <r>
    <s v="B-26050"/>
    <n v="166"/>
    <n v="27"/>
    <n v="2"/>
    <x v="2"/>
    <x v="14"/>
    <x v="3"/>
    <d v="2019-03-06T00:00:00"/>
    <x v="39"/>
    <s v="Jaipur"/>
    <x v="11"/>
    <n v="0.16265060240963855"/>
    <n v="2019"/>
    <n v="1"/>
  </r>
  <r>
    <s v="B-26050"/>
    <n v="79"/>
    <n v="32"/>
    <n v="3"/>
    <x v="1"/>
    <x v="5"/>
    <x v="3"/>
    <d v="2019-03-06T00:00:00"/>
    <x v="39"/>
    <s v="Jaipur"/>
    <x v="11"/>
    <n v="0.4050632911392405"/>
    <n v="2019"/>
    <n v="1"/>
  </r>
  <r>
    <s v="B-26050"/>
    <n v="32"/>
    <n v="6"/>
    <n v="3"/>
    <x v="1"/>
    <x v="10"/>
    <x v="3"/>
    <d v="2019-03-06T00:00:00"/>
    <x v="39"/>
    <s v="Jaipur"/>
    <x v="11"/>
    <n v="0.1875"/>
    <n v="2019"/>
    <n v="1"/>
  </r>
  <r>
    <s v="B-26050"/>
    <n v="38"/>
    <n v="9"/>
    <n v="2"/>
    <x v="1"/>
    <x v="1"/>
    <x v="3"/>
    <d v="2019-03-06T00:00:00"/>
    <x v="39"/>
    <s v="Jaipur"/>
    <x v="11"/>
    <n v="0.23684210526315788"/>
    <n v="2019"/>
    <n v="1"/>
  </r>
  <r>
    <s v="B-26050"/>
    <n v="284"/>
    <n v="44"/>
    <n v="6"/>
    <x v="1"/>
    <x v="2"/>
    <x v="3"/>
    <d v="2019-03-06T00:00:00"/>
    <x v="39"/>
    <s v="Jaipur"/>
    <x v="11"/>
    <n v="0.15492957746478872"/>
    <n v="2019"/>
    <n v="1"/>
  </r>
  <r>
    <s v="B-26050"/>
    <n v="382"/>
    <n v="92"/>
    <n v="2"/>
    <x v="2"/>
    <x v="13"/>
    <x v="3"/>
    <d v="2019-03-06T00:00:00"/>
    <x v="39"/>
    <s v="Jaipur"/>
    <x v="11"/>
    <n v="0.24083769633507854"/>
    <n v="2019"/>
    <n v="1"/>
  </r>
  <r>
    <s v="B-26051"/>
    <n v="184"/>
    <n v="85"/>
    <n v="6"/>
    <x v="1"/>
    <x v="9"/>
    <x v="4"/>
    <d v="2019-03-07T00:00:00"/>
    <x v="40"/>
    <s v="Kolkata"/>
    <x v="11"/>
    <n v="0.46195652173913043"/>
    <n v="2019"/>
    <n v="1"/>
  </r>
  <r>
    <s v="B-26051"/>
    <n v="676"/>
    <n v="195"/>
    <n v="5"/>
    <x v="0"/>
    <x v="0"/>
    <x v="4"/>
    <d v="2019-03-07T00:00:00"/>
    <x v="40"/>
    <s v="Kolkata"/>
    <x v="11"/>
    <n v="0.28846153846153844"/>
    <n v="2019"/>
    <n v="1"/>
  </r>
  <r>
    <s v="B-26051"/>
    <n v="669"/>
    <n v="74"/>
    <n v="5"/>
    <x v="0"/>
    <x v="0"/>
    <x v="4"/>
    <d v="2019-03-07T00:00:00"/>
    <x v="40"/>
    <s v="Kolkata"/>
    <x v="11"/>
    <n v="0.11061285500747384"/>
    <n v="2019"/>
    <n v="1"/>
  </r>
  <r>
    <s v="B-26051"/>
    <n v="80"/>
    <n v="22"/>
    <n v="3"/>
    <x v="1"/>
    <x v="1"/>
    <x v="4"/>
    <d v="2019-03-07T00:00:00"/>
    <x v="40"/>
    <s v="Kolkata"/>
    <x v="11"/>
    <n v="0.27500000000000002"/>
    <n v="2019"/>
    <n v="1"/>
  </r>
  <r>
    <s v="B-26051"/>
    <n v="216"/>
    <n v="50"/>
    <n v="4"/>
    <x v="1"/>
    <x v="1"/>
    <x v="4"/>
    <d v="2019-03-07T00:00:00"/>
    <x v="40"/>
    <s v="Kolkata"/>
    <x v="11"/>
    <n v="0.23148148148148148"/>
    <n v="2019"/>
    <n v="1"/>
  </r>
  <r>
    <s v="B-26051"/>
    <n v="85"/>
    <n v="24"/>
    <n v="10"/>
    <x v="1"/>
    <x v="2"/>
    <x v="4"/>
    <d v="2019-03-07T00:00:00"/>
    <x v="40"/>
    <s v="Kolkata"/>
    <x v="11"/>
    <n v="0.28235294117647058"/>
    <n v="2019"/>
    <n v="1"/>
  </r>
  <r>
    <s v="B-26051"/>
    <n v="382"/>
    <n v="119"/>
    <n v="2"/>
    <x v="1"/>
    <x v="5"/>
    <x v="4"/>
    <d v="2019-03-07T00:00:00"/>
    <x v="40"/>
    <s v="Kolkata"/>
    <x v="11"/>
    <n v="0.31151832460732987"/>
    <n v="2019"/>
    <n v="1"/>
  </r>
  <r>
    <s v="B-26051"/>
    <n v="490"/>
    <n v="88"/>
    <n v="2"/>
    <x v="2"/>
    <x v="14"/>
    <x v="4"/>
    <d v="2019-03-07T00:00:00"/>
    <x v="40"/>
    <s v="Kolkata"/>
    <x v="11"/>
    <n v="0.17959183673469387"/>
    <n v="2019"/>
    <n v="1"/>
  </r>
  <r>
    <s v="B-26051"/>
    <n v="1337"/>
    <n v="147"/>
    <n v="7"/>
    <x v="2"/>
    <x v="13"/>
    <x v="4"/>
    <d v="2019-03-07T00:00:00"/>
    <x v="40"/>
    <s v="Kolkata"/>
    <x v="11"/>
    <n v="0.1099476439790576"/>
    <n v="2019"/>
    <n v="1"/>
  </r>
  <r>
    <s v="B-26051"/>
    <n v="600"/>
    <n v="102"/>
    <n v="5"/>
    <x v="2"/>
    <x v="3"/>
    <x v="4"/>
    <d v="2019-03-07T00:00:00"/>
    <x v="40"/>
    <s v="Kolkata"/>
    <x v="11"/>
    <n v="0.17"/>
    <n v="2019"/>
    <n v="1"/>
  </r>
  <r>
    <s v="B-26052"/>
    <n v="78"/>
    <n v="28"/>
    <n v="6"/>
    <x v="1"/>
    <x v="8"/>
    <x v="5"/>
    <d v="2019-03-08T00:00:00"/>
    <x v="41"/>
    <s v="Bangalore"/>
    <x v="11"/>
    <n v="0.35897435897435898"/>
    <n v="2019"/>
    <n v="1"/>
  </r>
  <r>
    <s v="B-26052"/>
    <n v="101"/>
    <n v="16"/>
    <n v="4"/>
    <x v="1"/>
    <x v="9"/>
    <x v="5"/>
    <d v="2019-03-08T00:00:00"/>
    <x v="41"/>
    <s v="Bangalore"/>
    <x v="11"/>
    <n v="0.15841584158415842"/>
    <n v="2019"/>
    <n v="1"/>
  </r>
  <r>
    <s v="B-26052"/>
    <n v="145"/>
    <n v="0"/>
    <n v="3"/>
    <x v="1"/>
    <x v="5"/>
    <x v="5"/>
    <d v="2019-03-08T00:00:00"/>
    <x v="41"/>
    <s v="Bangalore"/>
    <x v="11"/>
    <n v="0"/>
    <n v="2019"/>
    <n v="1"/>
  </r>
  <r>
    <s v="B-26052"/>
    <n v="148"/>
    <n v="23"/>
    <n v="4"/>
    <x v="1"/>
    <x v="8"/>
    <x v="5"/>
    <d v="2019-03-08T00:00:00"/>
    <x v="41"/>
    <s v="Bangalore"/>
    <x v="11"/>
    <n v="0.1554054054054054"/>
    <n v="2019"/>
    <n v="1"/>
  </r>
  <r>
    <s v="B-26052"/>
    <n v="15"/>
    <n v="1"/>
    <n v="1"/>
    <x v="1"/>
    <x v="10"/>
    <x v="5"/>
    <d v="2019-03-08T00:00:00"/>
    <x v="41"/>
    <s v="Bangalore"/>
    <x v="11"/>
    <n v="6.6666666666666666E-2"/>
    <n v="2019"/>
    <n v="1"/>
  </r>
  <r>
    <s v="B-26052"/>
    <n v="25"/>
    <n v="7"/>
    <n v="2"/>
    <x v="1"/>
    <x v="1"/>
    <x v="5"/>
    <d v="2019-03-08T00:00:00"/>
    <x v="41"/>
    <s v="Bangalore"/>
    <x v="11"/>
    <n v="0.28000000000000003"/>
    <n v="2019"/>
    <n v="1"/>
  </r>
  <r>
    <s v="B-26052"/>
    <n v="774"/>
    <n v="170"/>
    <n v="3"/>
    <x v="2"/>
    <x v="14"/>
    <x v="5"/>
    <d v="2019-03-08T00:00:00"/>
    <x v="41"/>
    <s v="Bangalore"/>
    <x v="11"/>
    <n v="0.21963824289405684"/>
    <n v="2019"/>
    <n v="1"/>
  </r>
  <r>
    <s v="B-26053"/>
    <n v="17"/>
    <n v="1"/>
    <n v="2"/>
    <x v="1"/>
    <x v="16"/>
    <x v="6"/>
    <d v="2019-03-09T00:00:00"/>
    <x v="42"/>
    <s v="Kashmir"/>
    <x v="11"/>
    <n v="5.8823529411764705E-2"/>
    <n v="2019"/>
    <n v="1"/>
  </r>
  <r>
    <s v="B-26053"/>
    <n v="246"/>
    <n v="61"/>
    <n v="2"/>
    <x v="0"/>
    <x v="0"/>
    <x v="6"/>
    <d v="2019-03-09T00:00:00"/>
    <x v="42"/>
    <s v="Kashmir"/>
    <x v="11"/>
    <n v="0.24796747967479674"/>
    <n v="2019"/>
    <n v="1"/>
  </r>
  <r>
    <s v="B-26053"/>
    <n v="425"/>
    <n v="208"/>
    <n v="7"/>
    <x v="1"/>
    <x v="5"/>
    <x v="6"/>
    <d v="2019-03-09T00:00:00"/>
    <x v="42"/>
    <s v="Kashmir"/>
    <x v="11"/>
    <n v="0.48941176470588238"/>
    <n v="2019"/>
    <n v="1"/>
  </r>
  <r>
    <s v="B-26053"/>
    <n v="93"/>
    <n v="31"/>
    <n v="3"/>
    <x v="2"/>
    <x v="14"/>
    <x v="6"/>
    <d v="2019-03-09T00:00:00"/>
    <x v="42"/>
    <s v="Kashmir"/>
    <x v="11"/>
    <n v="0.33333333333333331"/>
    <n v="2019"/>
    <n v="1"/>
  </r>
  <r>
    <s v="B-26053"/>
    <n v="594"/>
    <n v="89"/>
    <n v="3"/>
    <x v="0"/>
    <x v="0"/>
    <x v="6"/>
    <d v="2019-03-09T00:00:00"/>
    <x v="42"/>
    <s v="Kashmir"/>
    <x v="11"/>
    <n v="0.14983164983164984"/>
    <n v="2019"/>
    <n v="1"/>
  </r>
  <r>
    <s v="B-26053"/>
    <n v="85"/>
    <n v="2"/>
    <n v="6"/>
    <x v="1"/>
    <x v="1"/>
    <x v="6"/>
    <d v="2019-03-09T00:00:00"/>
    <x v="42"/>
    <s v="Kashmir"/>
    <x v="11"/>
    <n v="2.3529411764705882E-2"/>
    <n v="2019"/>
    <n v="1"/>
  </r>
  <r>
    <s v="B-26053"/>
    <n v="27"/>
    <n v="6"/>
    <n v="3"/>
    <x v="1"/>
    <x v="16"/>
    <x v="6"/>
    <d v="2019-03-09T00:00:00"/>
    <x v="42"/>
    <s v="Kashmir"/>
    <x v="11"/>
    <n v="0.22222222222222221"/>
    <n v="2019"/>
    <n v="1"/>
  </r>
  <r>
    <s v="B-26053"/>
    <n v="120"/>
    <n v="1"/>
    <n v="1"/>
    <x v="0"/>
    <x v="7"/>
    <x v="6"/>
    <d v="2019-03-09T00:00:00"/>
    <x v="42"/>
    <s v="Kashmir"/>
    <x v="11"/>
    <n v="8.3333333333333332E-3"/>
    <n v="2019"/>
    <n v="1"/>
  </r>
  <r>
    <s v="B-26053"/>
    <n v="162"/>
    <n v="55"/>
    <n v="3"/>
    <x v="1"/>
    <x v="1"/>
    <x v="6"/>
    <d v="2019-03-09T00:00:00"/>
    <x v="42"/>
    <s v="Kashmir"/>
    <x v="11"/>
    <n v="0.33950617283950618"/>
    <n v="2019"/>
    <n v="1"/>
  </r>
  <r>
    <s v="B-26054"/>
    <n v="246"/>
    <n v="98"/>
    <n v="5"/>
    <x v="1"/>
    <x v="2"/>
    <x v="1"/>
    <d v="2019-03-10T00:00:00"/>
    <x v="43"/>
    <s v="Mumbai"/>
    <x v="11"/>
    <n v="0.3983739837398374"/>
    <n v="2019"/>
    <n v="1"/>
  </r>
  <r>
    <s v="B-26054"/>
    <n v="88"/>
    <n v="20"/>
    <n v="2"/>
    <x v="1"/>
    <x v="5"/>
    <x v="1"/>
    <d v="2019-03-10T00:00:00"/>
    <x v="43"/>
    <s v="Mumbai"/>
    <x v="11"/>
    <n v="0.22727272727272727"/>
    <n v="2019"/>
    <n v="1"/>
  </r>
  <r>
    <s v="B-26054"/>
    <n v="88"/>
    <n v="19"/>
    <n v="2"/>
    <x v="1"/>
    <x v="10"/>
    <x v="1"/>
    <d v="2019-03-10T00:00:00"/>
    <x v="43"/>
    <s v="Mumbai"/>
    <x v="11"/>
    <n v="0.21590909090909091"/>
    <n v="2019"/>
    <n v="1"/>
  </r>
  <r>
    <s v="B-26054"/>
    <n v="139"/>
    <n v="21"/>
    <n v="3"/>
    <x v="2"/>
    <x v="14"/>
    <x v="1"/>
    <d v="2019-03-10T00:00:00"/>
    <x v="43"/>
    <s v="Mumbai"/>
    <x v="11"/>
    <n v="0.15107913669064749"/>
    <n v="2019"/>
    <n v="1"/>
  </r>
  <r>
    <s v="B-26054"/>
    <n v="139"/>
    <n v="36"/>
    <n v="3"/>
    <x v="1"/>
    <x v="1"/>
    <x v="1"/>
    <d v="2019-03-10T00:00:00"/>
    <x v="43"/>
    <s v="Mumbai"/>
    <x v="11"/>
    <n v="0.25899280575539568"/>
    <n v="2019"/>
    <n v="1"/>
  </r>
  <r>
    <s v="B-26054"/>
    <n v="138"/>
    <n v="11"/>
    <n v="5"/>
    <x v="1"/>
    <x v="1"/>
    <x v="1"/>
    <d v="2019-03-10T00:00:00"/>
    <x v="43"/>
    <s v="Mumbai"/>
    <x v="11"/>
    <n v="7.9710144927536225E-2"/>
    <n v="2019"/>
    <n v="1"/>
  </r>
  <r>
    <s v="B-26054"/>
    <n v="156"/>
    <n v="23"/>
    <n v="3"/>
    <x v="1"/>
    <x v="1"/>
    <x v="1"/>
    <d v="2019-03-10T00:00:00"/>
    <x v="43"/>
    <s v="Mumbai"/>
    <x v="11"/>
    <n v="0.14743589743589744"/>
    <n v="2019"/>
    <n v="1"/>
  </r>
  <r>
    <s v="B-26054"/>
    <n v="559"/>
    <n v="174"/>
    <n v="2"/>
    <x v="2"/>
    <x v="3"/>
    <x v="1"/>
    <d v="2019-03-10T00:00:00"/>
    <x v="43"/>
    <s v="Mumbai"/>
    <x v="11"/>
    <n v="0.31127012522361358"/>
    <n v="2019"/>
    <n v="1"/>
  </r>
  <r>
    <s v="B-26055"/>
    <n v="227"/>
    <n v="48"/>
    <n v="5"/>
    <x v="1"/>
    <x v="1"/>
    <x v="2"/>
    <d v="2019-03-10T00:00:00"/>
    <x v="44"/>
    <s v="Indore"/>
    <x v="11"/>
    <n v="0.21145374449339208"/>
    <n v="2019"/>
    <n v="1"/>
  </r>
  <r>
    <s v="B-26055"/>
    <n v="5729"/>
    <n v="64"/>
    <n v="14"/>
    <x v="0"/>
    <x v="7"/>
    <x v="2"/>
    <d v="2019-03-10T00:00:00"/>
    <x v="44"/>
    <s v="Indore"/>
    <x v="11"/>
    <n v="1.1171234072263921E-2"/>
    <n v="2019"/>
    <n v="1"/>
  </r>
  <r>
    <s v="B-26055"/>
    <n v="94"/>
    <n v="27"/>
    <n v="2"/>
    <x v="1"/>
    <x v="9"/>
    <x v="2"/>
    <d v="2019-03-10T00:00:00"/>
    <x v="44"/>
    <s v="Indore"/>
    <x v="11"/>
    <n v="0.28723404255319152"/>
    <n v="2019"/>
    <n v="1"/>
  </r>
  <r>
    <s v="B-26055"/>
    <n v="213"/>
    <n v="4"/>
    <n v="14"/>
    <x v="1"/>
    <x v="10"/>
    <x v="2"/>
    <d v="2019-03-10T00:00:00"/>
    <x v="44"/>
    <s v="Indore"/>
    <x v="11"/>
    <n v="1.8779342723004695E-2"/>
    <n v="2019"/>
    <n v="1"/>
  </r>
  <r>
    <s v="B-26055"/>
    <n v="250"/>
    <n v="-12"/>
    <n v="2"/>
    <x v="2"/>
    <x v="13"/>
    <x v="2"/>
    <d v="2019-03-10T00:00:00"/>
    <x v="44"/>
    <s v="Indore"/>
    <x v="11"/>
    <n v="-4.8000000000000001E-2"/>
    <n v="2019"/>
    <n v="1"/>
  </r>
  <r>
    <s v="B-26055"/>
    <n v="43"/>
    <n v="11"/>
    <n v="1"/>
    <x v="1"/>
    <x v="5"/>
    <x v="2"/>
    <d v="2019-03-10T00:00:00"/>
    <x v="44"/>
    <s v="Indore"/>
    <x v="11"/>
    <n v="0.2558139534883721"/>
    <n v="2019"/>
    <n v="1"/>
  </r>
  <r>
    <s v="B-26055"/>
    <n v="1218"/>
    <n v="420"/>
    <n v="8"/>
    <x v="0"/>
    <x v="0"/>
    <x v="2"/>
    <d v="2019-03-10T00:00:00"/>
    <x v="44"/>
    <s v="Indore"/>
    <x v="11"/>
    <n v="0.34482758620689657"/>
    <n v="2019"/>
    <n v="1"/>
  </r>
  <r>
    <s v="B-26055"/>
    <n v="671"/>
    <n v="114"/>
    <n v="9"/>
    <x v="2"/>
    <x v="4"/>
    <x v="2"/>
    <d v="2019-03-10T00:00:00"/>
    <x v="44"/>
    <s v="Indore"/>
    <x v="11"/>
    <n v="0.16989567809239942"/>
    <n v="2019"/>
    <n v="1"/>
  </r>
  <r>
    <s v="B-26055"/>
    <n v="57"/>
    <n v="7"/>
    <n v="2"/>
    <x v="1"/>
    <x v="10"/>
    <x v="2"/>
    <d v="2019-03-10T00:00:00"/>
    <x v="44"/>
    <s v="Indore"/>
    <x v="11"/>
    <n v="0.12280701754385964"/>
    <n v="2019"/>
    <n v="1"/>
  </r>
  <r>
    <s v="B-26056"/>
    <n v="70"/>
    <n v="24"/>
    <n v="3"/>
    <x v="1"/>
    <x v="1"/>
    <x v="9"/>
    <d v="2019-03-10T00:00:00"/>
    <x v="45"/>
    <s v="Patna"/>
    <x v="11"/>
    <n v="0.34285714285714286"/>
    <n v="2019"/>
    <n v="1"/>
  </r>
  <r>
    <s v="B-26056"/>
    <n v="47"/>
    <n v="20"/>
    <n v="7"/>
    <x v="1"/>
    <x v="2"/>
    <x v="9"/>
    <d v="2019-03-10T00:00:00"/>
    <x v="45"/>
    <s v="Patna"/>
    <x v="11"/>
    <n v="0.42553191489361702"/>
    <n v="2019"/>
    <n v="1"/>
  </r>
  <r>
    <s v="B-26056"/>
    <n v="33"/>
    <n v="9"/>
    <n v="2"/>
    <x v="1"/>
    <x v="2"/>
    <x v="9"/>
    <d v="2019-03-10T00:00:00"/>
    <x v="45"/>
    <s v="Patna"/>
    <x v="11"/>
    <n v="0.27272727272727271"/>
    <n v="2019"/>
    <n v="1"/>
  </r>
  <r>
    <s v="B-26056"/>
    <n v="424"/>
    <n v="161"/>
    <n v="2"/>
    <x v="1"/>
    <x v="5"/>
    <x v="9"/>
    <d v="2019-03-10T00:00:00"/>
    <x v="45"/>
    <s v="Patna"/>
    <x v="11"/>
    <n v="0.37971698113207547"/>
    <n v="2019"/>
    <n v="1"/>
  </r>
  <r>
    <s v="B-26056"/>
    <n v="391"/>
    <n v="90"/>
    <n v="6"/>
    <x v="2"/>
    <x v="4"/>
    <x v="9"/>
    <d v="2019-03-10T00:00:00"/>
    <x v="45"/>
    <s v="Patna"/>
    <x v="11"/>
    <n v="0.23017902813299232"/>
    <n v="2019"/>
    <n v="1"/>
  </r>
  <r>
    <s v="B-26056"/>
    <n v="15"/>
    <n v="6"/>
    <n v="2"/>
    <x v="1"/>
    <x v="2"/>
    <x v="9"/>
    <d v="2019-03-10T00:00:00"/>
    <x v="45"/>
    <s v="Patna"/>
    <x v="11"/>
    <n v="0.4"/>
    <n v="2019"/>
    <n v="1"/>
  </r>
  <r>
    <s v="B-26056"/>
    <n v="101"/>
    <n v="11"/>
    <n v="2"/>
    <x v="1"/>
    <x v="2"/>
    <x v="9"/>
    <d v="2019-03-10T00:00:00"/>
    <x v="45"/>
    <s v="Patna"/>
    <x v="11"/>
    <n v="0.10891089108910891"/>
    <n v="2019"/>
    <n v="1"/>
  </r>
  <r>
    <s v="B-26056"/>
    <n v="31"/>
    <n v="9"/>
    <n v="2"/>
    <x v="1"/>
    <x v="2"/>
    <x v="9"/>
    <d v="2019-03-10T00:00:00"/>
    <x v="45"/>
    <s v="Patna"/>
    <x v="11"/>
    <n v="0.29032258064516131"/>
    <n v="2019"/>
    <n v="1"/>
  </r>
  <r>
    <s v="B-26056"/>
    <n v="220"/>
    <n v="40"/>
    <n v="2"/>
    <x v="2"/>
    <x v="14"/>
    <x v="9"/>
    <d v="2019-03-10T00:00:00"/>
    <x v="45"/>
    <s v="Patna"/>
    <x v="11"/>
    <n v="0.18181818181818182"/>
    <n v="2019"/>
    <n v="1"/>
  </r>
  <r>
    <s v="B-26056"/>
    <n v="213"/>
    <n v="-145"/>
    <n v="3"/>
    <x v="0"/>
    <x v="0"/>
    <x v="9"/>
    <d v="2019-03-10T00:00:00"/>
    <x v="45"/>
    <s v="Patna"/>
    <x v="11"/>
    <n v="-0.68075117370892024"/>
    <n v="2019"/>
    <n v="1"/>
  </r>
  <r>
    <s v="B-26056"/>
    <n v="19"/>
    <n v="-18"/>
    <n v="4"/>
    <x v="1"/>
    <x v="8"/>
    <x v="9"/>
    <d v="2019-03-10T00:00:00"/>
    <x v="45"/>
    <s v="Patna"/>
    <x v="11"/>
    <n v="-0.94736842105263153"/>
    <n v="2019"/>
    <n v="1"/>
  </r>
  <r>
    <s v="B-26056"/>
    <n v="206"/>
    <n v="18"/>
    <n v="4"/>
    <x v="1"/>
    <x v="2"/>
    <x v="9"/>
    <d v="2019-03-10T00:00:00"/>
    <x v="45"/>
    <s v="Patna"/>
    <x v="11"/>
    <n v="8.7378640776699032E-2"/>
    <n v="2019"/>
    <n v="1"/>
  </r>
  <r>
    <s v="B-26057"/>
    <n v="736"/>
    <n v="346"/>
    <n v="5"/>
    <x v="2"/>
    <x v="13"/>
    <x v="10"/>
    <d v="2019-03-10T00:00:00"/>
    <x v="46"/>
    <s v="Thiruvananthapuram"/>
    <x v="11"/>
    <n v="0.47010869565217389"/>
    <n v="2019"/>
    <n v="1"/>
  </r>
  <r>
    <s v="B-26057"/>
    <n v="54"/>
    <n v="8"/>
    <n v="4"/>
    <x v="1"/>
    <x v="9"/>
    <x v="10"/>
    <d v="2019-03-10T00:00:00"/>
    <x v="46"/>
    <s v="Thiruvananthapuram"/>
    <x v="11"/>
    <n v="0.14814814814814814"/>
    <n v="2019"/>
    <n v="1"/>
  </r>
  <r>
    <s v="B-26057"/>
    <n v="659"/>
    <n v="-37"/>
    <n v="2"/>
    <x v="0"/>
    <x v="0"/>
    <x v="10"/>
    <d v="2019-03-10T00:00:00"/>
    <x v="46"/>
    <s v="Thiruvananthapuram"/>
    <x v="11"/>
    <n v="-5.614567526555387E-2"/>
    <n v="2019"/>
    <n v="1"/>
  </r>
  <r>
    <s v="B-26057"/>
    <n v="224"/>
    <n v="87"/>
    <n v="3"/>
    <x v="1"/>
    <x v="6"/>
    <x v="10"/>
    <d v="2019-03-10T00:00:00"/>
    <x v="46"/>
    <s v="Thiruvananthapuram"/>
    <x v="11"/>
    <n v="0.38839285714285715"/>
    <n v="2019"/>
    <n v="1"/>
  </r>
  <r>
    <s v="B-26058"/>
    <n v="212"/>
    <n v="97"/>
    <n v="7"/>
    <x v="1"/>
    <x v="2"/>
    <x v="11"/>
    <d v="2019-03-11T00:00:00"/>
    <x v="47"/>
    <s v="Chandigarh"/>
    <x v="11"/>
    <n v="0.45754716981132076"/>
    <n v="2019"/>
    <n v="1"/>
  </r>
  <r>
    <s v="B-26059"/>
    <n v="20"/>
    <n v="6"/>
    <n v="1"/>
    <x v="1"/>
    <x v="9"/>
    <x v="12"/>
    <d v="2019-03-12T00:00:00"/>
    <x v="48"/>
    <s v="Chandigarh"/>
    <x v="11"/>
    <n v="0.3"/>
    <n v="2019"/>
    <n v="1"/>
  </r>
  <r>
    <s v="B-26060"/>
    <n v="382"/>
    <n v="68"/>
    <n v="3"/>
    <x v="1"/>
    <x v="5"/>
    <x v="1"/>
    <d v="2019-03-13T00:00:00"/>
    <x v="49"/>
    <s v="Mumbai"/>
    <x v="11"/>
    <n v="0.17801047120418848"/>
    <n v="2019"/>
    <n v="1"/>
  </r>
  <r>
    <s v="B-26061"/>
    <n v="508"/>
    <n v="203"/>
    <n v="2"/>
    <x v="2"/>
    <x v="14"/>
    <x v="2"/>
    <d v="2019-03-14T00:00:00"/>
    <x v="50"/>
    <s v="Indore"/>
    <x v="11"/>
    <n v="0.39960629921259844"/>
    <n v="2019"/>
    <n v="1"/>
  </r>
  <r>
    <s v="B-26061"/>
    <n v="965"/>
    <n v="-68"/>
    <n v="3"/>
    <x v="2"/>
    <x v="13"/>
    <x v="2"/>
    <d v="2019-03-14T00:00:00"/>
    <x v="50"/>
    <s v="Indore"/>
    <x v="11"/>
    <n v="-7.0466321243523311E-2"/>
    <n v="2019"/>
    <n v="1"/>
  </r>
  <r>
    <s v="B-26061"/>
    <n v="206"/>
    <n v="12"/>
    <n v="1"/>
    <x v="2"/>
    <x v="13"/>
    <x v="2"/>
    <d v="2019-03-14T00:00:00"/>
    <x v="50"/>
    <s v="Indore"/>
    <x v="11"/>
    <n v="5.8252427184466021E-2"/>
    <n v="2019"/>
    <n v="1"/>
  </r>
  <r>
    <s v="B-26061"/>
    <n v="642"/>
    <n v="180"/>
    <n v="5"/>
    <x v="1"/>
    <x v="5"/>
    <x v="2"/>
    <d v="2019-03-14T00:00:00"/>
    <x v="50"/>
    <s v="Indore"/>
    <x v="11"/>
    <n v="0.28037383177570091"/>
    <n v="2019"/>
    <n v="1"/>
  </r>
  <r>
    <s v="B-26061"/>
    <n v="109"/>
    <n v="52"/>
    <n v="2"/>
    <x v="1"/>
    <x v="1"/>
    <x v="2"/>
    <d v="2019-03-14T00:00:00"/>
    <x v="50"/>
    <s v="Indore"/>
    <x v="11"/>
    <n v="0.47706422018348627"/>
    <n v="2019"/>
    <n v="1"/>
  </r>
  <r>
    <s v="B-26061"/>
    <n v="27"/>
    <n v="8"/>
    <n v="2"/>
    <x v="1"/>
    <x v="9"/>
    <x v="2"/>
    <d v="2019-03-14T00:00:00"/>
    <x v="50"/>
    <s v="Indore"/>
    <x v="11"/>
    <n v="0.29629629629629628"/>
    <n v="2019"/>
    <n v="1"/>
  </r>
  <r>
    <s v="B-26062"/>
    <n v="44"/>
    <n v="-40"/>
    <n v="3"/>
    <x v="1"/>
    <x v="1"/>
    <x v="15"/>
    <d v="2019-03-15T00:00:00"/>
    <x v="51"/>
    <s v="Goa"/>
    <x v="11"/>
    <n v="-0.90909090909090906"/>
    <n v="2019"/>
    <n v="1"/>
  </r>
  <r>
    <s v="B-26062"/>
    <n v="50"/>
    <n v="-17"/>
    <n v="2"/>
    <x v="1"/>
    <x v="1"/>
    <x v="15"/>
    <d v="2019-03-15T00:00:00"/>
    <x v="51"/>
    <s v="Goa"/>
    <x v="11"/>
    <n v="-0.34"/>
    <n v="2019"/>
    <n v="1"/>
  </r>
  <r>
    <s v="B-26062"/>
    <n v="13"/>
    <n v="-2"/>
    <n v="1"/>
    <x v="1"/>
    <x v="1"/>
    <x v="15"/>
    <d v="2019-03-15T00:00:00"/>
    <x v="51"/>
    <s v="Goa"/>
    <x v="11"/>
    <n v="-0.15384615384615385"/>
    <n v="2019"/>
    <n v="1"/>
  </r>
  <r>
    <s v="B-26063"/>
    <n v="241"/>
    <n v="-77"/>
    <n v="4"/>
    <x v="2"/>
    <x v="3"/>
    <x v="16"/>
    <d v="2019-03-15T00:00:00"/>
    <x v="52"/>
    <s v="Kohima"/>
    <x v="11"/>
    <n v="-0.31950207468879666"/>
    <n v="2019"/>
    <n v="1"/>
  </r>
  <r>
    <s v="B-26064"/>
    <n v="75"/>
    <n v="2"/>
    <n v="5"/>
    <x v="1"/>
    <x v="11"/>
    <x v="1"/>
    <d v="2019-03-16T00:00:00"/>
    <x v="331"/>
    <s v="Mumbai"/>
    <x v="11"/>
    <n v="2.6666666666666668E-2"/>
    <n v="2019"/>
    <n v="1"/>
  </r>
  <r>
    <s v="B-26064"/>
    <n v="61"/>
    <n v="3"/>
    <n v="4"/>
    <x v="1"/>
    <x v="2"/>
    <x v="1"/>
    <d v="2019-03-16T00:00:00"/>
    <x v="331"/>
    <s v="Mumbai"/>
    <x v="11"/>
    <n v="4.9180327868852458E-2"/>
    <n v="2019"/>
    <n v="1"/>
  </r>
  <r>
    <s v="B-26064"/>
    <n v="122"/>
    <n v="38"/>
    <n v="6"/>
    <x v="1"/>
    <x v="9"/>
    <x v="1"/>
    <d v="2019-03-16T00:00:00"/>
    <x v="331"/>
    <s v="Mumbai"/>
    <x v="11"/>
    <n v="0.31147540983606559"/>
    <n v="2019"/>
    <n v="1"/>
  </r>
  <r>
    <s v="B-26064"/>
    <n v="22"/>
    <n v="0"/>
    <n v="2"/>
    <x v="1"/>
    <x v="5"/>
    <x v="1"/>
    <d v="2019-03-16T00:00:00"/>
    <x v="331"/>
    <s v="Mumbai"/>
    <x v="11"/>
    <n v="0"/>
    <n v="2019"/>
    <n v="1"/>
  </r>
  <r>
    <s v="B-26065"/>
    <n v="146"/>
    <n v="19"/>
    <n v="5"/>
    <x v="1"/>
    <x v="1"/>
    <x v="2"/>
    <d v="2019-03-16T00:00:00"/>
    <x v="54"/>
    <s v="Indore"/>
    <x v="11"/>
    <n v="0.13013698630136986"/>
    <n v="2019"/>
    <n v="1"/>
  </r>
  <r>
    <s v="B-26066"/>
    <n v="86"/>
    <n v="22"/>
    <n v="2"/>
    <x v="1"/>
    <x v="5"/>
    <x v="1"/>
    <d v="2019-03-16T00:00:00"/>
    <x v="55"/>
    <s v="Pune"/>
    <x v="11"/>
    <n v="0.2558139534883721"/>
    <n v="2019"/>
    <n v="1"/>
  </r>
  <r>
    <s v="B-26067"/>
    <n v="618"/>
    <n v="27"/>
    <n v="4"/>
    <x v="0"/>
    <x v="0"/>
    <x v="2"/>
    <d v="2019-03-16T00:00:00"/>
    <x v="56"/>
    <s v="Bhopal"/>
    <x v="11"/>
    <n v="4.3689320388349516E-2"/>
    <n v="2019"/>
    <n v="1"/>
  </r>
  <r>
    <s v="B-26067"/>
    <n v="53"/>
    <n v="2"/>
    <n v="4"/>
    <x v="1"/>
    <x v="2"/>
    <x v="2"/>
    <d v="2019-03-16T00:00:00"/>
    <x v="56"/>
    <s v="Bhopal"/>
    <x v="11"/>
    <n v="3.7735849056603772E-2"/>
    <n v="2019"/>
    <n v="1"/>
  </r>
  <r>
    <s v="B-26067"/>
    <n v="1120"/>
    <n v="199"/>
    <n v="6"/>
    <x v="1"/>
    <x v="5"/>
    <x v="2"/>
    <d v="2019-03-16T00:00:00"/>
    <x v="56"/>
    <s v="Bhopal"/>
    <x v="11"/>
    <n v="0.17767857142857144"/>
    <n v="2019"/>
    <n v="1"/>
  </r>
  <r>
    <s v="B-26067"/>
    <n v="1137"/>
    <n v="-14"/>
    <n v="7"/>
    <x v="2"/>
    <x v="13"/>
    <x v="2"/>
    <d v="2019-03-16T00:00:00"/>
    <x v="56"/>
    <s v="Bhopal"/>
    <x v="11"/>
    <n v="-1.2313104661389622E-2"/>
    <n v="2019"/>
    <n v="1"/>
  </r>
  <r>
    <s v="B-26067"/>
    <n v="67"/>
    <n v="2"/>
    <n v="4"/>
    <x v="1"/>
    <x v="9"/>
    <x v="2"/>
    <d v="2019-03-16T00:00:00"/>
    <x v="56"/>
    <s v="Bhopal"/>
    <x v="11"/>
    <n v="2.9850746268656716E-2"/>
    <n v="2019"/>
    <n v="1"/>
  </r>
  <r>
    <s v="B-26068"/>
    <n v="193"/>
    <n v="33"/>
    <n v="5"/>
    <x v="2"/>
    <x v="14"/>
    <x v="3"/>
    <d v="2019-03-16T00:00:00"/>
    <x v="57"/>
    <s v="Jaipur"/>
    <x v="11"/>
    <n v="0.17098445595854922"/>
    <n v="2019"/>
    <n v="1"/>
  </r>
  <r>
    <s v="B-26069"/>
    <n v="55"/>
    <n v="18"/>
    <n v="2"/>
    <x v="1"/>
    <x v="8"/>
    <x v="4"/>
    <d v="2019-03-17T00:00:00"/>
    <x v="58"/>
    <s v="Kolkata"/>
    <x v="11"/>
    <n v="0.32727272727272727"/>
    <n v="2019"/>
    <n v="1"/>
  </r>
  <r>
    <s v="B-26070"/>
    <n v="54"/>
    <n v="12"/>
    <n v="4"/>
    <x v="1"/>
    <x v="10"/>
    <x v="5"/>
    <d v="2019-03-18T00:00:00"/>
    <x v="59"/>
    <s v="Bangalore"/>
    <x v="11"/>
    <n v="0.22222222222222221"/>
    <n v="2019"/>
    <n v="1"/>
  </r>
  <r>
    <s v="B-26070"/>
    <n v="582"/>
    <n v="262"/>
    <n v="5"/>
    <x v="0"/>
    <x v="15"/>
    <x v="5"/>
    <d v="2019-03-18T00:00:00"/>
    <x v="59"/>
    <s v="Bangalore"/>
    <x v="11"/>
    <n v="0.45017182130584193"/>
    <n v="2019"/>
    <n v="1"/>
  </r>
  <r>
    <s v="B-26070"/>
    <n v="75"/>
    <n v="29"/>
    <n v="1"/>
    <x v="1"/>
    <x v="6"/>
    <x v="5"/>
    <d v="2019-03-18T00:00:00"/>
    <x v="59"/>
    <s v="Bangalore"/>
    <x v="11"/>
    <n v="0.38666666666666666"/>
    <n v="2019"/>
    <n v="1"/>
  </r>
  <r>
    <s v="B-26070"/>
    <n v="14"/>
    <n v="7"/>
    <n v="2"/>
    <x v="1"/>
    <x v="2"/>
    <x v="5"/>
    <d v="2019-03-18T00:00:00"/>
    <x v="59"/>
    <s v="Bangalore"/>
    <x v="11"/>
    <n v="0.5"/>
    <n v="2019"/>
    <n v="1"/>
  </r>
  <r>
    <s v="B-26071"/>
    <n v="21"/>
    <n v="4"/>
    <n v="3"/>
    <x v="1"/>
    <x v="2"/>
    <x v="6"/>
    <d v="2019-03-19T00:00:00"/>
    <x v="60"/>
    <s v="Kashmir"/>
    <x v="11"/>
    <n v="0.19047619047619047"/>
    <n v="2019"/>
    <n v="1"/>
  </r>
  <r>
    <s v="B-26072"/>
    <n v="313"/>
    <n v="44"/>
    <n v="3"/>
    <x v="2"/>
    <x v="3"/>
    <x v="1"/>
    <d v="2019-03-20T00:00:00"/>
    <x v="61"/>
    <s v="Mumbai"/>
    <x v="11"/>
    <n v="0.14057507987220447"/>
    <n v="2019"/>
    <n v="1"/>
  </r>
  <r>
    <s v="B-26073"/>
    <n v="37"/>
    <n v="17"/>
    <n v="3"/>
    <x v="1"/>
    <x v="2"/>
    <x v="2"/>
    <d v="2019-03-21T00:00:00"/>
    <x v="62"/>
    <s v="Indore"/>
    <x v="11"/>
    <n v="0.45945945945945948"/>
    <n v="2019"/>
    <n v="1"/>
  </r>
  <r>
    <s v="B-26073"/>
    <n v="290"/>
    <n v="110"/>
    <n v="9"/>
    <x v="1"/>
    <x v="1"/>
    <x v="2"/>
    <d v="2019-03-21T00:00:00"/>
    <x v="62"/>
    <s v="Indore"/>
    <x v="11"/>
    <n v="0.37931034482758619"/>
    <n v="2019"/>
    <n v="1"/>
  </r>
  <r>
    <s v="B-26073"/>
    <n v="122"/>
    <n v="11"/>
    <n v="4"/>
    <x v="1"/>
    <x v="2"/>
    <x v="2"/>
    <d v="2019-03-21T00:00:00"/>
    <x v="62"/>
    <s v="Indore"/>
    <x v="11"/>
    <n v="9.0163934426229511E-2"/>
    <n v="2019"/>
    <n v="1"/>
  </r>
  <r>
    <s v="B-26073"/>
    <n v="29"/>
    <n v="9"/>
    <n v="3"/>
    <x v="1"/>
    <x v="5"/>
    <x v="2"/>
    <d v="2019-03-21T00:00:00"/>
    <x v="62"/>
    <s v="Indore"/>
    <x v="11"/>
    <n v="0.31034482758620691"/>
    <n v="2019"/>
    <n v="1"/>
  </r>
  <r>
    <s v="B-26073"/>
    <n v="1514"/>
    <n v="742"/>
    <n v="4"/>
    <x v="2"/>
    <x v="13"/>
    <x v="2"/>
    <d v="2019-03-21T00:00:00"/>
    <x v="62"/>
    <s v="Indore"/>
    <x v="11"/>
    <n v="0.49009247027741082"/>
    <n v="2019"/>
    <n v="1"/>
  </r>
  <r>
    <s v="B-26074"/>
    <n v="57"/>
    <n v="21"/>
    <n v="4"/>
    <x v="1"/>
    <x v="11"/>
    <x v="0"/>
    <d v="2019-03-21T00:00:00"/>
    <x v="0"/>
    <s v="Ahmedabad"/>
    <x v="11"/>
    <n v="0.36842105263157893"/>
    <n v="2019"/>
    <n v="1"/>
  </r>
  <r>
    <s v="B-26075"/>
    <n v="34"/>
    <n v="12"/>
    <n v="2"/>
    <x v="1"/>
    <x v="1"/>
    <x v="1"/>
    <d v="2019-03-21T00:00:00"/>
    <x v="1"/>
    <s v="Pune"/>
    <x v="11"/>
    <n v="0.35294117647058826"/>
    <n v="2019"/>
    <n v="1"/>
  </r>
  <r>
    <s v="B-26076"/>
    <n v="91"/>
    <n v="22"/>
    <n v="2"/>
    <x v="1"/>
    <x v="1"/>
    <x v="2"/>
    <d v="2019-03-21T00:00:00"/>
    <x v="2"/>
    <s v="Bhopal"/>
    <x v="11"/>
    <n v="0.24175824175824176"/>
    <n v="2019"/>
    <n v="1"/>
  </r>
  <r>
    <s v="B-26076"/>
    <n v="133"/>
    <n v="46"/>
    <n v="5"/>
    <x v="1"/>
    <x v="10"/>
    <x v="2"/>
    <d v="2019-03-21T00:00:00"/>
    <x v="2"/>
    <s v="Bhopal"/>
    <x v="11"/>
    <n v="0.34586466165413532"/>
    <n v="2019"/>
    <n v="1"/>
  </r>
  <r>
    <s v="B-26076"/>
    <n v="60"/>
    <n v="13"/>
    <n v="2"/>
    <x v="1"/>
    <x v="9"/>
    <x v="2"/>
    <d v="2019-03-21T00:00:00"/>
    <x v="2"/>
    <s v="Bhopal"/>
    <x v="11"/>
    <n v="0.21666666666666667"/>
    <n v="2019"/>
    <n v="1"/>
  </r>
  <r>
    <s v="B-26076"/>
    <n v="19"/>
    <n v="4"/>
    <n v="2"/>
    <x v="1"/>
    <x v="5"/>
    <x v="2"/>
    <d v="2019-03-21T00:00:00"/>
    <x v="2"/>
    <s v="Bhopal"/>
    <x v="11"/>
    <n v="0.21052631578947367"/>
    <n v="2019"/>
    <n v="1"/>
  </r>
  <r>
    <s v="B-26076"/>
    <n v="450"/>
    <n v="190"/>
    <n v="4"/>
    <x v="0"/>
    <x v="0"/>
    <x v="2"/>
    <d v="2019-03-21T00:00:00"/>
    <x v="2"/>
    <s v="Bhopal"/>
    <x v="11"/>
    <n v="0.42222222222222222"/>
    <n v="2019"/>
    <n v="1"/>
  </r>
  <r>
    <s v="B-26077"/>
    <n v="62"/>
    <n v="11"/>
    <n v="7"/>
    <x v="1"/>
    <x v="2"/>
    <x v="3"/>
    <d v="2019-03-22T00:00:00"/>
    <x v="3"/>
    <s v="Jaipur"/>
    <x v="11"/>
    <n v="0.17741935483870969"/>
    <n v="2019"/>
    <n v="1"/>
  </r>
  <r>
    <s v="B-26078"/>
    <n v="17"/>
    <n v="8"/>
    <n v="2"/>
    <x v="1"/>
    <x v="16"/>
    <x v="4"/>
    <d v="2019-03-22T00:00:00"/>
    <x v="4"/>
    <s v="Kolkata"/>
    <x v="11"/>
    <n v="0.47058823529411764"/>
    <n v="2019"/>
    <n v="1"/>
  </r>
  <r>
    <s v="B-26078"/>
    <n v="44"/>
    <n v="20"/>
    <n v="2"/>
    <x v="1"/>
    <x v="9"/>
    <x v="4"/>
    <d v="2019-03-22T00:00:00"/>
    <x v="4"/>
    <s v="Kolkata"/>
    <x v="11"/>
    <n v="0.45454545454545453"/>
    <n v="2019"/>
    <n v="1"/>
  </r>
  <r>
    <s v="B-26078"/>
    <n v="557"/>
    <n v="111"/>
    <n v="2"/>
    <x v="2"/>
    <x v="3"/>
    <x v="4"/>
    <d v="2019-03-22T00:00:00"/>
    <x v="4"/>
    <s v="Kolkata"/>
    <x v="11"/>
    <n v="0.1992818671454219"/>
    <n v="2019"/>
    <n v="1"/>
  </r>
  <r>
    <s v="B-26078"/>
    <n v="137"/>
    <n v="63"/>
    <n v="3"/>
    <x v="1"/>
    <x v="1"/>
    <x v="4"/>
    <d v="2019-03-22T00:00:00"/>
    <x v="4"/>
    <s v="Kolkata"/>
    <x v="11"/>
    <n v="0.45985401459854014"/>
    <n v="2019"/>
    <n v="1"/>
  </r>
  <r>
    <s v="B-26079"/>
    <n v="18"/>
    <n v="3"/>
    <n v="2"/>
    <x v="1"/>
    <x v="2"/>
    <x v="5"/>
    <d v="2019-03-22T00:00:00"/>
    <x v="5"/>
    <s v="Bangalore"/>
    <x v="11"/>
    <n v="0.16666666666666666"/>
    <n v="2019"/>
    <n v="1"/>
  </r>
  <r>
    <s v="B-26080"/>
    <n v="109"/>
    <n v="35"/>
    <n v="6"/>
    <x v="1"/>
    <x v="9"/>
    <x v="6"/>
    <d v="2019-03-22T00:00:00"/>
    <x v="6"/>
    <s v="Kashmir"/>
    <x v="11"/>
    <n v="0.32110091743119268"/>
    <n v="2019"/>
    <n v="1"/>
  </r>
  <r>
    <s v="B-26081"/>
    <n v="359"/>
    <n v="-338"/>
    <n v="5"/>
    <x v="0"/>
    <x v="0"/>
    <x v="7"/>
    <d v="2019-03-22T00:00:00"/>
    <x v="7"/>
    <s v="Chennai"/>
    <x v="11"/>
    <n v="-0.9415041782729805"/>
    <n v="2019"/>
    <n v="1"/>
  </r>
  <r>
    <s v="B-26081"/>
    <n v="93"/>
    <n v="-84"/>
    <n v="3"/>
    <x v="1"/>
    <x v="5"/>
    <x v="7"/>
    <d v="2019-03-22T00:00:00"/>
    <x v="7"/>
    <s v="Chennai"/>
    <x v="11"/>
    <n v="-0.90322580645161288"/>
    <n v="2019"/>
    <n v="1"/>
  </r>
  <r>
    <s v="B-26081"/>
    <n v="169"/>
    <n v="0"/>
    <n v="3"/>
    <x v="2"/>
    <x v="14"/>
    <x v="7"/>
    <d v="2019-03-22T00:00:00"/>
    <x v="7"/>
    <s v="Chennai"/>
    <x v="11"/>
    <n v="0"/>
    <n v="2019"/>
    <n v="1"/>
  </r>
  <r>
    <s v="B-26081"/>
    <n v="79"/>
    <n v="33"/>
    <n v="4"/>
    <x v="1"/>
    <x v="1"/>
    <x v="7"/>
    <d v="2019-03-22T00:00:00"/>
    <x v="7"/>
    <s v="Chennai"/>
    <x v="11"/>
    <n v="0.41772151898734178"/>
    <n v="2019"/>
    <n v="1"/>
  </r>
  <r>
    <s v="B-26081"/>
    <n v="24"/>
    <n v="11"/>
    <n v="3"/>
    <x v="1"/>
    <x v="2"/>
    <x v="7"/>
    <d v="2019-03-22T00:00:00"/>
    <x v="7"/>
    <s v="Chennai"/>
    <x v="11"/>
    <n v="0.45833333333333331"/>
    <n v="2019"/>
    <n v="1"/>
  </r>
  <r>
    <s v="B-26081"/>
    <n v="637"/>
    <n v="50"/>
    <n v="5"/>
    <x v="1"/>
    <x v="5"/>
    <x v="7"/>
    <d v="2019-03-22T00:00:00"/>
    <x v="7"/>
    <s v="Chennai"/>
    <x v="11"/>
    <n v="7.8492935635792779E-2"/>
    <n v="2019"/>
    <n v="1"/>
  </r>
  <r>
    <s v="B-26082"/>
    <n v="95"/>
    <n v="5"/>
    <n v="2"/>
    <x v="1"/>
    <x v="1"/>
    <x v="8"/>
    <d v="2019-03-23T00:00:00"/>
    <x v="8"/>
    <s v="Lucknow"/>
    <x v="11"/>
    <n v="5.2631578947368418E-2"/>
    <n v="2019"/>
    <n v="1"/>
  </r>
  <r>
    <s v="B-26083"/>
    <n v="43"/>
    <n v="8"/>
    <n v="3"/>
    <x v="1"/>
    <x v="11"/>
    <x v="9"/>
    <d v="2019-03-24T00:00:00"/>
    <x v="9"/>
    <s v="Patna"/>
    <x v="11"/>
    <n v="0.18604651162790697"/>
    <n v="2019"/>
    <n v="1"/>
  </r>
  <r>
    <s v="B-26083"/>
    <n v="145"/>
    <n v="16"/>
    <n v="3"/>
    <x v="1"/>
    <x v="9"/>
    <x v="9"/>
    <d v="2019-03-24T00:00:00"/>
    <x v="9"/>
    <s v="Patna"/>
    <x v="11"/>
    <n v="0.1103448275862069"/>
    <n v="2019"/>
    <n v="1"/>
  </r>
  <r>
    <s v="B-26083"/>
    <n v="34"/>
    <n v="3"/>
    <n v="3"/>
    <x v="1"/>
    <x v="5"/>
    <x v="9"/>
    <d v="2019-03-24T00:00:00"/>
    <x v="9"/>
    <s v="Patna"/>
    <x v="11"/>
    <n v="8.8235294117647065E-2"/>
    <n v="2019"/>
    <n v="1"/>
  </r>
  <r>
    <s v="B-26083"/>
    <n v="143"/>
    <n v="6"/>
    <n v="2"/>
    <x v="2"/>
    <x v="14"/>
    <x v="9"/>
    <d v="2019-03-24T00:00:00"/>
    <x v="9"/>
    <s v="Patna"/>
    <x v="11"/>
    <n v="4.195804195804196E-2"/>
    <n v="2019"/>
    <n v="1"/>
  </r>
  <r>
    <s v="B-26083"/>
    <n v="45"/>
    <n v="17"/>
    <n v="1"/>
    <x v="2"/>
    <x v="14"/>
    <x v="9"/>
    <d v="2019-03-24T00:00:00"/>
    <x v="9"/>
    <s v="Patna"/>
    <x v="11"/>
    <n v="0.37777777777777777"/>
    <n v="2019"/>
    <n v="1"/>
  </r>
  <r>
    <s v="B-26084"/>
    <n v="209"/>
    <n v="-63"/>
    <n v="4"/>
    <x v="2"/>
    <x v="3"/>
    <x v="10"/>
    <d v="2019-03-25T00:00:00"/>
    <x v="10"/>
    <s v="Thiruvananthapuram"/>
    <x v="11"/>
    <n v="-0.30143540669856461"/>
    <n v="2019"/>
    <n v="1"/>
  </r>
  <r>
    <s v="B-26085"/>
    <n v="86"/>
    <n v="22"/>
    <n v="2"/>
    <x v="1"/>
    <x v="5"/>
    <x v="11"/>
    <d v="2019-03-26T00:00:00"/>
    <x v="11"/>
    <s v="Chandigarh"/>
    <x v="11"/>
    <n v="0.2558139534883721"/>
    <n v="2019"/>
    <n v="1"/>
  </r>
  <r>
    <s v="B-26085"/>
    <n v="1487"/>
    <n v="624"/>
    <n v="3"/>
    <x v="1"/>
    <x v="6"/>
    <x v="11"/>
    <d v="2019-03-26T00:00:00"/>
    <x v="11"/>
    <s v="Chandigarh"/>
    <x v="11"/>
    <n v="0.41963685272360457"/>
    <n v="2019"/>
    <n v="1"/>
  </r>
  <r>
    <s v="B-26085"/>
    <n v="40"/>
    <n v="17"/>
    <n v="2"/>
    <x v="1"/>
    <x v="1"/>
    <x v="11"/>
    <d v="2019-03-26T00:00:00"/>
    <x v="11"/>
    <s v="Chandigarh"/>
    <x v="11"/>
    <n v="0.42499999999999999"/>
    <n v="2019"/>
    <n v="1"/>
  </r>
  <r>
    <s v="B-26085"/>
    <n v="132"/>
    <n v="-10"/>
    <n v="3"/>
    <x v="1"/>
    <x v="5"/>
    <x v="11"/>
    <d v="2019-03-26T00:00:00"/>
    <x v="11"/>
    <s v="Chandigarh"/>
    <x v="11"/>
    <n v="-7.575757575757576E-2"/>
    <n v="2019"/>
    <n v="1"/>
  </r>
  <r>
    <s v="B-26086"/>
    <n v="43"/>
    <n v="17"/>
    <n v="2"/>
    <x v="1"/>
    <x v="9"/>
    <x v="12"/>
    <d v="2019-03-26T00:00:00"/>
    <x v="12"/>
    <s v="Chandigarh"/>
    <x v="11"/>
    <n v="0.39534883720930231"/>
    <n v="2019"/>
    <n v="1"/>
  </r>
  <r>
    <s v="B-26086"/>
    <n v="762"/>
    <n v="101"/>
    <n v="6"/>
    <x v="2"/>
    <x v="13"/>
    <x v="12"/>
    <d v="2019-03-26T00:00:00"/>
    <x v="12"/>
    <s v="Chandigarh"/>
    <x v="11"/>
    <n v="0.13254593175853019"/>
    <n v="2019"/>
    <n v="1"/>
  </r>
  <r>
    <s v="B-26086"/>
    <n v="25"/>
    <n v="2"/>
    <n v="2"/>
    <x v="1"/>
    <x v="2"/>
    <x v="12"/>
    <d v="2019-03-26T00:00:00"/>
    <x v="12"/>
    <s v="Chandigarh"/>
    <x v="11"/>
    <n v="0.08"/>
    <n v="2019"/>
    <n v="1"/>
  </r>
  <r>
    <s v="B-26087"/>
    <n v="119"/>
    <n v="56"/>
    <n v="7"/>
    <x v="1"/>
    <x v="5"/>
    <x v="13"/>
    <d v="2019-03-26T00:00:00"/>
    <x v="13"/>
    <s v="Simla"/>
    <x v="11"/>
    <n v="0.47058823529411764"/>
    <n v="2019"/>
    <n v="1"/>
  </r>
  <r>
    <s v="B-26087"/>
    <n v="46"/>
    <n v="13"/>
    <n v="3"/>
    <x v="1"/>
    <x v="2"/>
    <x v="13"/>
    <d v="2019-03-26T00:00:00"/>
    <x v="13"/>
    <s v="Simla"/>
    <x v="11"/>
    <n v="0.28260869565217389"/>
    <n v="2019"/>
    <n v="1"/>
  </r>
  <r>
    <s v="B-26087"/>
    <n v="311"/>
    <n v="40"/>
    <n v="1"/>
    <x v="2"/>
    <x v="3"/>
    <x v="13"/>
    <d v="2019-03-26T00:00:00"/>
    <x v="13"/>
    <s v="Simla"/>
    <x v="11"/>
    <n v="0.12861736334405144"/>
    <n v="2019"/>
    <n v="1"/>
  </r>
  <r>
    <s v="B-26087"/>
    <n v="40"/>
    <n v="10"/>
    <n v="2"/>
    <x v="1"/>
    <x v="1"/>
    <x v="13"/>
    <d v="2019-03-26T00:00:00"/>
    <x v="13"/>
    <s v="Simla"/>
    <x v="11"/>
    <n v="0.25"/>
    <n v="2019"/>
    <n v="1"/>
  </r>
  <r>
    <s v="B-26087"/>
    <n v="180"/>
    <n v="0"/>
    <n v="8"/>
    <x v="1"/>
    <x v="1"/>
    <x v="13"/>
    <d v="2019-03-26T00:00:00"/>
    <x v="13"/>
    <s v="Simla"/>
    <x v="11"/>
    <n v="0"/>
    <n v="2019"/>
    <n v="1"/>
  </r>
  <r>
    <s v="B-26088"/>
    <n v="11"/>
    <n v="5"/>
    <n v="2"/>
    <x v="1"/>
    <x v="2"/>
    <x v="14"/>
    <d v="2019-03-26T00:00:00"/>
    <x v="14"/>
    <s v="Gangtok"/>
    <x v="11"/>
    <n v="0.45454545454545453"/>
    <n v="2019"/>
    <n v="1"/>
  </r>
  <r>
    <s v="B-26089"/>
    <n v="59"/>
    <n v="24"/>
    <n v="6"/>
    <x v="1"/>
    <x v="8"/>
    <x v="15"/>
    <d v="2019-03-26T00:00:00"/>
    <x v="15"/>
    <s v="Goa"/>
    <x v="11"/>
    <n v="0.40677966101694918"/>
    <n v="2019"/>
    <n v="1"/>
  </r>
  <r>
    <s v="B-26089"/>
    <n v="27"/>
    <n v="4"/>
    <n v="1"/>
    <x v="1"/>
    <x v="2"/>
    <x v="15"/>
    <d v="2019-03-26T00:00:00"/>
    <x v="15"/>
    <s v="Goa"/>
    <x v="11"/>
    <n v="0.14814814814814814"/>
    <n v="2019"/>
    <n v="1"/>
  </r>
  <r>
    <s v="B-26089"/>
    <n v="139"/>
    <n v="14"/>
    <n v="3"/>
    <x v="1"/>
    <x v="8"/>
    <x v="15"/>
    <d v="2019-03-26T00:00:00"/>
    <x v="15"/>
    <s v="Goa"/>
    <x v="11"/>
    <n v="0.10071942446043165"/>
    <n v="2019"/>
    <n v="1"/>
  </r>
  <r>
    <s v="B-26090"/>
    <n v="80"/>
    <n v="22"/>
    <n v="3"/>
    <x v="1"/>
    <x v="1"/>
    <x v="16"/>
    <d v="2019-03-27T00:00:00"/>
    <x v="16"/>
    <s v="Kohima"/>
    <x v="11"/>
    <n v="0.27500000000000002"/>
    <n v="2019"/>
    <n v="1"/>
  </r>
  <r>
    <s v="B-26091"/>
    <n v="158"/>
    <n v="69"/>
    <n v="3"/>
    <x v="1"/>
    <x v="1"/>
    <x v="17"/>
    <d v="2019-03-27T00:00:00"/>
    <x v="17"/>
    <s v="Hyderabad"/>
    <x v="11"/>
    <n v="0.43670886075949367"/>
    <n v="2019"/>
    <n v="1"/>
  </r>
  <r>
    <s v="B-26091"/>
    <n v="29"/>
    <n v="10"/>
    <n v="4"/>
    <x v="1"/>
    <x v="2"/>
    <x v="17"/>
    <d v="2019-03-27T00:00:00"/>
    <x v="17"/>
    <s v="Hyderabad"/>
    <x v="11"/>
    <n v="0.34482758620689657"/>
    <n v="2019"/>
    <n v="1"/>
  </r>
  <r>
    <s v="B-26091"/>
    <n v="59"/>
    <n v="10"/>
    <n v="4"/>
    <x v="1"/>
    <x v="11"/>
    <x v="17"/>
    <d v="2019-03-27T00:00:00"/>
    <x v="17"/>
    <s v="Hyderabad"/>
    <x v="11"/>
    <n v="0.16949152542372881"/>
    <n v="2019"/>
    <n v="1"/>
  </r>
  <r>
    <s v="B-26092"/>
    <n v="97"/>
    <n v="14"/>
    <n v="2"/>
    <x v="1"/>
    <x v="9"/>
    <x v="0"/>
    <d v="2019-03-27T00:00:00"/>
    <x v="18"/>
    <s v="Ahmedabad"/>
    <x v="11"/>
    <n v="0.14432989690721648"/>
    <n v="2019"/>
    <n v="1"/>
  </r>
  <r>
    <s v="B-26093"/>
    <n v="33"/>
    <n v="-1"/>
    <n v="1"/>
    <x v="1"/>
    <x v="5"/>
    <x v="1"/>
    <d v="2019-03-27T00:00:00"/>
    <x v="19"/>
    <s v="Pune"/>
    <x v="11"/>
    <n v="-3.0303030303030304E-2"/>
    <n v="2019"/>
    <n v="1"/>
  </r>
  <r>
    <s v="B-26093"/>
    <n v="2847"/>
    <n v="712"/>
    <n v="8"/>
    <x v="2"/>
    <x v="13"/>
    <x v="1"/>
    <d v="2019-03-27T00:00:00"/>
    <x v="19"/>
    <s v="Pune"/>
    <x v="11"/>
    <n v="0.25008781173164735"/>
    <n v="2019"/>
    <n v="1"/>
  </r>
  <r>
    <s v="B-26093"/>
    <n v="852"/>
    <n v="51"/>
    <n v="5"/>
    <x v="0"/>
    <x v="0"/>
    <x v="1"/>
    <d v="2019-03-27T00:00:00"/>
    <x v="19"/>
    <s v="Pune"/>
    <x v="11"/>
    <n v="5.9859154929577461E-2"/>
    <n v="2019"/>
    <n v="1"/>
  </r>
  <r>
    <s v="B-26093"/>
    <n v="492"/>
    <n v="187"/>
    <n v="2"/>
    <x v="2"/>
    <x v="14"/>
    <x v="1"/>
    <d v="2019-03-27T00:00:00"/>
    <x v="19"/>
    <s v="Pune"/>
    <x v="11"/>
    <n v="0.38008130081300812"/>
    <n v="2019"/>
    <n v="1"/>
  </r>
  <r>
    <s v="B-26093"/>
    <n v="81"/>
    <n v="41"/>
    <n v="5"/>
    <x v="1"/>
    <x v="11"/>
    <x v="1"/>
    <d v="2019-03-27T00:00:00"/>
    <x v="19"/>
    <s v="Pune"/>
    <x v="11"/>
    <n v="0.50617283950617287"/>
    <n v="2019"/>
    <n v="1"/>
  </r>
  <r>
    <s v="B-26093"/>
    <n v="49"/>
    <n v="5"/>
    <n v="4"/>
    <x v="1"/>
    <x v="2"/>
    <x v="1"/>
    <d v="2019-03-27T00:00:00"/>
    <x v="19"/>
    <s v="Pune"/>
    <x v="11"/>
    <n v="0.10204081632653061"/>
    <n v="2019"/>
    <n v="1"/>
  </r>
  <r>
    <s v="B-26093"/>
    <n v="148"/>
    <n v="25"/>
    <n v="3"/>
    <x v="1"/>
    <x v="5"/>
    <x v="1"/>
    <d v="2019-03-27T00:00:00"/>
    <x v="19"/>
    <s v="Pune"/>
    <x v="11"/>
    <n v="0.16891891891891891"/>
    <n v="2019"/>
    <n v="1"/>
  </r>
  <r>
    <s v="B-26094"/>
    <n v="152"/>
    <n v="50"/>
    <n v="6"/>
    <x v="1"/>
    <x v="1"/>
    <x v="2"/>
    <d v="2019-03-27T00:00:00"/>
    <x v="20"/>
    <s v="Bhopal"/>
    <x v="11"/>
    <n v="0.32894736842105265"/>
    <n v="2019"/>
    <n v="1"/>
  </r>
  <r>
    <s v="B-26095"/>
    <n v="6"/>
    <n v="1"/>
    <n v="1"/>
    <x v="1"/>
    <x v="8"/>
    <x v="3"/>
    <d v="2019-03-28T00:00:00"/>
    <x v="21"/>
    <s v="Jaipur"/>
    <x v="11"/>
    <n v="0.16666666666666666"/>
    <n v="2019"/>
    <n v="1"/>
  </r>
  <r>
    <s v="B-26096"/>
    <n v="45"/>
    <n v="9"/>
    <n v="3"/>
    <x v="1"/>
    <x v="11"/>
    <x v="4"/>
    <d v="2019-03-28T00:00:00"/>
    <x v="22"/>
    <s v="Kolkata"/>
    <x v="11"/>
    <n v="0.2"/>
    <n v="2019"/>
    <n v="1"/>
  </r>
  <r>
    <s v="B-26096"/>
    <n v="103"/>
    <n v="46"/>
    <n v="2"/>
    <x v="1"/>
    <x v="5"/>
    <x v="4"/>
    <d v="2019-03-28T00:00:00"/>
    <x v="22"/>
    <s v="Kolkata"/>
    <x v="11"/>
    <n v="0.44660194174757284"/>
    <n v="2019"/>
    <n v="1"/>
  </r>
  <r>
    <s v="B-26096"/>
    <n v="140"/>
    <n v="56"/>
    <n v="4"/>
    <x v="1"/>
    <x v="10"/>
    <x v="4"/>
    <d v="2019-03-28T00:00:00"/>
    <x v="22"/>
    <s v="Kolkata"/>
    <x v="11"/>
    <n v="0.4"/>
    <n v="2019"/>
    <n v="1"/>
  </r>
  <r>
    <s v="B-26096"/>
    <n v="88"/>
    <n v="11"/>
    <n v="3"/>
    <x v="2"/>
    <x v="14"/>
    <x v="4"/>
    <d v="2019-03-28T00:00:00"/>
    <x v="22"/>
    <s v="Kolkata"/>
    <x v="11"/>
    <n v="0.125"/>
    <n v="2019"/>
    <n v="1"/>
  </r>
  <r>
    <s v="B-26096"/>
    <n v="451"/>
    <n v="25"/>
    <n v="3"/>
    <x v="2"/>
    <x v="4"/>
    <x v="4"/>
    <d v="2019-03-28T00:00:00"/>
    <x v="22"/>
    <s v="Kolkata"/>
    <x v="11"/>
    <n v="5.543237250554324E-2"/>
    <n v="2019"/>
    <n v="1"/>
  </r>
  <r>
    <s v="B-26096"/>
    <n v="264"/>
    <n v="-26"/>
    <n v="3"/>
    <x v="1"/>
    <x v="6"/>
    <x v="4"/>
    <d v="2019-03-28T00:00:00"/>
    <x v="22"/>
    <s v="Kolkata"/>
    <x v="11"/>
    <n v="-9.8484848484848481E-2"/>
    <n v="2019"/>
    <n v="1"/>
  </r>
  <r>
    <s v="B-26097"/>
    <n v="97"/>
    <n v="12"/>
    <n v="2"/>
    <x v="1"/>
    <x v="2"/>
    <x v="5"/>
    <d v="2019-03-28T00:00:00"/>
    <x v="23"/>
    <s v="Bangalore"/>
    <x v="11"/>
    <n v="0.12371134020618557"/>
    <n v="2019"/>
    <n v="1"/>
  </r>
  <r>
    <s v="B-26097"/>
    <n v="14"/>
    <n v="5"/>
    <n v="1"/>
    <x v="1"/>
    <x v="2"/>
    <x v="5"/>
    <d v="2019-03-28T00:00:00"/>
    <x v="23"/>
    <s v="Bangalore"/>
    <x v="11"/>
    <n v="0.35714285714285715"/>
    <n v="2019"/>
    <n v="1"/>
  </r>
  <r>
    <s v="B-26097"/>
    <n v="19"/>
    <n v="8"/>
    <n v="2"/>
    <x v="1"/>
    <x v="2"/>
    <x v="5"/>
    <d v="2019-03-28T00:00:00"/>
    <x v="23"/>
    <s v="Bangalore"/>
    <x v="11"/>
    <n v="0.42105263157894735"/>
    <n v="2019"/>
    <n v="1"/>
  </r>
  <r>
    <s v="B-26097"/>
    <n v="39"/>
    <n v="18"/>
    <n v="2"/>
    <x v="1"/>
    <x v="11"/>
    <x v="5"/>
    <d v="2019-03-28T00:00:00"/>
    <x v="23"/>
    <s v="Bangalore"/>
    <x v="11"/>
    <n v="0.46153846153846156"/>
    <n v="2019"/>
    <n v="1"/>
  </r>
  <r>
    <s v="B-26097"/>
    <n v="185"/>
    <n v="-26"/>
    <n v="6"/>
    <x v="0"/>
    <x v="7"/>
    <x v="5"/>
    <d v="2019-03-28T00:00:00"/>
    <x v="23"/>
    <s v="Bangalore"/>
    <x v="11"/>
    <n v="-0.14054054054054055"/>
    <n v="2019"/>
    <n v="1"/>
  </r>
  <r>
    <s v="B-26097"/>
    <n v="663"/>
    <n v="-212"/>
    <n v="5"/>
    <x v="2"/>
    <x v="13"/>
    <x v="5"/>
    <d v="2019-03-28T00:00:00"/>
    <x v="23"/>
    <s v="Bangalore"/>
    <x v="11"/>
    <n v="-0.31975867269984914"/>
    <n v="2019"/>
    <n v="1"/>
  </r>
  <r>
    <s v="B-26097"/>
    <n v="671"/>
    <n v="-309"/>
    <n v="5"/>
    <x v="2"/>
    <x v="3"/>
    <x v="5"/>
    <d v="2019-03-28T00:00:00"/>
    <x v="23"/>
    <s v="Bangalore"/>
    <x v="11"/>
    <n v="-0.46050670640834573"/>
    <n v="2019"/>
    <n v="1"/>
  </r>
  <r>
    <s v="B-26098"/>
    <n v="82"/>
    <n v="8"/>
    <n v="3"/>
    <x v="2"/>
    <x v="14"/>
    <x v="6"/>
    <d v="2019-03-29T00:00:00"/>
    <x v="24"/>
    <s v="Kashmir"/>
    <x v="11"/>
    <n v="9.7560975609756101E-2"/>
    <n v="2019"/>
    <n v="1"/>
  </r>
  <r>
    <s v="B-26098"/>
    <n v="497"/>
    <n v="179"/>
    <n v="3"/>
    <x v="0"/>
    <x v="7"/>
    <x v="6"/>
    <d v="2019-03-29T00:00:00"/>
    <x v="24"/>
    <s v="Kashmir"/>
    <x v="11"/>
    <n v="0.36016096579476864"/>
    <n v="2019"/>
    <n v="1"/>
  </r>
  <r>
    <s v="B-26098"/>
    <n v="96"/>
    <n v="48"/>
    <n v="5"/>
    <x v="1"/>
    <x v="11"/>
    <x v="6"/>
    <d v="2019-03-29T00:00:00"/>
    <x v="24"/>
    <s v="Kashmir"/>
    <x v="11"/>
    <n v="0.5"/>
    <n v="2019"/>
    <n v="1"/>
  </r>
  <r>
    <s v="B-26098"/>
    <n v="409"/>
    <n v="86"/>
    <n v="3"/>
    <x v="1"/>
    <x v="5"/>
    <x v="6"/>
    <d v="2019-03-29T00:00:00"/>
    <x v="24"/>
    <s v="Kashmir"/>
    <x v="11"/>
    <n v="0.21026894865525672"/>
    <n v="2019"/>
    <n v="1"/>
  </r>
  <r>
    <s v="B-26098"/>
    <n v="59"/>
    <n v="15"/>
    <n v="2"/>
    <x v="1"/>
    <x v="9"/>
    <x v="6"/>
    <d v="2019-03-29T00:00:00"/>
    <x v="24"/>
    <s v="Kashmir"/>
    <x v="11"/>
    <n v="0.25423728813559321"/>
    <n v="2019"/>
    <n v="1"/>
  </r>
  <r>
    <s v="B-26098"/>
    <n v="46"/>
    <n v="14"/>
    <n v="5"/>
    <x v="1"/>
    <x v="16"/>
    <x v="6"/>
    <d v="2019-03-29T00:00:00"/>
    <x v="24"/>
    <s v="Kashmir"/>
    <x v="11"/>
    <n v="0.30434782608695654"/>
    <n v="2019"/>
    <n v="1"/>
  </r>
  <r>
    <s v="B-26099"/>
    <n v="9"/>
    <n v="3"/>
    <n v="1"/>
    <x v="1"/>
    <x v="16"/>
    <x v="1"/>
    <d v="2019-03-30T00:00:00"/>
    <x v="25"/>
    <s v="Mumbai"/>
    <x v="11"/>
    <n v="0.33333333333333331"/>
    <n v="2019"/>
    <n v="1"/>
  </r>
  <r>
    <s v="B-26099"/>
    <n v="207"/>
    <n v="37"/>
    <n v="4"/>
    <x v="1"/>
    <x v="2"/>
    <x v="1"/>
    <d v="2019-03-30T00:00:00"/>
    <x v="25"/>
    <s v="Mumbai"/>
    <x v="11"/>
    <n v="0.17874396135265699"/>
    <n v="2019"/>
    <n v="1"/>
  </r>
  <r>
    <s v="B-26099"/>
    <n v="835"/>
    <n v="267"/>
    <n v="5"/>
    <x v="2"/>
    <x v="4"/>
    <x v="1"/>
    <d v="2019-03-30T00:00:00"/>
    <x v="25"/>
    <s v="Mumbai"/>
    <x v="11"/>
    <n v="0.31976047904191618"/>
    <n v="2019"/>
    <n v="1"/>
  </r>
  <r>
    <s v="B-26099"/>
    <n v="2366"/>
    <n v="552"/>
    <n v="5"/>
    <x v="1"/>
    <x v="6"/>
    <x v="1"/>
    <d v="2019-03-30T00:00:00"/>
    <x v="25"/>
    <s v="Mumbai"/>
    <x v="11"/>
    <n v="0.23330515638207946"/>
    <n v="2019"/>
    <n v="1"/>
  </r>
  <r>
    <s v="B-26100"/>
    <n v="828"/>
    <n v="230"/>
    <n v="2"/>
    <x v="0"/>
    <x v="7"/>
    <x v="2"/>
    <d v="2019-03-31T00:00:00"/>
    <x v="26"/>
    <s v="Indore"/>
    <x v="11"/>
    <n v="0.27777777777777779"/>
    <n v="2019"/>
    <n v="1"/>
  </r>
  <r>
    <s v="B-26100"/>
    <n v="34"/>
    <n v="10"/>
    <n v="2"/>
    <x v="1"/>
    <x v="9"/>
    <x v="2"/>
    <d v="2019-03-31T00:00:00"/>
    <x v="26"/>
    <s v="Indore"/>
    <x v="11"/>
    <n v="0.29411764705882354"/>
    <n v="2019"/>
    <n v="1"/>
  </r>
  <r>
    <s v="B-26100"/>
    <n v="72"/>
    <n v="16"/>
    <n v="2"/>
    <x v="1"/>
    <x v="10"/>
    <x v="2"/>
    <d v="2019-03-31T00:00:00"/>
    <x v="26"/>
    <s v="Indore"/>
    <x v="11"/>
    <n v="0.22222222222222221"/>
    <n v="2019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0032D9-5B6E-4A48-B572-F36473E462DB}" name="PivotTable1" cacheId="4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16" firstHeaderRow="1" firstDataRow="1" firstDataCol="1"/>
  <pivotFields count="14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10" outline="0" showAll="0"/>
    <pivotField compact="0" outline="0" showAll="0"/>
    <pivotField compact="0" outline="0"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2" baseField="0" baseItem="0"/>
  </dataFields>
  <chartFormats count="6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0745EA-F828-43FD-8240-7FE19CA63DD1}" name="PivotTable3" cacheId="4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3" firstHeaderRow="0" firstDataRow="1" firstDataCol="1" rowPageCount="1" colPageCount="1"/>
  <pivotFields count="14"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axis="axisPage" compact="0" outline="0" showAll="0">
      <items count="18">
        <item x="14"/>
        <item x="0"/>
        <item x="7"/>
        <item x="3"/>
        <item x="15"/>
        <item x="2"/>
        <item x="8"/>
        <item x="11"/>
        <item x="4"/>
        <item x="13"/>
        <item x="5"/>
        <item x="10"/>
        <item x="16"/>
        <item x="1"/>
        <item x="12"/>
        <item x="6"/>
        <item x="9"/>
        <item t="default"/>
      </items>
    </pivotField>
    <pivotField axis="axisRow" compact="0" outline="0" showAll="0" sortType="descending">
      <items count="20">
        <item x="17"/>
        <item x="9"/>
        <item x="18"/>
        <item x="15"/>
        <item x="0"/>
        <item x="12"/>
        <item x="13"/>
        <item x="6"/>
        <item x="5"/>
        <item x="10"/>
        <item x="2"/>
        <item x="1"/>
        <item x="16"/>
        <item x="11"/>
        <item x="3"/>
        <item x="14"/>
        <item x="7"/>
        <item x="8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4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compact="0" outline="0" showAll="0"/>
  </pivotFields>
  <rowFields count="1">
    <field x="6"/>
  </rowFields>
  <rowItems count="20">
    <i>
      <x v="10"/>
    </i>
    <i>
      <x v="11"/>
    </i>
    <i>
      <x v="2"/>
    </i>
    <i>
      <x v="17"/>
    </i>
    <i>
      <x v="14"/>
    </i>
    <i>
      <x v="4"/>
    </i>
    <i>
      <x v="13"/>
    </i>
    <i>
      <x v="8"/>
    </i>
    <i>
      <x v="18"/>
    </i>
    <i>
      <x v="9"/>
    </i>
    <i>
      <x/>
    </i>
    <i>
      <x v="1"/>
    </i>
    <i>
      <x v="12"/>
    </i>
    <i>
      <x v="7"/>
    </i>
    <i>
      <x v="5"/>
    </i>
    <i>
      <x v="6"/>
    </i>
    <i>
      <x v="3"/>
    </i>
    <i>
      <x v="16"/>
    </i>
    <i>
      <x v="15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Sum of Amount" fld="1" baseField="0" baseItem="0"/>
    <dataField name="Sum of Profit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28040-8324-4C46-99E4-7DA8FCFA3C6D}" name="PivotTable4" cacheId="4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336" firstHeaderRow="0" firstDataRow="1" firstDataCol="1"/>
  <pivotFields count="14"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axis="axisRow" compact="0" outline="0" showAll="0" sortType="descending">
      <items count="333">
        <item x="105"/>
        <item x="7"/>
        <item x="250"/>
        <item x="205"/>
        <item x="227"/>
        <item x="79"/>
        <item x="224"/>
        <item x="258"/>
        <item x="168"/>
        <item x="108"/>
        <item x="162"/>
        <item x="47"/>
        <item x="253"/>
        <item x="41"/>
        <item x="88"/>
        <item x="71"/>
        <item x="124"/>
        <item x="129"/>
        <item x="273"/>
        <item x="145"/>
        <item x="136"/>
        <item x="121"/>
        <item x="95"/>
        <item x="32"/>
        <item x="256"/>
        <item x="228"/>
        <item x="310"/>
        <item x="225"/>
        <item x="208"/>
        <item x="115"/>
        <item x="219"/>
        <item x="118"/>
        <item x="10"/>
        <item x="66"/>
        <item x="184"/>
        <item x="331"/>
        <item x="197"/>
        <item x="322"/>
        <item x="125"/>
        <item x="150"/>
        <item x="50"/>
        <item x="297"/>
        <item x="242"/>
        <item x="204"/>
        <item x="187"/>
        <item x="128"/>
        <item x="230"/>
        <item x="328"/>
        <item x="72"/>
        <item x="210"/>
        <item x="231"/>
        <item x="180"/>
        <item x="154"/>
        <item x="36"/>
        <item x="214"/>
        <item x="135"/>
        <item x="169"/>
        <item x="22"/>
        <item x="312"/>
        <item x="172"/>
        <item x="78"/>
        <item x="131"/>
        <item x="77"/>
        <item x="86"/>
        <item x="0"/>
        <item x="257"/>
        <item x="14"/>
        <item x="80"/>
        <item x="25"/>
        <item x="239"/>
        <item x="281"/>
        <item x="247"/>
        <item x="75"/>
        <item x="69"/>
        <item x="64"/>
        <item x="292"/>
        <item x="226"/>
        <item x="49"/>
        <item x="132"/>
        <item x="240"/>
        <item x="20"/>
        <item x="137"/>
        <item x="185"/>
        <item x="198"/>
        <item x="126"/>
        <item x="170"/>
        <item x="276"/>
        <item x="3"/>
        <item x="178"/>
        <item x="249"/>
        <item x="238"/>
        <item x="237"/>
        <item x="323"/>
        <item x="160"/>
        <item x="76"/>
        <item x="52"/>
        <item x="223"/>
        <item x="265"/>
        <item x="313"/>
        <item x="278"/>
        <item x="235"/>
        <item x="87"/>
        <item x="140"/>
        <item x="318"/>
        <item x="206"/>
        <item x="5"/>
        <item x="311"/>
        <item x="28"/>
        <item x="325"/>
        <item x="26"/>
        <item x="192"/>
        <item x="116"/>
        <item x="179"/>
        <item x="255"/>
        <item x="2"/>
        <item x="288"/>
        <item x="262"/>
        <item x="271"/>
        <item x="259"/>
        <item x="295"/>
        <item x="305"/>
        <item x="8"/>
        <item x="220"/>
        <item x="266"/>
        <item x="329"/>
        <item x="15"/>
        <item x="269"/>
        <item x="138"/>
        <item x="330"/>
        <item x="4"/>
        <item x="119"/>
        <item x="42"/>
        <item x="104"/>
        <item x="232"/>
        <item x="207"/>
        <item x="96"/>
        <item x="81"/>
        <item x="191"/>
        <item x="221"/>
        <item x="38"/>
        <item x="122"/>
        <item x="73"/>
        <item x="98"/>
        <item x="194"/>
        <item x="229"/>
        <item x="31"/>
        <item x="307"/>
        <item x="314"/>
        <item x="17"/>
        <item x="113"/>
        <item x="317"/>
        <item x="243"/>
        <item x="43"/>
        <item x="106"/>
        <item x="153"/>
        <item x="291"/>
        <item x="70"/>
        <item x="147"/>
        <item x="148"/>
        <item x="279"/>
        <item x="21"/>
        <item x="251"/>
        <item x="209"/>
        <item x="161"/>
        <item x="241"/>
        <item x="215"/>
        <item x="316"/>
        <item x="12"/>
        <item x="293"/>
        <item x="298"/>
        <item x="114"/>
        <item x="326"/>
        <item x="134"/>
        <item x="270"/>
        <item x="54"/>
        <item x="34"/>
        <item x="285"/>
        <item x="203"/>
        <item x="315"/>
        <item x="143"/>
        <item x="35"/>
        <item x="141"/>
        <item x="93"/>
        <item x="151"/>
        <item x="189"/>
        <item x="319"/>
        <item x="301"/>
        <item x="211"/>
        <item x="234"/>
        <item x="39"/>
        <item x="309"/>
        <item x="40"/>
        <item x="90"/>
        <item x="327"/>
        <item x="303"/>
        <item x="37"/>
        <item x="324"/>
        <item x="1"/>
        <item x="263"/>
        <item x="24"/>
        <item x="68"/>
        <item x="308"/>
        <item x="27"/>
        <item x="62"/>
        <item x="260"/>
        <item x="275"/>
        <item x="127"/>
        <item x="195"/>
        <item x="212"/>
        <item x="321"/>
        <item x="300"/>
        <item x="63"/>
        <item x="264"/>
        <item x="55"/>
        <item x="142"/>
        <item x="48"/>
        <item x="283"/>
        <item x="109"/>
        <item x="18"/>
        <item x="133"/>
        <item x="89"/>
        <item x="67"/>
        <item x="123"/>
        <item x="30"/>
        <item x="100"/>
        <item x="200"/>
        <item x="167"/>
        <item x="165"/>
        <item x="53"/>
        <item x="16"/>
        <item x="29"/>
        <item x="171"/>
        <item x="107"/>
        <item x="302"/>
        <item x="82"/>
        <item x="196"/>
        <item x="272"/>
        <item x="158"/>
        <item x="33"/>
        <item x="84"/>
        <item x="152"/>
        <item x="58"/>
        <item x="244"/>
        <item x="19"/>
        <item x="252"/>
        <item x="176"/>
        <item x="236"/>
        <item x="163"/>
        <item x="306"/>
        <item x="99"/>
        <item x="294"/>
        <item x="46"/>
        <item x="289"/>
        <item x="246"/>
        <item x="83"/>
        <item x="57"/>
        <item x="282"/>
        <item x="177"/>
        <item x="139"/>
        <item x="166"/>
        <item x="103"/>
        <item x="182"/>
        <item x="146"/>
        <item x="74"/>
        <item x="155"/>
        <item x="304"/>
        <item x="11"/>
        <item x="59"/>
        <item x="130"/>
        <item x="97"/>
        <item x="101"/>
        <item x="201"/>
        <item x="173"/>
        <item x="280"/>
        <item x="277"/>
        <item x="213"/>
        <item x="159"/>
        <item x="217"/>
        <item x="6"/>
        <item x="45"/>
        <item x="218"/>
        <item x="149"/>
        <item x="222"/>
        <item x="111"/>
        <item x="110"/>
        <item x="60"/>
        <item x="91"/>
        <item x="183"/>
        <item x="284"/>
        <item x="92"/>
        <item x="261"/>
        <item x="174"/>
        <item x="175"/>
        <item x="267"/>
        <item x="188"/>
        <item x="245"/>
        <item x="112"/>
        <item x="254"/>
        <item x="156"/>
        <item x="193"/>
        <item x="216"/>
        <item x="61"/>
        <item x="85"/>
        <item x="102"/>
        <item x="290"/>
        <item x="202"/>
        <item x="65"/>
        <item x="164"/>
        <item x="199"/>
        <item x="299"/>
        <item x="296"/>
        <item x="56"/>
        <item x="120"/>
        <item x="51"/>
        <item x="268"/>
        <item x="190"/>
        <item x="144"/>
        <item x="157"/>
        <item x="13"/>
        <item x="248"/>
        <item x="94"/>
        <item x="233"/>
        <item x="286"/>
        <item x="23"/>
        <item x="186"/>
        <item x="274"/>
        <item x="287"/>
        <item x="117"/>
        <item x="44"/>
        <item x="181"/>
        <item x="9"/>
        <item x="32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compact="0" numFmtId="10" outline="0" showAll="0"/>
    <pivotField compact="0" outline="0" showAll="0"/>
    <pivotField compact="0" outline="0" showAll="0"/>
  </pivotFields>
  <rowFields count="1">
    <field x="8"/>
  </rowFields>
  <rowItems count="333">
    <i>
      <x v="328"/>
    </i>
    <i>
      <x v="202"/>
    </i>
    <i>
      <x v="8"/>
    </i>
    <i>
      <x v="296"/>
    </i>
    <i>
      <x v="281"/>
    </i>
    <i>
      <x v="103"/>
    </i>
    <i>
      <x v="213"/>
    </i>
    <i>
      <x v="267"/>
    </i>
    <i>
      <x v="6"/>
    </i>
    <i>
      <x v="243"/>
    </i>
    <i>
      <x v="330"/>
    </i>
    <i>
      <x v="248"/>
    </i>
    <i>
      <x v="195"/>
    </i>
    <i>
      <x v="299"/>
    </i>
    <i>
      <x v="68"/>
    </i>
    <i>
      <x v="225"/>
    </i>
    <i>
      <x v="325"/>
    </i>
    <i>
      <x v="191"/>
    </i>
    <i>
      <x v="1"/>
    </i>
    <i>
      <x v="95"/>
    </i>
    <i>
      <x v="311"/>
    </i>
    <i>
      <x v="40"/>
    </i>
    <i>
      <x v="263"/>
    </i>
    <i>
      <x v="197"/>
    </i>
    <i>
      <x v="158"/>
    </i>
    <i>
      <x v="266"/>
    </i>
    <i>
      <x v="257"/>
    </i>
    <i>
      <x v="167"/>
    </i>
    <i>
      <x v="67"/>
    </i>
    <i>
      <x v="116"/>
    </i>
    <i>
      <x v="108"/>
    </i>
    <i>
      <x v="33"/>
    </i>
    <i>
      <x v="268"/>
    </i>
    <i>
      <x v="173"/>
    </i>
    <i>
      <x v="96"/>
    </i>
    <i>
      <x v="265"/>
    </i>
    <i>
      <x v="245"/>
    </i>
    <i>
      <x v="3"/>
    </i>
    <i>
      <x v="61"/>
    </i>
    <i>
      <x v="261"/>
    </i>
    <i>
      <x v="131"/>
    </i>
    <i>
      <x v="262"/>
    </i>
    <i>
      <x v="77"/>
    </i>
    <i>
      <x v="199"/>
    </i>
    <i>
      <x v="136"/>
    </i>
    <i>
      <x v="316"/>
    </i>
    <i>
      <x v="113"/>
    </i>
    <i>
      <x v="114"/>
    </i>
    <i>
      <x v="254"/>
    </i>
    <i>
      <x v="57"/>
    </i>
    <i>
      <x v="189"/>
    </i>
    <i>
      <x v="237"/>
    </i>
    <i>
      <x v="72"/>
    </i>
    <i>
      <x v="92"/>
    </i>
    <i>
      <x v="127"/>
    </i>
    <i>
      <x v="270"/>
    </i>
    <i>
      <x v="203"/>
    </i>
    <i>
      <x v="169"/>
    </i>
    <i>
      <x v="25"/>
    </i>
    <i>
      <x v="290"/>
    </i>
    <i>
      <x v="319"/>
    </i>
    <i>
      <x v="21"/>
    </i>
    <i>
      <x v="323"/>
    </i>
    <i>
      <x v="148"/>
    </i>
    <i>
      <x v="157"/>
    </i>
    <i>
      <x v="141"/>
    </i>
    <i>
      <x v="310"/>
    </i>
    <i>
      <x v="222"/>
    </i>
    <i>
      <x v="320"/>
    </i>
    <i>
      <x v="288"/>
    </i>
    <i>
      <x v="23"/>
    </i>
    <i>
      <x v="2"/>
    </i>
    <i>
      <x v="13"/>
    </i>
    <i>
      <x v="272"/>
    </i>
    <i>
      <x v="252"/>
    </i>
    <i>
      <x v="186"/>
    </i>
    <i>
      <x v="164"/>
    </i>
    <i>
      <x v="279"/>
    </i>
    <i>
      <x v="119"/>
    </i>
    <i>
      <x v="249"/>
    </i>
    <i>
      <x v="91"/>
    </i>
    <i>
      <x v="139"/>
    </i>
    <i>
      <x v="292"/>
    </i>
    <i>
      <x v="251"/>
    </i>
    <i>
      <x v="99"/>
    </i>
    <i>
      <x v="34"/>
    </i>
    <i>
      <x v="107"/>
    </i>
    <i>
      <x v="152"/>
    </i>
    <i>
      <x v="184"/>
    </i>
    <i>
      <x v="182"/>
    </i>
    <i>
      <x v="102"/>
    </i>
    <i>
      <x v="258"/>
    </i>
    <i>
      <x v="264"/>
    </i>
    <i>
      <x v="64"/>
    </i>
    <i>
      <x v="253"/>
    </i>
    <i>
      <x v="211"/>
    </i>
    <i>
      <x v="140"/>
    </i>
    <i>
      <x v="221"/>
    </i>
    <i>
      <x v="20"/>
    </i>
    <i>
      <x v="10"/>
    </i>
    <i>
      <x v="27"/>
    </i>
    <i>
      <x v="227"/>
    </i>
    <i>
      <x v="282"/>
    </i>
    <i>
      <x v="206"/>
    </i>
    <i>
      <x v="230"/>
    </i>
    <i>
      <x v="318"/>
    </i>
    <i>
      <x v="39"/>
    </i>
    <i>
      <x v="79"/>
    </i>
    <i>
      <x v="190"/>
    </i>
    <i>
      <x v="159"/>
    </i>
    <i>
      <x v="228"/>
    </i>
    <i>
      <x v="138"/>
    </i>
    <i>
      <x v="19"/>
    </i>
    <i>
      <x v="247"/>
    </i>
    <i>
      <x v="321"/>
    </i>
    <i>
      <x v="175"/>
    </i>
    <i>
      <x v="26"/>
    </i>
    <i>
      <x v="331"/>
    </i>
    <i>
      <x v="298"/>
    </i>
    <i>
      <x v="47"/>
    </i>
    <i>
      <x v="49"/>
    </i>
    <i>
      <x v="208"/>
    </i>
    <i>
      <x v="161"/>
    </i>
    <i>
      <x v="277"/>
    </i>
    <i>
      <x v="214"/>
    </i>
    <i>
      <x v="24"/>
    </i>
    <i>
      <x v="174"/>
    </i>
    <i>
      <x v="121"/>
    </i>
    <i>
      <x v="232"/>
    </i>
    <i>
      <x v="109"/>
    </i>
    <i>
      <x v="179"/>
    </i>
    <i>
      <x v="155"/>
    </i>
    <i>
      <x v="259"/>
    </i>
    <i>
      <x v="309"/>
    </i>
    <i>
      <x v="156"/>
    </i>
    <i>
      <x v="36"/>
    </i>
    <i>
      <x v="153"/>
    </i>
    <i>
      <x v="58"/>
    </i>
    <i>
      <x v="132"/>
    </i>
    <i>
      <x v="80"/>
    </i>
    <i>
      <x v="209"/>
    </i>
    <i>
      <x v="59"/>
    </i>
    <i>
      <x v="192"/>
    </i>
    <i>
      <x v="87"/>
    </i>
    <i>
      <x v="56"/>
    </i>
    <i>
      <x v="129"/>
    </i>
    <i>
      <x v="105"/>
    </i>
    <i>
      <x v="12"/>
    </i>
    <i>
      <x v="306"/>
    </i>
    <i>
      <x v="240"/>
    </i>
    <i>
      <x v="110"/>
    </i>
    <i>
      <x v="22"/>
    </i>
    <i>
      <x v="30"/>
    </i>
    <i>
      <x v="177"/>
    </i>
    <i>
      <x v="133"/>
    </i>
    <i>
      <x v="128"/>
    </i>
    <i>
      <x v="123"/>
    </i>
    <i>
      <x v="149"/>
    </i>
    <i>
      <x v="239"/>
    </i>
    <i>
      <x v="256"/>
    </i>
    <i>
      <x v="194"/>
    </i>
    <i>
      <x v="301"/>
    </i>
    <i>
      <x v="275"/>
    </i>
    <i>
      <x v="14"/>
    </i>
    <i>
      <x v="329"/>
    </i>
    <i>
      <x v="73"/>
    </i>
    <i>
      <x v="71"/>
    </i>
    <i>
      <x v="207"/>
    </i>
    <i>
      <x v="76"/>
    </i>
    <i>
      <x v="63"/>
    </i>
    <i>
      <x v="11"/>
    </i>
    <i>
      <x v="125"/>
    </i>
    <i>
      <x v="94"/>
    </i>
    <i>
      <x v="5"/>
    </i>
    <i>
      <x v="180"/>
    </i>
    <i>
      <x v="322"/>
    </i>
    <i>
      <x v="146"/>
    </i>
    <i>
      <x v="305"/>
    </i>
    <i>
      <x v="82"/>
    </i>
    <i>
      <x v="200"/>
    </i>
    <i>
      <x v="313"/>
    </i>
    <i>
      <x v="160"/>
    </i>
    <i>
      <x v="165"/>
    </i>
    <i>
      <x v="32"/>
    </i>
    <i>
      <x v="4"/>
    </i>
    <i>
      <x v="285"/>
    </i>
    <i>
      <x v="238"/>
    </i>
    <i>
      <x v="104"/>
    </i>
    <i>
      <x v="75"/>
    </i>
    <i>
      <x v="130"/>
    </i>
    <i>
      <x v="172"/>
    </i>
    <i>
      <x v="44"/>
    </i>
    <i>
      <x v="287"/>
    </i>
    <i>
      <x v="218"/>
    </i>
    <i>
      <x v="297"/>
    </i>
    <i>
      <x v="89"/>
    </i>
    <i>
      <x v="41"/>
    </i>
    <i>
      <x v="52"/>
    </i>
    <i>
      <x v="229"/>
    </i>
    <i>
      <x v="62"/>
    </i>
    <i>
      <x v="181"/>
    </i>
    <i>
      <x v="283"/>
    </i>
    <i>
      <x v="242"/>
    </i>
    <i>
      <x v="143"/>
    </i>
    <i>
      <x v="244"/>
    </i>
    <i>
      <x v="147"/>
    </i>
    <i>
      <x v="312"/>
    </i>
    <i>
      <x v="98"/>
    </i>
    <i>
      <x v="81"/>
    </i>
    <i>
      <x v="29"/>
    </i>
    <i>
      <x v="88"/>
    </i>
    <i>
      <x v="302"/>
    </i>
    <i>
      <x v="284"/>
    </i>
    <i>
      <x v="43"/>
    </i>
    <i>
      <x v="122"/>
    </i>
    <i>
      <x v="236"/>
    </i>
    <i>
      <x v="250"/>
    </i>
    <i>
      <x v="171"/>
    </i>
    <i>
      <x v="66"/>
    </i>
    <i>
      <x v="124"/>
    </i>
    <i>
      <x v="150"/>
    </i>
    <i>
      <x v="48"/>
    </i>
    <i>
      <x v="69"/>
    </i>
    <i>
      <x v="35"/>
    </i>
    <i>
      <x v="293"/>
    </i>
    <i>
      <x v="291"/>
    </i>
    <i>
      <x v="235"/>
    </i>
    <i>
      <x v="223"/>
    </i>
    <i>
      <x v="187"/>
    </i>
    <i>
      <x v="137"/>
    </i>
    <i>
      <x v="260"/>
    </i>
    <i>
      <x v="90"/>
    </i>
    <i>
      <x v="126"/>
    </i>
    <i>
      <x v="278"/>
    </i>
    <i>
      <x v="162"/>
    </i>
    <i>
      <x v="224"/>
    </i>
    <i>
      <x v="196"/>
    </i>
    <i>
      <x v="255"/>
    </i>
    <i>
      <x v="294"/>
    </i>
    <i>
      <x v="241"/>
    </i>
    <i>
      <x v="246"/>
    </i>
    <i>
      <x v="185"/>
    </i>
    <i>
      <x v="201"/>
    </i>
    <i>
      <x v="31"/>
    </i>
    <i>
      <x v="9"/>
    </i>
    <i>
      <x v="144"/>
    </i>
    <i>
      <x v="112"/>
    </i>
    <i>
      <x v="269"/>
    </i>
    <i>
      <x v="204"/>
    </i>
    <i>
      <x v="115"/>
    </i>
    <i>
      <x v="142"/>
    </i>
    <i>
      <x v="53"/>
    </i>
    <i>
      <x v="289"/>
    </i>
    <i>
      <x v="220"/>
    </i>
    <i>
      <x v="304"/>
    </i>
    <i>
      <x v="286"/>
    </i>
    <i>
      <x v="46"/>
    </i>
    <i>
      <x v="74"/>
    </i>
    <i>
      <x v="217"/>
    </i>
    <i>
      <x v="65"/>
    </i>
    <i>
      <x v="168"/>
    </i>
    <i>
      <x v="51"/>
    </i>
    <i>
      <x v="205"/>
    </i>
    <i>
      <x v="317"/>
    </i>
    <i>
      <x v="274"/>
    </i>
    <i>
      <x v="134"/>
    </i>
    <i>
      <x v="154"/>
    </i>
    <i>
      <x v="307"/>
    </i>
    <i>
      <x v="234"/>
    </i>
    <i>
      <x v="78"/>
    </i>
    <i>
      <x v="16"/>
    </i>
    <i>
      <x v="327"/>
    </i>
    <i>
      <x v="315"/>
    </i>
    <i>
      <x v="135"/>
    </i>
    <i>
      <x v="151"/>
    </i>
    <i>
      <x v="83"/>
    </i>
    <i>
      <x v="100"/>
    </i>
    <i>
      <x v="120"/>
    </i>
    <i>
      <x v="326"/>
    </i>
    <i>
      <x v="42"/>
    </i>
    <i>
      <x v="219"/>
    </i>
    <i>
      <x v="216"/>
    </i>
    <i>
      <x v="97"/>
    </i>
    <i>
      <x v="212"/>
    </i>
    <i>
      <x v="271"/>
    </i>
    <i>
      <x v="117"/>
    </i>
    <i>
      <x v="84"/>
    </i>
    <i>
      <x v="280"/>
    </i>
    <i>
      <x v="193"/>
    </i>
    <i>
      <x v="188"/>
    </i>
    <i>
      <x v="300"/>
    </i>
    <i>
      <x v="50"/>
    </i>
    <i>
      <x v="314"/>
    </i>
    <i>
      <x v="178"/>
    </i>
    <i>
      <x v="7"/>
    </i>
    <i>
      <x v="60"/>
    </i>
    <i>
      <x/>
    </i>
    <i>
      <x v="273"/>
    </i>
    <i>
      <x v="166"/>
    </i>
    <i>
      <x v="70"/>
    </i>
    <i>
      <x v="176"/>
    </i>
    <i>
      <x v="183"/>
    </i>
    <i>
      <x v="86"/>
    </i>
    <i>
      <x v="145"/>
    </i>
    <i>
      <x v="210"/>
    </i>
    <i>
      <x v="18"/>
    </i>
    <i>
      <x v="37"/>
    </i>
    <i>
      <x v="93"/>
    </i>
    <i>
      <x v="111"/>
    </i>
    <i>
      <x v="163"/>
    </i>
    <i>
      <x v="215"/>
    </i>
    <i>
      <x v="231"/>
    </i>
    <i>
      <x v="198"/>
    </i>
    <i>
      <x v="276"/>
    </i>
    <i>
      <x v="308"/>
    </i>
    <i>
      <x v="45"/>
    </i>
    <i>
      <x v="101"/>
    </i>
    <i>
      <x v="303"/>
    </i>
    <i>
      <x v="17"/>
    </i>
    <i>
      <x v="170"/>
    </i>
    <i>
      <x v="118"/>
    </i>
    <i>
      <x v="15"/>
    </i>
    <i>
      <x v="295"/>
    </i>
    <i>
      <x v="54"/>
    </i>
    <i>
      <x v="233"/>
    </i>
    <i>
      <x v="38"/>
    </i>
    <i>
      <x v="324"/>
    </i>
    <i>
      <x v="28"/>
    </i>
    <i>
      <x v="226"/>
    </i>
    <i>
      <x v="106"/>
    </i>
    <i>
      <x v="85"/>
    </i>
    <i>
      <x v="5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0" baseItem="0"/>
    <dataField name="Sum of Amount" fld="1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357CA-C38D-47B6-A28E-7B751E51521B}" name="PivotTable1" cacheId="4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E15" firstHeaderRow="1" firstDataRow="2" firstDataCol="1"/>
  <pivotFields count="14">
    <pivotField compact="0" outline="0" showAll="0"/>
    <pivotField dataField="1" compact="0" outline="0" showAll="0"/>
    <pivotField compact="0" outline="0" showAll="0"/>
    <pivotField compact="0" outline="0" showAll="0"/>
    <pivotField axis="axisCol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axis="axisRow" compact="0" outline="0" showAll="0">
      <items count="13">
        <item x="0"/>
        <item x="4"/>
        <item x="8"/>
        <item x="3"/>
        <item x="2"/>
        <item x="1"/>
        <item x="7"/>
        <item x="6"/>
        <item x="5"/>
        <item x="10"/>
        <item x="9"/>
        <item x="11"/>
        <item t="default"/>
      </items>
    </pivotField>
    <pivotField compact="0" numFmtId="10" outline="0" showAll="0"/>
    <pivotField compact="0" outline="0" showAll="0"/>
    <pivotField compact="0" outline="0"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Amount" fld="1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97D83-EB87-4769-B24F-328ED4508583}" name="PivotTable2" cacheId="4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7:D28" firstHeaderRow="0" firstDataRow="1" firstDataCol="2"/>
  <pivotFields count="14">
    <pivotField compact="0" outline="0" showAll="0"/>
    <pivotField dataField="1" compact="0" outline="0" showAll="0"/>
    <pivotField dataField="1"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axis="axisRow" compact="0" outline="0" showAll="0">
      <items count="18">
        <item x="14"/>
        <item x="0"/>
        <item x="7"/>
        <item x="3"/>
        <item x="15"/>
        <item x="2"/>
        <item x="8"/>
        <item x="11"/>
        <item x="4"/>
        <item x="13"/>
        <item x="5"/>
        <item x="10"/>
        <item x="16"/>
        <item x="1"/>
        <item x="12"/>
        <item x="6"/>
        <item x="9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compact="0" outline="0" showAll="0"/>
  </pivotFields>
  <rowFields count="2">
    <field x="4"/>
    <field x="5"/>
  </rowFields>
  <rowItems count="21">
    <i>
      <x/>
      <x v="5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5"/>
    </i>
    <i r="1">
      <x v="16"/>
    </i>
    <i t="default">
      <x/>
    </i>
    <i>
      <x v="1"/>
      <x/>
    </i>
    <i r="1">
      <x v="3"/>
    </i>
    <i r="1">
      <x v="8"/>
    </i>
    <i r="1">
      <x v="9"/>
    </i>
    <i t="default">
      <x v="1"/>
    </i>
    <i>
      <x v="2"/>
      <x v="1"/>
    </i>
    <i r="1">
      <x v="2"/>
    </i>
    <i r="1">
      <x v="4"/>
    </i>
    <i r="1">
      <x v="14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" baseField="0" baseItem="0"/>
    <dataField name="Sum of Amount" fld="1" baseField="0" baseItem="0"/>
  </dataFields>
  <chartFormats count="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F15BC-7420-4FDC-9EDC-A2573FB504B4}" name="PivotTable1" cacheId="40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1:C5" firstHeaderRow="0" firstDataRow="1" firstDataCol="1"/>
  <pivotFields count="14">
    <pivotField compact="0" outline="0" showAll="0"/>
    <pivotField dataField="1" compact="0" outline="0" showAll="0"/>
    <pivotField dataField="1"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>
      <items count="18">
        <item x="14"/>
        <item x="0"/>
        <item x="7"/>
        <item x="3"/>
        <item x="15"/>
        <item x="2"/>
        <item x="8"/>
        <item x="11"/>
        <item x="4"/>
        <item x="13"/>
        <item x="5"/>
        <item x="10"/>
        <item x="16"/>
        <item x="1"/>
        <item x="12"/>
        <item x="6"/>
        <item x="9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" baseField="0" baseItem="0"/>
    <dataField name="Sum of Amount" fld="1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0CB39A-D003-48EB-AC9F-1796B7108513}" name="List_of_orders" displayName="List_of_orders" ref="A1:F501" totalsRowShown="0" headerRowDxfId="29" dataDxfId="28">
  <autoFilter ref="A1:F501" xr:uid="{EC0CB39A-D003-48EB-AC9F-1796B7108513}"/>
  <tableColumns count="6">
    <tableColumn id="1" xr3:uid="{0EEB5695-B579-411A-860B-1B45E65232EB}" name="Order ID" dataDxfId="27"/>
    <tableColumn id="2" xr3:uid="{EB3F29BF-CC9B-4421-BABE-D26D9A5744CC}" name="Order Date" dataDxfId="26"/>
    <tableColumn id="7" xr3:uid="{03BD970E-EBAE-4F73-B952-97B3ADCBB887}" name="Order Date (Clean)" dataDxfId="25">
      <calculatedColumnFormula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calculatedColumnFormula>
    </tableColumn>
    <tableColumn id="3" xr3:uid="{0F56235F-B017-4B44-9148-544DC2BC97E0}" name="CustomerName" dataDxfId="24"/>
    <tableColumn id="4" xr3:uid="{50627E99-C70A-4F94-B17F-4A0C4E735A53}" name="State" dataDxfId="23"/>
    <tableColumn id="5" xr3:uid="{30542A4F-5E21-453B-A54F-1B4FF3F8A02C}" name="City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981DA1-1005-4478-B98D-30834131CC90}" name="Sales_target" displayName="Sales_target" ref="A1:C37" totalsRowShown="0" headerRowDxfId="21">
  <autoFilter ref="A1:C37" xr:uid="{ED981DA1-1005-4478-B98D-30834131CC90}"/>
  <tableColumns count="3">
    <tableColumn id="1" xr3:uid="{994E9C80-8E24-4096-8E1D-2FA7ABA4568A}" name="Month of Order Date" dataDxfId="20"/>
    <tableColumn id="2" xr3:uid="{AA49484F-7155-4A43-9F19-8B3EEC0B93C4}" name="Category" dataDxfId="19"/>
    <tableColumn id="3" xr3:uid="{C2319504-4B1C-42E0-BF81-1086250B43DD}" name="Target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3153C4-C09D-4B04-BA4E-6AF688E4F852}" name="Order_Details" displayName="Order_Details" ref="A1:N1501" totalsRowShown="0" headerRowDxfId="17" dataDxfId="16">
  <autoFilter ref="A1:N1501" xr:uid="{E73153C4-C09D-4B04-BA4E-6AF688E4F8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5393F432-A262-40DF-9FD3-4E4BEFBB1426}" name="Order ID" dataDxfId="15"/>
    <tableColumn id="2" xr3:uid="{ABCE8516-5D56-42E6-B719-EB533AFB2A2F}" name="Amount" dataDxfId="14"/>
    <tableColumn id="3" xr3:uid="{6EAB11DB-B337-44F3-BB49-8DAA305920A3}" name="Profit" dataDxfId="13"/>
    <tableColumn id="4" xr3:uid="{55D92348-CEAF-4B9F-B151-E092E80D80A3}" name="Quantity" dataDxfId="12"/>
    <tableColumn id="5" xr3:uid="{81886F46-D894-4AE2-975B-CB3538FA7C69}" name="Category" dataDxfId="11"/>
    <tableColumn id="6" xr3:uid="{BF34E467-6B96-4E4F-93E9-558A29E4E7BF}" name="Sub-Category" dataDxfId="10"/>
    <tableColumn id="7" xr3:uid="{D0162299-C672-4BDD-AC4F-0AD5F837CB0E}" name="State" dataDxfId="9">
      <calculatedColumnFormula>_xlfn.XLOOKUP(Order_Details[[#This Row],[Order ID]], List_of_orders[Order ID], List_of_orders[State])</calculatedColumnFormula>
    </tableColumn>
    <tableColumn id="8" xr3:uid="{6F6D42EC-1728-4C3C-A568-8515C5E67C33}" name="Order Date" dataDxfId="8">
      <calculatedColumnFormula>_xlfn.XLOOKUP(Order_Details[[#This Row],[Order ID]], List_of_orders[Order ID], List_of_orders[Order Date (Clean)])</calculatedColumnFormula>
    </tableColumn>
    <tableColumn id="9" xr3:uid="{032168F6-F69E-40E1-ACBD-9C66A525006D}" name="Customer Name" dataDxfId="7">
      <calculatedColumnFormula>_xlfn.XLOOKUP(Order_Details[[#This Row],[Order ID]], List_of_orders[Order ID], List_of_orders[CustomerName])</calculatedColumnFormula>
    </tableColumn>
    <tableColumn id="10" xr3:uid="{45A3A382-6478-4DB8-BD24-1F5957304B1F}" name="City" dataDxfId="6">
      <calculatedColumnFormula>_xlfn.XLOOKUP(Order_Details[[#This Row],[Order ID]], List_of_orders[Order ID], List_of_orders[City])</calculatedColumnFormula>
    </tableColumn>
    <tableColumn id="11" xr3:uid="{56E9AE8B-6EDF-4C57-86CB-834F2CB5E3EC}" name="Year-Month" dataDxfId="5">
      <calculatedColumnFormula>TEXT(Order_Details[[#This Row],[Order Date]], "YY-MMM")</calculatedColumnFormula>
    </tableColumn>
    <tableColumn id="12" xr3:uid="{099AA1AA-2B63-4688-B62A-D059171F4CEB}" name="Profit Margin %" dataDxfId="4">
      <calculatedColumnFormula>Order_Details[[#This Row],[Profit]]/Order_Details[[#This Row],[Amount]]</calculatedColumnFormula>
    </tableColumn>
    <tableColumn id="13" xr3:uid="{A6447A7E-C52A-495C-B866-FAFB38AB3235}" name="Year" dataDxfId="3">
      <calculatedColumnFormula>YEAR(Order_Details[[#This Row],[Order Date]])</calculatedColumnFormula>
    </tableColumn>
    <tableColumn id="14" xr3:uid="{A02ABEF2-9C82-4F0F-A215-4AA8A6532973}" name="Quarter" dataDxfId="2">
      <calculatedColumnFormula>ROUNDUP(MONTH(Order_Details[[#This Row],[Order Date]])/3, 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8CDC1F-B6CD-4D8D-9B37-53000D07A6BE}" name="Table6" displayName="Table6" ref="F3:G22" totalsRowShown="0">
  <autoFilter ref="F3:G22" xr:uid="{D28CDC1F-B6CD-4D8D-9B37-53000D07A6BE}"/>
  <tableColumns count="2">
    <tableColumn id="2" xr3:uid="{D9D4A8C6-A09F-4CEA-AA59-3230BEC0DFFB}" name="State"/>
    <tableColumn id="3" xr3:uid="{E327897F-7132-46F2-80CB-2A077FE84486}" name="Profit Margin %" data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AF69F4-5F28-42BE-A65C-D41354BD25E7}" name="Table4" displayName="Table4" ref="G7:H24" totalsRowShown="0">
  <autoFilter ref="G7:H24" xr:uid="{50AF69F4-5F28-42BE-A65C-D41354BD25E7}"/>
  <sortState xmlns:xlrd2="http://schemas.microsoft.com/office/spreadsheetml/2017/richdata2" ref="G8:H24">
    <sortCondition ref="H8:H24"/>
  </sortState>
  <tableColumns count="2">
    <tableColumn id="1" xr3:uid="{1D4AF773-4697-4151-A352-70CBAAB522CE}" name="Sub-Category"/>
    <tableColumn id="2" xr3:uid="{E4332B22-A056-40E7-A085-5219844EB126}" name="Profit Margin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E6C74-5B08-4DF0-910E-461D11BBEB63}">
  <dimension ref="B1:E2"/>
  <sheetViews>
    <sheetView showGridLines="0" tabSelected="1" topLeftCell="A9" workbookViewId="0">
      <selection activeCell="G24" sqref="G24"/>
    </sheetView>
  </sheetViews>
  <sheetFormatPr defaultRowHeight="15"/>
  <cols>
    <col min="2" max="2" width="32.7109375" customWidth="1"/>
    <col min="3" max="3" width="34" customWidth="1"/>
    <col min="4" max="4" width="18.85546875" style="12" customWidth="1"/>
    <col min="5" max="5" width="16.5703125" customWidth="1"/>
  </cols>
  <sheetData>
    <row r="1" spans="2:5" ht="15.75">
      <c r="B1" s="16" t="s">
        <v>0</v>
      </c>
      <c r="C1" s="16" t="s">
        <v>1</v>
      </c>
      <c r="D1" s="17" t="s">
        <v>2</v>
      </c>
      <c r="E1" s="18" t="s">
        <v>3</v>
      </c>
    </row>
    <row r="2" spans="2:5" ht="31.5">
      <c r="B2" s="21">
        <f>'Geography Analysis'!B23</f>
        <v>431502</v>
      </c>
      <c r="C2" s="21">
        <f>'Trend Analysis'!B16</f>
        <v>23955</v>
      </c>
      <c r="D2" s="19">
        <f>C2/B2</f>
        <v>5.5515385791954613E-2</v>
      </c>
      <c r="E2" s="20" cm="1">
        <f t="array" ref="E2">SUMPRODUCT(1/COUNTIF(Order_Details[Customer Name],Order_Details[Customer Name]))</f>
        <v>331.99999999999824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8038B-2D36-4428-9605-2428B18405C0}">
  <dimension ref="A1:F501"/>
  <sheetViews>
    <sheetView workbookViewId="0">
      <selection activeCell="G1" sqref="G1"/>
    </sheetView>
  </sheetViews>
  <sheetFormatPr defaultRowHeight="15"/>
  <cols>
    <col min="1" max="1" width="10.5703125" bestFit="1" customWidth="1"/>
    <col min="2" max="2" width="28.5703125" style="4" bestFit="1" customWidth="1"/>
    <col min="3" max="3" width="17.85546875" style="6" bestFit="1" customWidth="1"/>
    <col min="4" max="4" width="18" bestFit="1" customWidth="1"/>
    <col min="6" max="6" width="20" customWidth="1"/>
  </cols>
  <sheetData>
    <row r="1" spans="1:6">
      <c r="A1" s="1" t="s">
        <v>4</v>
      </c>
      <c r="B1" s="2" t="s">
        <v>5</v>
      </c>
      <c r="C1" s="5" t="s">
        <v>6</v>
      </c>
      <c r="D1" s="1" t="s">
        <v>7</v>
      </c>
      <c r="E1" s="1" t="s">
        <v>8</v>
      </c>
      <c r="F1" s="1" t="s">
        <v>9</v>
      </c>
    </row>
    <row r="2" spans="1:6">
      <c r="A2" s="1" t="s">
        <v>10</v>
      </c>
      <c r="B2" s="2">
        <v>43104</v>
      </c>
      <c r="C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43191</v>
      </c>
      <c r="D2" s="1" t="s">
        <v>11</v>
      </c>
      <c r="E2" s="1" t="s">
        <v>12</v>
      </c>
      <c r="F2" s="1" t="s">
        <v>13</v>
      </c>
    </row>
    <row r="3" spans="1:6">
      <c r="A3" s="1" t="s">
        <v>14</v>
      </c>
      <c r="B3" s="2">
        <v>43104</v>
      </c>
      <c r="C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43191</v>
      </c>
      <c r="D3" s="1" t="s">
        <v>15</v>
      </c>
      <c r="E3" s="1" t="s">
        <v>16</v>
      </c>
      <c r="F3" s="1" t="s">
        <v>17</v>
      </c>
    </row>
    <row r="4" spans="1:6">
      <c r="A4" s="1" t="s">
        <v>18</v>
      </c>
      <c r="B4" s="2">
        <v>43163</v>
      </c>
      <c r="C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43193</v>
      </c>
      <c r="D4" s="1" t="s">
        <v>19</v>
      </c>
      <c r="E4" s="1" t="s">
        <v>20</v>
      </c>
      <c r="F4" s="1" t="s">
        <v>21</v>
      </c>
    </row>
    <row r="5" spans="1:6">
      <c r="A5" s="1" t="s">
        <v>22</v>
      </c>
      <c r="B5" s="2">
        <v>43163</v>
      </c>
      <c r="C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43193</v>
      </c>
      <c r="D5" s="1" t="s">
        <v>23</v>
      </c>
      <c r="E5" s="1" t="s">
        <v>24</v>
      </c>
      <c r="F5" s="1" t="s">
        <v>25</v>
      </c>
    </row>
    <row r="6" spans="1:6">
      <c r="A6" s="1" t="s">
        <v>26</v>
      </c>
      <c r="B6" s="2">
        <v>43224</v>
      </c>
      <c r="C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43195</v>
      </c>
      <c r="D6" s="1" t="s">
        <v>27</v>
      </c>
      <c r="E6" s="1" t="s">
        <v>28</v>
      </c>
      <c r="F6" s="1" t="s">
        <v>29</v>
      </c>
    </row>
    <row r="7" spans="1:6">
      <c r="A7" s="1" t="s">
        <v>30</v>
      </c>
      <c r="B7" s="2">
        <v>43255</v>
      </c>
      <c r="C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43196</v>
      </c>
      <c r="D7" s="1" t="s">
        <v>31</v>
      </c>
      <c r="E7" s="1" t="s">
        <v>32</v>
      </c>
      <c r="F7" s="1" t="s">
        <v>33</v>
      </c>
    </row>
    <row r="8" spans="1:6">
      <c r="A8" s="1" t="s">
        <v>34</v>
      </c>
      <c r="B8" s="2">
        <v>43255</v>
      </c>
      <c r="C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43196</v>
      </c>
      <c r="D8" s="1" t="s">
        <v>35</v>
      </c>
      <c r="E8" s="1" t="s">
        <v>36</v>
      </c>
      <c r="F8" s="1" t="s">
        <v>37</v>
      </c>
    </row>
    <row r="9" spans="1:6">
      <c r="A9" s="1" t="s">
        <v>38</v>
      </c>
      <c r="B9" s="2">
        <v>43316</v>
      </c>
      <c r="C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43198</v>
      </c>
      <c r="D9" s="1" t="s">
        <v>39</v>
      </c>
      <c r="E9" s="1" t="s">
        <v>40</v>
      </c>
      <c r="F9" s="1" t="s">
        <v>41</v>
      </c>
    </row>
    <row r="10" spans="1:6">
      <c r="A10" s="1" t="s">
        <v>42</v>
      </c>
      <c r="B10" s="2">
        <v>43347</v>
      </c>
      <c r="C1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43199</v>
      </c>
      <c r="D10" s="1" t="s">
        <v>43</v>
      </c>
      <c r="E10" s="1" t="s">
        <v>44</v>
      </c>
      <c r="F10" s="1" t="s">
        <v>45</v>
      </c>
    </row>
    <row r="11" spans="1:6">
      <c r="A11" s="1" t="s">
        <v>46</v>
      </c>
      <c r="B11" s="2">
        <v>43347</v>
      </c>
      <c r="C1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43199</v>
      </c>
      <c r="D11" s="1" t="s">
        <v>47</v>
      </c>
      <c r="E11" s="1" t="s">
        <v>48</v>
      </c>
      <c r="F11" s="1" t="s">
        <v>49</v>
      </c>
    </row>
    <row r="12" spans="1:6">
      <c r="A12" s="1" t="s">
        <v>50</v>
      </c>
      <c r="B12" s="2">
        <v>43408</v>
      </c>
      <c r="C1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43201</v>
      </c>
      <c r="D12" s="1" t="s">
        <v>51</v>
      </c>
      <c r="E12" s="1" t="s">
        <v>52</v>
      </c>
      <c r="F12" s="1" t="s">
        <v>53</v>
      </c>
    </row>
    <row r="13" spans="1:6">
      <c r="A13" s="1" t="s">
        <v>54</v>
      </c>
      <c r="B13" s="2">
        <v>43438</v>
      </c>
      <c r="C1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43202</v>
      </c>
      <c r="D13" s="1" t="s">
        <v>55</v>
      </c>
      <c r="E13" s="1" t="s">
        <v>56</v>
      </c>
      <c r="F13" s="1" t="s">
        <v>57</v>
      </c>
    </row>
    <row r="14" spans="1:6">
      <c r="A14" s="1" t="s">
        <v>58</v>
      </c>
      <c r="B14" s="2">
        <v>43438</v>
      </c>
      <c r="C1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43202</v>
      </c>
      <c r="D14" s="1" t="s">
        <v>59</v>
      </c>
      <c r="E14" s="1" t="s">
        <v>60</v>
      </c>
      <c r="F14" s="1" t="s">
        <v>57</v>
      </c>
    </row>
    <row r="15" spans="1:6">
      <c r="A15" s="1" t="s">
        <v>61</v>
      </c>
      <c r="B15" s="2" t="s">
        <v>62</v>
      </c>
      <c r="C1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43203</v>
      </c>
      <c r="D15" s="1" t="s">
        <v>63</v>
      </c>
      <c r="E15" s="1" t="s">
        <v>64</v>
      </c>
      <c r="F15" s="1" t="s">
        <v>65</v>
      </c>
    </row>
    <row r="16" spans="1:6">
      <c r="A16" s="1" t="s">
        <v>66</v>
      </c>
      <c r="B16" s="2" t="s">
        <v>67</v>
      </c>
      <c r="C1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43205</v>
      </c>
      <c r="D16" s="1" t="s">
        <v>68</v>
      </c>
      <c r="E16" s="1" t="s">
        <v>69</v>
      </c>
      <c r="F16" s="1" t="s">
        <v>70</v>
      </c>
    </row>
    <row r="17" spans="1:6">
      <c r="A17" s="1" t="s">
        <v>71</v>
      </c>
      <c r="B17" s="2" t="s">
        <v>67</v>
      </c>
      <c r="C1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43205</v>
      </c>
      <c r="D17" s="1" t="s">
        <v>72</v>
      </c>
      <c r="E17" s="1" t="s">
        <v>73</v>
      </c>
      <c r="F17" s="1" t="s">
        <v>73</v>
      </c>
    </row>
    <row r="18" spans="1:6">
      <c r="A18" s="1" t="s">
        <v>74</v>
      </c>
      <c r="B18" s="2" t="s">
        <v>75</v>
      </c>
      <c r="C1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43207</v>
      </c>
      <c r="D18" s="1" t="s">
        <v>76</v>
      </c>
      <c r="E18" s="1" t="s">
        <v>77</v>
      </c>
      <c r="F18" s="1" t="s">
        <v>78</v>
      </c>
    </row>
    <row r="19" spans="1:6">
      <c r="A19" s="1" t="s">
        <v>79</v>
      </c>
      <c r="B19" s="2" t="s">
        <v>80</v>
      </c>
      <c r="C1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43208</v>
      </c>
      <c r="D19" s="1" t="s">
        <v>81</v>
      </c>
      <c r="E19" s="1" t="s">
        <v>82</v>
      </c>
      <c r="F19" s="1" t="s">
        <v>83</v>
      </c>
    </row>
    <row r="20" spans="1:6">
      <c r="A20" s="1" t="s">
        <v>84</v>
      </c>
      <c r="B20" s="2" t="s">
        <v>80</v>
      </c>
      <c r="C2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43208</v>
      </c>
      <c r="D20" s="1" t="s">
        <v>85</v>
      </c>
      <c r="E20" s="1" t="s">
        <v>12</v>
      </c>
      <c r="F20" s="1" t="s">
        <v>13</v>
      </c>
    </row>
    <row r="21" spans="1:6">
      <c r="A21" s="1" t="s">
        <v>86</v>
      </c>
      <c r="B21" s="2" t="s">
        <v>87</v>
      </c>
      <c r="C2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43210</v>
      </c>
      <c r="D21" s="1" t="s">
        <v>88</v>
      </c>
      <c r="E21" s="1" t="s">
        <v>16</v>
      </c>
      <c r="F21" s="1" t="s">
        <v>17</v>
      </c>
    </row>
    <row r="22" spans="1:6">
      <c r="A22" s="1" t="s">
        <v>89</v>
      </c>
      <c r="B22" s="2" t="s">
        <v>87</v>
      </c>
      <c r="C2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43210</v>
      </c>
      <c r="D22" s="1" t="s">
        <v>90</v>
      </c>
      <c r="E22" s="1" t="s">
        <v>20</v>
      </c>
      <c r="F22" s="1" t="s">
        <v>21</v>
      </c>
    </row>
    <row r="23" spans="1:6">
      <c r="A23" s="1" t="s">
        <v>91</v>
      </c>
      <c r="B23" s="2" t="s">
        <v>92</v>
      </c>
      <c r="C2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43212</v>
      </c>
      <c r="D23" s="1" t="s">
        <v>93</v>
      </c>
      <c r="E23" s="1" t="s">
        <v>24</v>
      </c>
      <c r="F23" s="1" t="s">
        <v>25</v>
      </c>
    </row>
    <row r="24" spans="1:6">
      <c r="A24" s="1" t="s">
        <v>94</v>
      </c>
      <c r="B24" s="2" t="s">
        <v>92</v>
      </c>
      <c r="C2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43212</v>
      </c>
      <c r="D24" s="1" t="s">
        <v>95</v>
      </c>
      <c r="E24" s="1" t="s">
        <v>28</v>
      </c>
      <c r="F24" s="1" t="s">
        <v>29</v>
      </c>
    </row>
    <row r="25" spans="1:6">
      <c r="A25" s="1" t="s">
        <v>96</v>
      </c>
      <c r="B25" s="2" t="s">
        <v>92</v>
      </c>
      <c r="C2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43212</v>
      </c>
      <c r="D25" s="1" t="s">
        <v>97</v>
      </c>
      <c r="E25" s="1" t="s">
        <v>32</v>
      </c>
      <c r="F25" s="1" t="s">
        <v>33</v>
      </c>
    </row>
    <row r="26" spans="1:6">
      <c r="A26" s="1" t="s">
        <v>98</v>
      </c>
      <c r="B26" s="2" t="s">
        <v>99</v>
      </c>
      <c r="C2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43213</v>
      </c>
      <c r="D26" s="1" t="s">
        <v>100</v>
      </c>
      <c r="E26" s="1" t="s">
        <v>36</v>
      </c>
      <c r="F26" s="1" t="s">
        <v>37</v>
      </c>
    </row>
    <row r="27" spans="1:6">
      <c r="A27" s="1" t="s">
        <v>101</v>
      </c>
      <c r="B27" s="2" t="s">
        <v>99</v>
      </c>
      <c r="C2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43213</v>
      </c>
      <c r="D27" s="1" t="s">
        <v>102</v>
      </c>
      <c r="E27" s="1" t="s">
        <v>16</v>
      </c>
      <c r="F27" s="1" t="s">
        <v>103</v>
      </c>
    </row>
    <row r="28" spans="1:6">
      <c r="A28" s="1" t="s">
        <v>104</v>
      </c>
      <c r="B28" s="2" t="s">
        <v>99</v>
      </c>
      <c r="C2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43213</v>
      </c>
      <c r="D28" s="1" t="s">
        <v>105</v>
      </c>
      <c r="E28" s="1" t="s">
        <v>20</v>
      </c>
      <c r="F28" s="1" t="s">
        <v>106</v>
      </c>
    </row>
    <row r="29" spans="1:6">
      <c r="A29" s="1" t="s">
        <v>107</v>
      </c>
      <c r="B29" s="2" t="s">
        <v>108</v>
      </c>
      <c r="C2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43214</v>
      </c>
      <c r="D29" s="1" t="s">
        <v>109</v>
      </c>
      <c r="E29" s="1" t="s">
        <v>48</v>
      </c>
      <c r="F29" s="1" t="s">
        <v>49</v>
      </c>
    </row>
    <row r="30" spans="1:6">
      <c r="A30" s="1" t="s">
        <v>110</v>
      </c>
      <c r="B30" s="2" t="s">
        <v>108</v>
      </c>
      <c r="C3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43214</v>
      </c>
      <c r="D30" s="1" t="s">
        <v>111</v>
      </c>
      <c r="E30" s="1" t="s">
        <v>52</v>
      </c>
      <c r="F30" s="1" t="s">
        <v>53</v>
      </c>
    </row>
    <row r="31" spans="1:6">
      <c r="A31" s="1" t="s">
        <v>112</v>
      </c>
      <c r="B31" s="2" t="s">
        <v>108</v>
      </c>
      <c r="C3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43214</v>
      </c>
      <c r="D31" s="1" t="s">
        <v>113</v>
      </c>
      <c r="E31" s="1" t="s">
        <v>56</v>
      </c>
      <c r="F31" s="1" t="s">
        <v>57</v>
      </c>
    </row>
    <row r="32" spans="1:6">
      <c r="A32" s="1" t="s">
        <v>114</v>
      </c>
      <c r="B32" s="2" t="s">
        <v>108</v>
      </c>
      <c r="C3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43214</v>
      </c>
      <c r="D32" s="1" t="s">
        <v>115</v>
      </c>
      <c r="E32" s="1" t="s">
        <v>60</v>
      </c>
      <c r="F32" s="1" t="s">
        <v>57</v>
      </c>
    </row>
    <row r="33" spans="1:6">
      <c r="A33" s="1" t="s">
        <v>116</v>
      </c>
      <c r="B33" s="2" t="s">
        <v>117</v>
      </c>
      <c r="C3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43215</v>
      </c>
      <c r="D33" s="1" t="s">
        <v>118</v>
      </c>
      <c r="E33" s="1" t="s">
        <v>64</v>
      </c>
      <c r="F33" s="1" t="s">
        <v>65</v>
      </c>
    </row>
    <row r="34" spans="1:6">
      <c r="A34" s="1" t="s">
        <v>119</v>
      </c>
      <c r="B34" s="2" t="s">
        <v>120</v>
      </c>
      <c r="C3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43216</v>
      </c>
      <c r="D34" s="1" t="s">
        <v>121</v>
      </c>
      <c r="E34" s="1" t="s">
        <v>69</v>
      </c>
      <c r="F34" s="1" t="s">
        <v>70</v>
      </c>
    </row>
    <row r="35" spans="1:6">
      <c r="A35" s="1" t="s">
        <v>122</v>
      </c>
      <c r="B35" s="2" t="s">
        <v>120</v>
      </c>
      <c r="C3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43216</v>
      </c>
      <c r="D35" s="1" t="s">
        <v>123</v>
      </c>
      <c r="E35" s="1" t="s">
        <v>73</v>
      </c>
      <c r="F35" s="1" t="s">
        <v>73</v>
      </c>
    </row>
    <row r="36" spans="1:6">
      <c r="A36" s="1" t="s">
        <v>124</v>
      </c>
      <c r="B36" s="2" t="s">
        <v>120</v>
      </c>
      <c r="C3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43216</v>
      </c>
      <c r="D36" s="1" t="s">
        <v>125</v>
      </c>
      <c r="E36" s="1" t="s">
        <v>77</v>
      </c>
      <c r="F36" s="1" t="s">
        <v>78</v>
      </c>
    </row>
    <row r="37" spans="1:6">
      <c r="A37" s="1" t="s">
        <v>126</v>
      </c>
      <c r="B37" s="2" t="s">
        <v>120</v>
      </c>
      <c r="C3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43216</v>
      </c>
      <c r="D37" s="1" t="s">
        <v>127</v>
      </c>
      <c r="E37" s="1" t="s">
        <v>16</v>
      </c>
      <c r="F37" s="1" t="s">
        <v>103</v>
      </c>
    </row>
    <row r="38" spans="1:6">
      <c r="A38" s="1" t="s">
        <v>128</v>
      </c>
      <c r="B38" s="2" t="s">
        <v>120</v>
      </c>
      <c r="C3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43216</v>
      </c>
      <c r="D38" s="1" t="s">
        <v>129</v>
      </c>
      <c r="E38" s="1" t="s">
        <v>20</v>
      </c>
      <c r="F38" s="1" t="s">
        <v>106</v>
      </c>
    </row>
    <row r="39" spans="1:6">
      <c r="A39" s="1" t="s">
        <v>130</v>
      </c>
      <c r="B39" s="2" t="s">
        <v>120</v>
      </c>
      <c r="C3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43216</v>
      </c>
      <c r="D39" s="1" t="s">
        <v>131</v>
      </c>
      <c r="E39" s="1" t="s">
        <v>16</v>
      </c>
      <c r="F39" s="1" t="s">
        <v>17</v>
      </c>
    </row>
    <row r="40" spans="1:6">
      <c r="A40" s="1" t="s">
        <v>132</v>
      </c>
      <c r="B40" s="2" t="s">
        <v>133</v>
      </c>
      <c r="C4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43217</v>
      </c>
      <c r="D40" s="1" t="s">
        <v>134</v>
      </c>
      <c r="E40" s="1" t="s">
        <v>20</v>
      </c>
      <c r="F40" s="1" t="s">
        <v>21</v>
      </c>
    </row>
    <row r="41" spans="1:6">
      <c r="A41" s="1" t="s">
        <v>135</v>
      </c>
      <c r="B41" s="2" t="s">
        <v>133</v>
      </c>
      <c r="C4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43217</v>
      </c>
      <c r="D41" s="1" t="s">
        <v>136</v>
      </c>
      <c r="E41" s="1" t="s">
        <v>24</v>
      </c>
      <c r="F41" s="1" t="s">
        <v>25</v>
      </c>
    </row>
    <row r="42" spans="1:6">
      <c r="A42" s="1" t="s">
        <v>137</v>
      </c>
      <c r="B42" s="2" t="s">
        <v>133</v>
      </c>
      <c r="C4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43217</v>
      </c>
      <c r="D42" s="1" t="s">
        <v>138</v>
      </c>
      <c r="E42" s="1" t="s">
        <v>28</v>
      </c>
      <c r="F42" s="1" t="s">
        <v>29</v>
      </c>
    </row>
    <row r="43" spans="1:6">
      <c r="A43" s="1" t="s">
        <v>139</v>
      </c>
      <c r="B43" s="2" t="s">
        <v>140</v>
      </c>
      <c r="C4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43218</v>
      </c>
      <c r="D43" s="1" t="s">
        <v>141</v>
      </c>
      <c r="E43" s="1" t="s">
        <v>32</v>
      </c>
      <c r="F43" s="1" t="s">
        <v>33</v>
      </c>
    </row>
    <row r="44" spans="1:6">
      <c r="A44" s="1" t="s">
        <v>142</v>
      </c>
      <c r="B44" s="2" t="s">
        <v>143</v>
      </c>
      <c r="C4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43219</v>
      </c>
      <c r="D44" s="1" t="s">
        <v>144</v>
      </c>
      <c r="E44" s="1" t="s">
        <v>36</v>
      </c>
      <c r="F44" s="1" t="s">
        <v>37</v>
      </c>
    </row>
    <row r="45" spans="1:6">
      <c r="A45" s="1" t="s">
        <v>145</v>
      </c>
      <c r="B45" s="2" t="s">
        <v>146</v>
      </c>
      <c r="C4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43220</v>
      </c>
      <c r="D45" s="1" t="s">
        <v>147</v>
      </c>
      <c r="E45" s="1" t="s">
        <v>16</v>
      </c>
      <c r="F45" s="1" t="s">
        <v>103</v>
      </c>
    </row>
    <row r="46" spans="1:6">
      <c r="A46" s="1" t="s">
        <v>148</v>
      </c>
      <c r="B46" s="2">
        <v>43105</v>
      </c>
      <c r="C4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43221</v>
      </c>
      <c r="D46" s="1" t="s">
        <v>149</v>
      </c>
      <c r="E46" s="1" t="s">
        <v>20</v>
      </c>
      <c r="F46" s="1" t="s">
        <v>106</v>
      </c>
    </row>
    <row r="47" spans="1:6">
      <c r="A47" s="1" t="s">
        <v>150</v>
      </c>
      <c r="B47" s="2">
        <v>43105</v>
      </c>
      <c r="C4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43221</v>
      </c>
      <c r="D47" s="1" t="s">
        <v>151</v>
      </c>
      <c r="E47" s="1" t="s">
        <v>48</v>
      </c>
      <c r="F47" s="1" t="s">
        <v>49</v>
      </c>
    </row>
    <row r="48" spans="1:6">
      <c r="A48" s="1" t="s">
        <v>152</v>
      </c>
      <c r="B48" s="2">
        <v>43164</v>
      </c>
      <c r="C4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43223</v>
      </c>
      <c r="D48" s="1" t="s">
        <v>153</v>
      </c>
      <c r="E48" s="1" t="s">
        <v>52</v>
      </c>
      <c r="F48" s="1" t="s">
        <v>53</v>
      </c>
    </row>
    <row r="49" spans="1:6">
      <c r="A49" s="1" t="s">
        <v>154</v>
      </c>
      <c r="B49" s="2">
        <v>43195</v>
      </c>
      <c r="C4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43224</v>
      </c>
      <c r="D49" s="1" t="s">
        <v>155</v>
      </c>
      <c r="E49" s="1" t="s">
        <v>56</v>
      </c>
      <c r="F49" s="1" t="s">
        <v>57</v>
      </c>
    </row>
    <row r="50" spans="1:6">
      <c r="A50" s="1" t="s">
        <v>156</v>
      </c>
      <c r="B50" s="2">
        <v>43225</v>
      </c>
      <c r="C5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43225</v>
      </c>
      <c r="D50" s="1" t="s">
        <v>157</v>
      </c>
      <c r="E50" s="1" t="s">
        <v>60</v>
      </c>
      <c r="F50" s="1" t="s">
        <v>57</v>
      </c>
    </row>
    <row r="51" spans="1:6">
      <c r="A51" s="1" t="s">
        <v>158</v>
      </c>
      <c r="B51" s="2">
        <v>43256</v>
      </c>
      <c r="C5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43226</v>
      </c>
      <c r="D51" s="1" t="s">
        <v>159</v>
      </c>
      <c r="E51" s="1" t="s">
        <v>16</v>
      </c>
      <c r="F51" s="1" t="s">
        <v>103</v>
      </c>
    </row>
    <row r="52" spans="1:6">
      <c r="A52" s="1" t="s">
        <v>160</v>
      </c>
      <c r="B52" s="2">
        <v>43286</v>
      </c>
      <c r="C5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43227</v>
      </c>
      <c r="D52" s="1" t="s">
        <v>161</v>
      </c>
      <c r="E52" s="1" t="s">
        <v>20</v>
      </c>
      <c r="F52" s="1" t="s">
        <v>106</v>
      </c>
    </row>
    <row r="53" spans="1:6">
      <c r="A53" s="1" t="s">
        <v>162</v>
      </c>
      <c r="B53" s="2">
        <v>43317</v>
      </c>
      <c r="C5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43228</v>
      </c>
      <c r="D53" s="1" t="s">
        <v>163</v>
      </c>
      <c r="E53" s="1" t="s">
        <v>73</v>
      </c>
      <c r="F53" s="1" t="s">
        <v>73</v>
      </c>
    </row>
    <row r="54" spans="1:6">
      <c r="A54" s="1" t="s">
        <v>164</v>
      </c>
      <c r="B54" s="2">
        <v>43317</v>
      </c>
      <c r="C5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43228</v>
      </c>
      <c r="D54" s="1" t="s">
        <v>165</v>
      </c>
      <c r="E54" s="1" t="s">
        <v>77</v>
      </c>
      <c r="F54" s="1" t="s">
        <v>78</v>
      </c>
    </row>
    <row r="55" spans="1:6">
      <c r="A55" s="1" t="s">
        <v>166</v>
      </c>
      <c r="B55" s="2">
        <v>43378</v>
      </c>
      <c r="C5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43230</v>
      </c>
      <c r="D55" s="1" t="s">
        <v>167</v>
      </c>
      <c r="E55" s="1" t="s">
        <v>16</v>
      </c>
      <c r="F55" s="1" t="s">
        <v>103</v>
      </c>
    </row>
    <row r="56" spans="1:6">
      <c r="A56" s="1" t="s">
        <v>168</v>
      </c>
      <c r="B56" s="2">
        <v>43409</v>
      </c>
      <c r="C5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43231</v>
      </c>
      <c r="D56" s="1" t="s">
        <v>169</v>
      </c>
      <c r="E56" s="1" t="s">
        <v>20</v>
      </c>
      <c r="F56" s="1" t="s">
        <v>106</v>
      </c>
    </row>
    <row r="57" spans="1:6">
      <c r="A57" s="1" t="s">
        <v>170</v>
      </c>
      <c r="B57" s="2">
        <v>43409</v>
      </c>
      <c r="C5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43231</v>
      </c>
      <c r="D57" s="1" t="s">
        <v>171</v>
      </c>
      <c r="E57" s="1" t="s">
        <v>16</v>
      </c>
      <c r="F57" s="1" t="s">
        <v>17</v>
      </c>
    </row>
    <row r="58" spans="1:6">
      <c r="A58" s="1" t="s">
        <v>172</v>
      </c>
      <c r="B58" s="2" t="s">
        <v>173</v>
      </c>
      <c r="C5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43233</v>
      </c>
      <c r="D58" s="1" t="s">
        <v>174</v>
      </c>
      <c r="E58" s="1" t="s">
        <v>20</v>
      </c>
      <c r="F58" s="1" t="s">
        <v>21</v>
      </c>
    </row>
    <row r="59" spans="1:6">
      <c r="A59" s="1" t="s">
        <v>175</v>
      </c>
      <c r="B59" s="2" t="s">
        <v>176</v>
      </c>
      <c r="C5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43234</v>
      </c>
      <c r="D59" s="1" t="s">
        <v>177</v>
      </c>
      <c r="E59" s="1" t="s">
        <v>24</v>
      </c>
      <c r="F59" s="1" t="s">
        <v>25</v>
      </c>
    </row>
    <row r="60" spans="1:6">
      <c r="A60" s="1" t="s">
        <v>178</v>
      </c>
      <c r="B60" s="2" t="s">
        <v>179</v>
      </c>
      <c r="C6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43235</v>
      </c>
      <c r="D60" s="1" t="s">
        <v>180</v>
      </c>
      <c r="E60" s="1" t="s">
        <v>28</v>
      </c>
      <c r="F60" s="1" t="s">
        <v>29</v>
      </c>
    </row>
    <row r="61" spans="1:6">
      <c r="A61" s="1" t="s">
        <v>181</v>
      </c>
      <c r="B61" s="2" t="s">
        <v>182</v>
      </c>
      <c r="C6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43236</v>
      </c>
      <c r="D61" s="1" t="s">
        <v>183</v>
      </c>
      <c r="E61" s="1" t="s">
        <v>32</v>
      </c>
      <c r="F61" s="1" t="s">
        <v>33</v>
      </c>
    </row>
    <row r="62" spans="1:6">
      <c r="A62" s="1" t="s">
        <v>184</v>
      </c>
      <c r="B62" s="2" t="s">
        <v>185</v>
      </c>
      <c r="C6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43237</v>
      </c>
      <c r="D62" s="1" t="s">
        <v>186</v>
      </c>
      <c r="E62" s="1" t="s">
        <v>36</v>
      </c>
      <c r="F62" s="1" t="s">
        <v>37</v>
      </c>
    </row>
    <row r="63" spans="1:6">
      <c r="A63" s="1" t="s">
        <v>187</v>
      </c>
      <c r="B63" s="2" t="s">
        <v>185</v>
      </c>
      <c r="C6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43237</v>
      </c>
      <c r="D63" s="1" t="s">
        <v>188</v>
      </c>
      <c r="E63" s="1" t="s">
        <v>16</v>
      </c>
      <c r="F63" s="1" t="s">
        <v>103</v>
      </c>
    </row>
    <row r="64" spans="1:6">
      <c r="A64" s="1" t="s">
        <v>189</v>
      </c>
      <c r="B64" s="2" t="s">
        <v>190</v>
      </c>
      <c r="C6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43239</v>
      </c>
      <c r="D64" s="1" t="s">
        <v>191</v>
      </c>
      <c r="E64" s="1" t="s">
        <v>20</v>
      </c>
      <c r="F64" s="1" t="s">
        <v>106</v>
      </c>
    </row>
    <row r="65" spans="1:6">
      <c r="A65" s="1" t="s">
        <v>192</v>
      </c>
      <c r="B65" s="2" t="s">
        <v>193</v>
      </c>
      <c r="C6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43240</v>
      </c>
      <c r="D65" s="1" t="s">
        <v>194</v>
      </c>
      <c r="E65" s="1" t="s">
        <v>48</v>
      </c>
      <c r="F65" s="1" t="s">
        <v>49</v>
      </c>
    </row>
    <row r="66" spans="1:6">
      <c r="A66" s="1" t="s">
        <v>195</v>
      </c>
      <c r="B66" s="2" t="s">
        <v>196</v>
      </c>
      <c r="C6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43241</v>
      </c>
      <c r="D66" s="1" t="s">
        <v>197</v>
      </c>
      <c r="E66" s="1" t="s">
        <v>52</v>
      </c>
      <c r="F66" s="1" t="s">
        <v>53</v>
      </c>
    </row>
    <row r="67" spans="1:6">
      <c r="A67" s="1" t="s">
        <v>198</v>
      </c>
      <c r="B67" s="2" t="s">
        <v>199</v>
      </c>
      <c r="C6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43242</v>
      </c>
      <c r="D67" s="1" t="s">
        <v>200</v>
      </c>
      <c r="E67" s="1" t="s">
        <v>56</v>
      </c>
      <c r="F67" s="1" t="s">
        <v>57</v>
      </c>
    </row>
    <row r="68" spans="1:6">
      <c r="A68" s="1" t="s">
        <v>201</v>
      </c>
      <c r="B68" s="2" t="s">
        <v>202</v>
      </c>
      <c r="C6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43243</v>
      </c>
      <c r="D68" s="1" t="s">
        <v>203</v>
      </c>
      <c r="E68" s="1" t="s">
        <v>60</v>
      </c>
      <c r="F68" s="1" t="s">
        <v>57</v>
      </c>
    </row>
    <row r="69" spans="1:6">
      <c r="A69" s="1" t="s">
        <v>204</v>
      </c>
      <c r="B69" s="2" t="s">
        <v>205</v>
      </c>
      <c r="C6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43244</v>
      </c>
      <c r="D69" s="1" t="s">
        <v>206</v>
      </c>
      <c r="E69" s="1" t="s">
        <v>64</v>
      </c>
      <c r="F69" s="1" t="s">
        <v>65</v>
      </c>
    </row>
    <row r="70" spans="1:6">
      <c r="A70" s="1" t="s">
        <v>207</v>
      </c>
      <c r="B70" s="2" t="s">
        <v>208</v>
      </c>
      <c r="C7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43245</v>
      </c>
      <c r="D70" s="1" t="s">
        <v>209</v>
      </c>
      <c r="E70" s="1" t="s">
        <v>69</v>
      </c>
      <c r="F70" s="1" t="s">
        <v>70</v>
      </c>
    </row>
    <row r="71" spans="1:6">
      <c r="A71" s="1" t="s">
        <v>210</v>
      </c>
      <c r="B71" s="2" t="s">
        <v>208</v>
      </c>
      <c r="C7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43245</v>
      </c>
      <c r="D71" s="1" t="s">
        <v>211</v>
      </c>
      <c r="E71" s="1" t="s">
        <v>73</v>
      </c>
      <c r="F71" s="1" t="s">
        <v>73</v>
      </c>
    </row>
    <row r="72" spans="1:6">
      <c r="A72" s="1" t="s">
        <v>212</v>
      </c>
      <c r="B72" s="2" t="s">
        <v>213</v>
      </c>
      <c r="C7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43247</v>
      </c>
      <c r="D72" s="1" t="s">
        <v>214</v>
      </c>
      <c r="E72" s="1" t="s">
        <v>77</v>
      </c>
      <c r="F72" s="1" t="s">
        <v>78</v>
      </c>
    </row>
    <row r="73" spans="1:6">
      <c r="A73" s="1" t="s">
        <v>215</v>
      </c>
      <c r="B73" s="2" t="s">
        <v>216</v>
      </c>
      <c r="C7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43248</v>
      </c>
      <c r="D73" s="1" t="s">
        <v>217</v>
      </c>
      <c r="E73" s="1" t="s">
        <v>82</v>
      </c>
      <c r="F73" s="1" t="s">
        <v>83</v>
      </c>
    </row>
    <row r="74" spans="1:6">
      <c r="A74" s="1" t="s">
        <v>218</v>
      </c>
      <c r="B74" s="2" t="s">
        <v>216</v>
      </c>
      <c r="C7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43248</v>
      </c>
      <c r="D74" s="1" t="s">
        <v>219</v>
      </c>
      <c r="E74" s="1" t="s">
        <v>12</v>
      </c>
      <c r="F74" s="1" t="s">
        <v>13</v>
      </c>
    </row>
    <row r="75" spans="1:6">
      <c r="A75" s="1" t="s">
        <v>220</v>
      </c>
      <c r="B75" s="2" t="s">
        <v>216</v>
      </c>
      <c r="C7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43248</v>
      </c>
      <c r="D75" s="1" t="s">
        <v>221</v>
      </c>
      <c r="E75" s="1" t="s">
        <v>16</v>
      </c>
      <c r="F75" s="1" t="s">
        <v>17</v>
      </c>
    </row>
    <row r="76" spans="1:6">
      <c r="A76" s="1" t="s">
        <v>222</v>
      </c>
      <c r="B76" s="2" t="s">
        <v>223</v>
      </c>
      <c r="C7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43251</v>
      </c>
      <c r="D76" s="1" t="s">
        <v>224</v>
      </c>
      <c r="E76" s="1" t="s">
        <v>20</v>
      </c>
      <c r="F76" s="1" t="s">
        <v>21</v>
      </c>
    </row>
    <row r="77" spans="1:6">
      <c r="A77" s="1" t="s">
        <v>225</v>
      </c>
      <c r="B77" s="2">
        <v>43106</v>
      </c>
      <c r="C7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43252</v>
      </c>
      <c r="D77" s="1" t="s">
        <v>226</v>
      </c>
      <c r="E77" s="1" t="s">
        <v>24</v>
      </c>
      <c r="F77" s="1" t="s">
        <v>25</v>
      </c>
    </row>
    <row r="78" spans="1:6">
      <c r="A78" s="1" t="s">
        <v>227</v>
      </c>
      <c r="B78" s="2">
        <v>43137</v>
      </c>
      <c r="C7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43253</v>
      </c>
      <c r="D78" s="1" t="s">
        <v>228</v>
      </c>
      <c r="E78" s="1" t="s">
        <v>28</v>
      </c>
      <c r="F78" s="1" t="s">
        <v>29</v>
      </c>
    </row>
    <row r="79" spans="1:6">
      <c r="A79" s="1" t="s">
        <v>229</v>
      </c>
      <c r="B79" s="2">
        <v>43165</v>
      </c>
      <c r="C7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43254</v>
      </c>
      <c r="D79" s="1" t="s">
        <v>230</v>
      </c>
      <c r="E79" s="1" t="s">
        <v>32</v>
      </c>
      <c r="F79" s="1" t="s">
        <v>33</v>
      </c>
    </row>
    <row r="80" spans="1:6">
      <c r="A80" s="1" t="s">
        <v>231</v>
      </c>
      <c r="B80" s="2">
        <v>43196</v>
      </c>
      <c r="C8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43255</v>
      </c>
      <c r="D80" s="1" t="s">
        <v>232</v>
      </c>
      <c r="E80" s="1" t="s">
        <v>16</v>
      </c>
      <c r="F80" s="1" t="s">
        <v>103</v>
      </c>
    </row>
    <row r="81" spans="1:6">
      <c r="A81" s="1" t="s">
        <v>233</v>
      </c>
      <c r="B81" s="2">
        <v>43196</v>
      </c>
      <c r="C8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43255</v>
      </c>
      <c r="D81" s="1" t="s">
        <v>234</v>
      </c>
      <c r="E81" s="1" t="s">
        <v>20</v>
      </c>
      <c r="F81" s="1" t="s">
        <v>106</v>
      </c>
    </row>
    <row r="82" spans="1:6">
      <c r="A82" s="1" t="s">
        <v>235</v>
      </c>
      <c r="B82" s="2">
        <v>43196</v>
      </c>
      <c r="C8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43255</v>
      </c>
      <c r="D82" s="1" t="s">
        <v>236</v>
      </c>
      <c r="E82" s="1" t="s">
        <v>20</v>
      </c>
      <c r="F82" s="1" t="s">
        <v>106</v>
      </c>
    </row>
    <row r="83" spans="1:6">
      <c r="A83" s="1" t="s">
        <v>237</v>
      </c>
      <c r="B83" s="2">
        <v>43287</v>
      </c>
      <c r="C8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43258</v>
      </c>
      <c r="D83" s="1" t="s">
        <v>238</v>
      </c>
      <c r="E83" s="1" t="s">
        <v>48</v>
      </c>
      <c r="F83" s="1" t="s">
        <v>49</v>
      </c>
    </row>
    <row r="84" spans="1:6">
      <c r="A84" s="1" t="s">
        <v>239</v>
      </c>
      <c r="B84" s="2">
        <v>43318</v>
      </c>
      <c r="C8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43259</v>
      </c>
      <c r="D84" s="1" t="s">
        <v>224</v>
      </c>
      <c r="E84" s="1" t="s">
        <v>52</v>
      </c>
      <c r="F84" s="1" t="s">
        <v>53</v>
      </c>
    </row>
    <row r="85" spans="1:6">
      <c r="A85" s="1" t="s">
        <v>240</v>
      </c>
      <c r="B85" s="2">
        <v>43349</v>
      </c>
      <c r="C8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43260</v>
      </c>
      <c r="D85" s="1" t="s">
        <v>241</v>
      </c>
      <c r="E85" s="1" t="s">
        <v>16</v>
      </c>
      <c r="F85" s="1" t="s">
        <v>103</v>
      </c>
    </row>
    <row r="86" spans="1:6">
      <c r="A86" s="1" t="s">
        <v>242</v>
      </c>
      <c r="B86" s="2">
        <v>43379</v>
      </c>
      <c r="C8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43261</v>
      </c>
      <c r="D86" s="1" t="s">
        <v>243</v>
      </c>
      <c r="E86" s="1" t="s">
        <v>20</v>
      </c>
      <c r="F86" s="1" t="s">
        <v>106</v>
      </c>
    </row>
    <row r="87" spans="1:6">
      <c r="A87" s="1" t="s">
        <v>244</v>
      </c>
      <c r="B87" s="2">
        <v>43410</v>
      </c>
      <c r="C8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43262</v>
      </c>
      <c r="D87" s="1" t="s">
        <v>109</v>
      </c>
      <c r="E87" s="1" t="s">
        <v>64</v>
      </c>
      <c r="F87" s="1" t="s">
        <v>65</v>
      </c>
    </row>
    <row r="88" spans="1:6">
      <c r="A88" s="1" t="s">
        <v>245</v>
      </c>
      <c r="B88" s="2">
        <v>43410</v>
      </c>
      <c r="C8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43262</v>
      </c>
      <c r="D88" s="1" t="s">
        <v>246</v>
      </c>
      <c r="E88" s="1" t="s">
        <v>16</v>
      </c>
      <c r="F88" s="1" t="s">
        <v>103</v>
      </c>
    </row>
    <row r="89" spans="1:6">
      <c r="A89" s="1" t="s">
        <v>247</v>
      </c>
      <c r="B89" s="2">
        <v>43410</v>
      </c>
      <c r="C8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43262</v>
      </c>
      <c r="D89" s="1" t="s">
        <v>248</v>
      </c>
      <c r="E89" s="1" t="s">
        <v>20</v>
      </c>
      <c r="F89" s="1" t="s">
        <v>106</v>
      </c>
    </row>
    <row r="90" spans="1:6">
      <c r="A90" s="1" t="s">
        <v>249</v>
      </c>
      <c r="B90" s="2" t="s">
        <v>250</v>
      </c>
      <c r="C9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43265</v>
      </c>
      <c r="D90" s="1" t="s">
        <v>251</v>
      </c>
      <c r="E90" s="1" t="s">
        <v>16</v>
      </c>
      <c r="F90" s="1" t="s">
        <v>103</v>
      </c>
    </row>
    <row r="91" spans="1:6">
      <c r="A91" s="1" t="s">
        <v>252</v>
      </c>
      <c r="B91" s="2" t="s">
        <v>253</v>
      </c>
      <c r="C9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43266</v>
      </c>
      <c r="D91" s="1" t="s">
        <v>254</v>
      </c>
      <c r="E91" s="1" t="s">
        <v>20</v>
      </c>
      <c r="F91" s="1" t="s">
        <v>106</v>
      </c>
    </row>
    <row r="92" spans="1:6">
      <c r="A92" s="1" t="s">
        <v>255</v>
      </c>
      <c r="B92" s="2" t="s">
        <v>256</v>
      </c>
      <c r="C9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43267</v>
      </c>
      <c r="D92" s="1" t="s">
        <v>257</v>
      </c>
      <c r="E92" s="1" t="s">
        <v>16</v>
      </c>
      <c r="F92" s="1" t="s">
        <v>103</v>
      </c>
    </row>
    <row r="93" spans="1:6">
      <c r="A93" s="1" t="s">
        <v>258</v>
      </c>
      <c r="B93" s="2" t="s">
        <v>259</v>
      </c>
      <c r="C9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43268</v>
      </c>
      <c r="D93" s="1" t="s">
        <v>260</v>
      </c>
      <c r="E93" s="1" t="s">
        <v>20</v>
      </c>
      <c r="F93" s="1" t="s">
        <v>106</v>
      </c>
    </row>
    <row r="94" spans="1:6">
      <c r="A94" s="1" t="s">
        <v>261</v>
      </c>
      <c r="B94" s="2" t="s">
        <v>262</v>
      </c>
      <c r="C9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43269</v>
      </c>
      <c r="D94" s="1" t="s">
        <v>263</v>
      </c>
      <c r="E94" s="1" t="s">
        <v>20</v>
      </c>
      <c r="F94" s="1" t="s">
        <v>21</v>
      </c>
    </row>
    <row r="95" spans="1:6">
      <c r="A95" s="1" t="s">
        <v>264</v>
      </c>
      <c r="B95" s="2" t="s">
        <v>262</v>
      </c>
      <c r="C9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43269</v>
      </c>
      <c r="D95" s="1" t="s">
        <v>265</v>
      </c>
      <c r="E95" s="1" t="s">
        <v>24</v>
      </c>
      <c r="F95" s="1" t="s">
        <v>25</v>
      </c>
    </row>
    <row r="96" spans="1:6">
      <c r="A96" s="1" t="s">
        <v>266</v>
      </c>
      <c r="B96" s="2" t="s">
        <v>262</v>
      </c>
      <c r="C9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43269</v>
      </c>
      <c r="D96" s="1" t="s">
        <v>267</v>
      </c>
      <c r="E96" s="1" t="s">
        <v>28</v>
      </c>
      <c r="F96" s="1" t="s">
        <v>29</v>
      </c>
    </row>
    <row r="97" spans="1:6">
      <c r="A97" s="1" t="s">
        <v>268</v>
      </c>
      <c r="B97" s="2" t="s">
        <v>269</v>
      </c>
      <c r="C9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43272</v>
      </c>
      <c r="D97" s="1" t="s">
        <v>270</v>
      </c>
      <c r="E97" s="1" t="s">
        <v>32</v>
      </c>
      <c r="F97" s="1" t="s">
        <v>33</v>
      </c>
    </row>
    <row r="98" spans="1:6">
      <c r="A98" s="1" t="s">
        <v>271</v>
      </c>
      <c r="B98" s="2" t="s">
        <v>272</v>
      </c>
      <c r="C9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43273</v>
      </c>
      <c r="D98" s="1" t="s">
        <v>273</v>
      </c>
      <c r="E98" s="1" t="s">
        <v>36</v>
      </c>
      <c r="F98" s="1" t="s">
        <v>37</v>
      </c>
    </row>
    <row r="99" spans="1:6">
      <c r="A99" s="1" t="s">
        <v>274</v>
      </c>
      <c r="B99" s="2" t="s">
        <v>275</v>
      </c>
      <c r="C9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43274</v>
      </c>
      <c r="D99" s="1" t="s">
        <v>276</v>
      </c>
      <c r="E99" s="1" t="s">
        <v>40</v>
      </c>
      <c r="F99" s="1" t="s">
        <v>41</v>
      </c>
    </row>
    <row r="100" spans="1:6">
      <c r="A100" s="1" t="s">
        <v>277</v>
      </c>
      <c r="B100" s="2" t="s">
        <v>278</v>
      </c>
      <c r="C10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43275</v>
      </c>
      <c r="D100" s="1" t="s">
        <v>279</v>
      </c>
      <c r="E100" s="1" t="s">
        <v>44</v>
      </c>
      <c r="F100" s="1" t="s">
        <v>45</v>
      </c>
    </row>
    <row r="101" spans="1:6">
      <c r="A101" s="1" t="s">
        <v>280</v>
      </c>
      <c r="B101" s="2" t="s">
        <v>281</v>
      </c>
      <c r="C10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43276</v>
      </c>
      <c r="D101" s="1" t="s">
        <v>282</v>
      </c>
      <c r="E101" s="1" t="s">
        <v>16</v>
      </c>
      <c r="F101" s="1" t="s">
        <v>103</v>
      </c>
    </row>
    <row r="102" spans="1:6">
      <c r="A102" s="1" t="s">
        <v>283</v>
      </c>
      <c r="B102" s="2" t="s">
        <v>284</v>
      </c>
      <c r="C10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43277</v>
      </c>
      <c r="D102" s="1" t="s">
        <v>285</v>
      </c>
      <c r="E102" s="1" t="s">
        <v>20</v>
      </c>
      <c r="F102" s="1" t="s">
        <v>106</v>
      </c>
    </row>
    <row r="103" spans="1:6">
      <c r="A103" s="1" t="s">
        <v>286</v>
      </c>
      <c r="B103" s="2" t="s">
        <v>287</v>
      </c>
      <c r="C10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43278</v>
      </c>
      <c r="D103" s="1" t="s">
        <v>288</v>
      </c>
      <c r="E103" s="1" t="s">
        <v>16</v>
      </c>
      <c r="F103" s="1" t="s">
        <v>103</v>
      </c>
    </row>
    <row r="104" spans="1:6">
      <c r="A104" s="1" t="s">
        <v>289</v>
      </c>
      <c r="B104" s="2" t="s">
        <v>290</v>
      </c>
      <c r="C10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43279</v>
      </c>
      <c r="D104" s="1" t="s">
        <v>228</v>
      </c>
      <c r="E104" s="1" t="s">
        <v>20</v>
      </c>
      <c r="F104" s="1" t="s">
        <v>106</v>
      </c>
    </row>
    <row r="105" spans="1:6">
      <c r="A105" s="1" t="s">
        <v>291</v>
      </c>
      <c r="B105" s="2" t="s">
        <v>292</v>
      </c>
      <c r="C10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43280</v>
      </c>
      <c r="D105" s="1" t="s">
        <v>293</v>
      </c>
      <c r="E105" s="1" t="s">
        <v>16</v>
      </c>
      <c r="F105" s="1" t="s">
        <v>103</v>
      </c>
    </row>
    <row r="106" spans="1:6">
      <c r="A106" s="1" t="s">
        <v>294</v>
      </c>
      <c r="B106" s="2" t="s">
        <v>295</v>
      </c>
      <c r="C10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43281</v>
      </c>
      <c r="D106" s="1" t="s">
        <v>296</v>
      </c>
      <c r="E106" s="1" t="s">
        <v>20</v>
      </c>
      <c r="F106" s="1" t="s">
        <v>106</v>
      </c>
    </row>
    <row r="107" spans="1:6">
      <c r="A107" s="1" t="s">
        <v>297</v>
      </c>
      <c r="B107" s="2">
        <v>43107</v>
      </c>
      <c r="C10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43282</v>
      </c>
      <c r="D107" s="1" t="s">
        <v>298</v>
      </c>
      <c r="E107" s="1" t="s">
        <v>73</v>
      </c>
      <c r="F107" s="1" t="s">
        <v>73</v>
      </c>
    </row>
    <row r="108" spans="1:6">
      <c r="A108" s="1" t="s">
        <v>299</v>
      </c>
      <c r="B108" s="2">
        <v>43107</v>
      </c>
      <c r="C10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43282</v>
      </c>
      <c r="D108" s="1" t="s">
        <v>300</v>
      </c>
      <c r="E108" s="1" t="s">
        <v>16</v>
      </c>
      <c r="F108" s="1" t="s">
        <v>103</v>
      </c>
    </row>
    <row r="109" spans="1:6">
      <c r="A109" s="1" t="s">
        <v>301</v>
      </c>
      <c r="B109" s="2">
        <v>43107</v>
      </c>
      <c r="C10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43282</v>
      </c>
      <c r="D109" s="1" t="s">
        <v>302</v>
      </c>
      <c r="E109" s="1" t="s">
        <v>20</v>
      </c>
      <c r="F109" s="1" t="s">
        <v>106</v>
      </c>
    </row>
    <row r="110" spans="1:6">
      <c r="A110" s="1" t="s">
        <v>303</v>
      </c>
      <c r="B110" s="2">
        <v>43107</v>
      </c>
      <c r="C11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43282</v>
      </c>
      <c r="D110" s="1" t="s">
        <v>304</v>
      </c>
      <c r="E110" s="1" t="s">
        <v>20</v>
      </c>
      <c r="F110" s="1" t="s">
        <v>106</v>
      </c>
    </row>
    <row r="111" spans="1:6">
      <c r="A111" s="1" t="s">
        <v>305</v>
      </c>
      <c r="B111" s="2">
        <v>43227</v>
      </c>
      <c r="C11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43286</v>
      </c>
      <c r="D111" s="1" t="s">
        <v>306</v>
      </c>
      <c r="E111" s="1" t="s">
        <v>16</v>
      </c>
      <c r="F111" s="1" t="s">
        <v>17</v>
      </c>
    </row>
    <row r="112" spans="1:6">
      <c r="A112" s="1" t="s">
        <v>307</v>
      </c>
      <c r="B112" s="2">
        <v>43258</v>
      </c>
      <c r="C11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43287</v>
      </c>
      <c r="D112" s="1" t="s">
        <v>308</v>
      </c>
      <c r="E112" s="1" t="s">
        <v>20</v>
      </c>
      <c r="F112" s="1" t="s">
        <v>21</v>
      </c>
    </row>
    <row r="113" spans="1:6">
      <c r="A113" s="1" t="s">
        <v>309</v>
      </c>
      <c r="B113" s="2">
        <v>43288</v>
      </c>
      <c r="C11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43288</v>
      </c>
      <c r="D113" s="1" t="s">
        <v>310</v>
      </c>
      <c r="E113" s="1" t="s">
        <v>24</v>
      </c>
      <c r="F113" s="1" t="s">
        <v>25</v>
      </c>
    </row>
    <row r="114" spans="1:6">
      <c r="A114" s="1" t="s">
        <v>311</v>
      </c>
      <c r="B114" s="2">
        <v>43319</v>
      </c>
      <c r="C11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43289</v>
      </c>
      <c r="D114" s="1" t="s">
        <v>312</v>
      </c>
      <c r="E114" s="1" t="s">
        <v>28</v>
      </c>
      <c r="F114" s="1" t="s">
        <v>29</v>
      </c>
    </row>
    <row r="115" spans="1:6">
      <c r="A115" s="1" t="s">
        <v>313</v>
      </c>
      <c r="B115" s="2">
        <v>43350</v>
      </c>
      <c r="C11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43290</v>
      </c>
      <c r="D115" s="1" t="s">
        <v>314</v>
      </c>
      <c r="E115" s="1" t="s">
        <v>32</v>
      </c>
      <c r="F115" s="1" t="s">
        <v>33</v>
      </c>
    </row>
    <row r="116" spans="1:6">
      <c r="A116" s="1" t="s">
        <v>315</v>
      </c>
      <c r="B116" s="2">
        <v>43380</v>
      </c>
      <c r="C11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43291</v>
      </c>
      <c r="D116" s="1" t="s">
        <v>316</v>
      </c>
      <c r="E116" s="1" t="s">
        <v>36</v>
      </c>
      <c r="F116" s="1" t="s">
        <v>37</v>
      </c>
    </row>
    <row r="117" spans="1:6">
      <c r="A117" s="1" t="s">
        <v>317</v>
      </c>
      <c r="B117" s="2">
        <v>43411</v>
      </c>
      <c r="C11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43292</v>
      </c>
      <c r="D117" s="1" t="s">
        <v>318</v>
      </c>
      <c r="E117" s="1" t="s">
        <v>40</v>
      </c>
      <c r="F117" s="1" t="s">
        <v>41</v>
      </c>
    </row>
    <row r="118" spans="1:6">
      <c r="A118" s="1" t="s">
        <v>319</v>
      </c>
      <c r="B118" s="2">
        <v>43441</v>
      </c>
      <c r="C11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43293</v>
      </c>
      <c r="D118" s="1" t="s">
        <v>320</v>
      </c>
      <c r="E118" s="1" t="s">
        <v>44</v>
      </c>
      <c r="F118" s="1" t="s">
        <v>45</v>
      </c>
    </row>
    <row r="119" spans="1:6">
      <c r="A119" s="1" t="s">
        <v>321</v>
      </c>
      <c r="B119" s="2">
        <v>43441</v>
      </c>
      <c r="C11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43293</v>
      </c>
      <c r="D119" s="1" t="s">
        <v>203</v>
      </c>
      <c r="E119" s="1" t="s">
        <v>16</v>
      </c>
      <c r="F119" s="1" t="s">
        <v>103</v>
      </c>
    </row>
    <row r="120" spans="1:6">
      <c r="A120" s="1" t="s">
        <v>322</v>
      </c>
      <c r="B120" s="2">
        <v>43441</v>
      </c>
      <c r="C12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43293</v>
      </c>
      <c r="D120" s="1" t="s">
        <v>260</v>
      </c>
      <c r="E120" s="1" t="s">
        <v>20</v>
      </c>
      <c r="F120" s="1" t="s">
        <v>106</v>
      </c>
    </row>
    <row r="121" spans="1:6">
      <c r="A121" s="1" t="s">
        <v>323</v>
      </c>
      <c r="B121" s="2" t="s">
        <v>324</v>
      </c>
      <c r="C12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43296</v>
      </c>
      <c r="D121" s="1" t="s">
        <v>325</v>
      </c>
      <c r="E121" s="1" t="s">
        <v>56</v>
      </c>
      <c r="F121" s="1" t="s">
        <v>57</v>
      </c>
    </row>
    <row r="122" spans="1:6">
      <c r="A122" s="1" t="s">
        <v>326</v>
      </c>
      <c r="B122" s="2" t="s">
        <v>327</v>
      </c>
      <c r="C12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43297</v>
      </c>
      <c r="D122" s="1" t="s">
        <v>328</v>
      </c>
      <c r="E122" s="1" t="s">
        <v>60</v>
      </c>
      <c r="F122" s="1" t="s">
        <v>57</v>
      </c>
    </row>
    <row r="123" spans="1:6">
      <c r="A123" s="1" t="s">
        <v>329</v>
      </c>
      <c r="B123" s="2" t="s">
        <v>330</v>
      </c>
      <c r="C12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43298</v>
      </c>
      <c r="D123" s="1" t="s">
        <v>331</v>
      </c>
      <c r="E123" s="1" t="s">
        <v>64</v>
      </c>
      <c r="F123" s="1" t="s">
        <v>65</v>
      </c>
    </row>
    <row r="124" spans="1:6">
      <c r="A124" s="1" t="s">
        <v>332</v>
      </c>
      <c r="B124" s="2" t="s">
        <v>333</v>
      </c>
      <c r="C12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43299</v>
      </c>
      <c r="D124" s="1" t="s">
        <v>334</v>
      </c>
      <c r="E124" s="1" t="s">
        <v>16</v>
      </c>
      <c r="F124" s="1" t="s">
        <v>103</v>
      </c>
    </row>
    <row r="125" spans="1:6">
      <c r="A125" s="1" t="s">
        <v>335</v>
      </c>
      <c r="B125" s="2" t="s">
        <v>336</v>
      </c>
      <c r="C12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43300</v>
      </c>
      <c r="D125" s="1" t="s">
        <v>243</v>
      </c>
      <c r="E125" s="1" t="s">
        <v>20</v>
      </c>
      <c r="F125" s="1" t="s">
        <v>106</v>
      </c>
    </row>
    <row r="126" spans="1:6">
      <c r="A126" s="1" t="s">
        <v>337</v>
      </c>
      <c r="B126" s="2" t="s">
        <v>338</v>
      </c>
      <c r="C12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43301</v>
      </c>
      <c r="D126" s="1" t="s">
        <v>339</v>
      </c>
      <c r="E126" s="1" t="s">
        <v>77</v>
      </c>
      <c r="F126" s="1" t="s">
        <v>78</v>
      </c>
    </row>
    <row r="127" spans="1:6">
      <c r="A127" s="1" t="s">
        <v>340</v>
      </c>
      <c r="B127" s="2" t="s">
        <v>341</v>
      </c>
      <c r="C12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43302</v>
      </c>
      <c r="D127" s="1" t="s">
        <v>342</v>
      </c>
      <c r="E127" s="1" t="s">
        <v>16</v>
      </c>
      <c r="F127" s="1" t="s">
        <v>103</v>
      </c>
    </row>
    <row r="128" spans="1:6">
      <c r="A128" s="1" t="s">
        <v>343</v>
      </c>
      <c r="B128" s="2" t="s">
        <v>344</v>
      </c>
      <c r="C12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43303</v>
      </c>
      <c r="D128" s="1" t="s">
        <v>345</v>
      </c>
      <c r="E128" s="1" t="s">
        <v>20</v>
      </c>
      <c r="F128" s="1" t="s">
        <v>106</v>
      </c>
    </row>
    <row r="129" spans="1:6">
      <c r="A129" s="1" t="s">
        <v>346</v>
      </c>
      <c r="B129" s="2" t="s">
        <v>344</v>
      </c>
      <c r="C12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43303</v>
      </c>
      <c r="D129" s="1" t="s">
        <v>347</v>
      </c>
      <c r="E129" s="1" t="s">
        <v>16</v>
      </c>
      <c r="F129" s="1" t="s">
        <v>17</v>
      </c>
    </row>
    <row r="130" spans="1:6">
      <c r="A130" s="1" t="s">
        <v>348</v>
      </c>
      <c r="B130" s="2" t="s">
        <v>344</v>
      </c>
      <c r="C13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43303</v>
      </c>
      <c r="D130" s="1" t="s">
        <v>349</v>
      </c>
      <c r="E130" s="1" t="s">
        <v>20</v>
      </c>
      <c r="F130" s="1" t="s">
        <v>21</v>
      </c>
    </row>
    <row r="131" spans="1:6">
      <c r="A131" s="1" t="s">
        <v>350</v>
      </c>
      <c r="B131" s="2" t="s">
        <v>344</v>
      </c>
      <c r="C13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43303</v>
      </c>
      <c r="D131" s="1" t="s">
        <v>351</v>
      </c>
      <c r="E131" s="1" t="s">
        <v>24</v>
      </c>
      <c r="F131" s="1" t="s">
        <v>25</v>
      </c>
    </row>
    <row r="132" spans="1:6">
      <c r="A132" s="1" t="s">
        <v>352</v>
      </c>
      <c r="B132" s="2" t="s">
        <v>353</v>
      </c>
      <c r="C13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43307</v>
      </c>
      <c r="D132" s="1" t="s">
        <v>354</v>
      </c>
      <c r="E132" s="1" t="s">
        <v>28</v>
      </c>
      <c r="F132" s="1" t="s">
        <v>29</v>
      </c>
    </row>
    <row r="133" spans="1:6">
      <c r="A133" s="1" t="s">
        <v>355</v>
      </c>
      <c r="B133" s="2" t="s">
        <v>356</v>
      </c>
      <c r="C13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43308</v>
      </c>
      <c r="D133" s="1" t="s">
        <v>357</v>
      </c>
      <c r="E133" s="1" t="s">
        <v>32</v>
      </c>
      <c r="F133" s="1" t="s">
        <v>33</v>
      </c>
    </row>
    <row r="134" spans="1:6">
      <c r="A134" s="1" t="s">
        <v>358</v>
      </c>
      <c r="B134" s="2" t="s">
        <v>359</v>
      </c>
      <c r="C13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43309</v>
      </c>
      <c r="D134" s="1" t="s">
        <v>360</v>
      </c>
      <c r="E134" s="1" t="s">
        <v>16</v>
      </c>
      <c r="F134" s="1" t="s">
        <v>103</v>
      </c>
    </row>
    <row r="135" spans="1:6">
      <c r="A135" s="1" t="s">
        <v>361</v>
      </c>
      <c r="B135" s="2" t="s">
        <v>362</v>
      </c>
      <c r="C13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43310</v>
      </c>
      <c r="D135" s="1" t="s">
        <v>363</v>
      </c>
      <c r="E135" s="1" t="s">
        <v>20</v>
      </c>
      <c r="F135" s="1" t="s">
        <v>106</v>
      </c>
    </row>
    <row r="136" spans="1:6">
      <c r="A136" s="1" t="s">
        <v>364</v>
      </c>
      <c r="B136" s="2" t="s">
        <v>365</v>
      </c>
      <c r="C13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43311</v>
      </c>
      <c r="D136" s="1" t="s">
        <v>366</v>
      </c>
      <c r="E136" s="1" t="s">
        <v>44</v>
      </c>
      <c r="F136" s="1" t="s">
        <v>45</v>
      </c>
    </row>
    <row r="137" spans="1:6">
      <c r="A137" s="1" t="s">
        <v>367</v>
      </c>
      <c r="B137" s="2" t="s">
        <v>368</v>
      </c>
      <c r="C13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43312</v>
      </c>
      <c r="D137" s="1" t="s">
        <v>369</v>
      </c>
      <c r="E137" s="1" t="s">
        <v>16</v>
      </c>
      <c r="F137" s="1" t="s">
        <v>103</v>
      </c>
    </row>
    <row r="138" spans="1:6">
      <c r="A138" s="1" t="s">
        <v>370</v>
      </c>
      <c r="B138" s="2">
        <v>43108</v>
      </c>
      <c r="C13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43313</v>
      </c>
      <c r="D138" s="1" t="s">
        <v>371</v>
      </c>
      <c r="E138" s="1" t="s">
        <v>20</v>
      </c>
      <c r="F138" s="1" t="s">
        <v>106</v>
      </c>
    </row>
    <row r="139" spans="1:6">
      <c r="A139" s="1" t="s">
        <v>372</v>
      </c>
      <c r="B139" s="2">
        <v>43139</v>
      </c>
      <c r="C13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43314</v>
      </c>
      <c r="D139" s="1" t="s">
        <v>373</v>
      </c>
      <c r="E139" s="1" t="s">
        <v>56</v>
      </c>
      <c r="F139" s="1" t="s">
        <v>57</v>
      </c>
    </row>
    <row r="140" spans="1:6">
      <c r="A140" s="1" t="s">
        <v>374</v>
      </c>
      <c r="B140" s="2">
        <v>43167</v>
      </c>
      <c r="C14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43315</v>
      </c>
      <c r="D140" s="1" t="s">
        <v>375</v>
      </c>
      <c r="E140" s="1" t="s">
        <v>60</v>
      </c>
      <c r="F140" s="1" t="s">
        <v>57</v>
      </c>
    </row>
    <row r="141" spans="1:6">
      <c r="A141" s="1" t="s">
        <v>376</v>
      </c>
      <c r="B141" s="2">
        <v>43167</v>
      </c>
      <c r="C14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43315</v>
      </c>
      <c r="D141" s="1" t="s">
        <v>377</v>
      </c>
      <c r="E141" s="1" t="s">
        <v>16</v>
      </c>
      <c r="F141" s="1" t="s">
        <v>103</v>
      </c>
    </row>
    <row r="142" spans="1:6">
      <c r="A142" s="1" t="s">
        <v>378</v>
      </c>
      <c r="B142" s="2">
        <v>43167</v>
      </c>
      <c r="C14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43315</v>
      </c>
      <c r="D142" s="1" t="s">
        <v>379</v>
      </c>
      <c r="E142" s="1" t="s">
        <v>20</v>
      </c>
      <c r="F142" s="1" t="s">
        <v>106</v>
      </c>
    </row>
    <row r="143" spans="1:6">
      <c r="A143" s="1" t="s">
        <v>380</v>
      </c>
      <c r="B143" s="2">
        <v>43167</v>
      </c>
      <c r="C14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43315</v>
      </c>
      <c r="D143" s="1" t="s">
        <v>381</v>
      </c>
      <c r="E143" s="1" t="s">
        <v>73</v>
      </c>
      <c r="F143" s="1" t="s">
        <v>73</v>
      </c>
    </row>
    <row r="144" spans="1:6">
      <c r="A144" s="1" t="s">
        <v>382</v>
      </c>
      <c r="B144" s="2">
        <v>43289</v>
      </c>
      <c r="C14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43319</v>
      </c>
      <c r="D144" s="1" t="s">
        <v>383</v>
      </c>
      <c r="E144" s="1" t="s">
        <v>77</v>
      </c>
      <c r="F144" s="1" t="s">
        <v>78</v>
      </c>
    </row>
    <row r="145" spans="1:6">
      <c r="A145" s="1" t="s">
        <v>384</v>
      </c>
      <c r="B145" s="2">
        <v>43320</v>
      </c>
      <c r="C14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43320</v>
      </c>
      <c r="D145" s="1" t="s">
        <v>385</v>
      </c>
      <c r="E145" s="1" t="s">
        <v>82</v>
      </c>
      <c r="F145" s="1" t="s">
        <v>83</v>
      </c>
    </row>
    <row r="146" spans="1:6">
      <c r="A146" s="1" t="s">
        <v>386</v>
      </c>
      <c r="B146" s="2">
        <v>43351</v>
      </c>
      <c r="C14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43321</v>
      </c>
      <c r="D146" s="1" t="s">
        <v>387</v>
      </c>
      <c r="E146" s="1" t="s">
        <v>12</v>
      </c>
      <c r="F146" s="1" t="s">
        <v>13</v>
      </c>
    </row>
    <row r="147" spans="1:6">
      <c r="A147" s="1" t="s">
        <v>388</v>
      </c>
      <c r="B147" s="2">
        <v>43381</v>
      </c>
      <c r="C14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43322</v>
      </c>
      <c r="D147" s="1" t="s">
        <v>389</v>
      </c>
      <c r="E147" s="1" t="s">
        <v>16</v>
      </c>
      <c r="F147" s="1" t="s">
        <v>17</v>
      </c>
    </row>
    <row r="148" spans="1:6">
      <c r="A148" s="1" t="s">
        <v>390</v>
      </c>
      <c r="B148" s="2">
        <v>43412</v>
      </c>
      <c r="C14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43323</v>
      </c>
      <c r="D148" s="1" t="s">
        <v>391</v>
      </c>
      <c r="E148" s="1" t="s">
        <v>20</v>
      </c>
      <c r="F148" s="1" t="s">
        <v>21</v>
      </c>
    </row>
    <row r="149" spans="1:6">
      <c r="A149" s="1" t="s">
        <v>392</v>
      </c>
      <c r="B149" s="2">
        <v>43442</v>
      </c>
      <c r="C14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43324</v>
      </c>
      <c r="D149" s="1" t="s">
        <v>393</v>
      </c>
      <c r="E149" s="1" t="s">
        <v>24</v>
      </c>
      <c r="F149" s="1" t="s">
        <v>25</v>
      </c>
    </row>
    <row r="150" spans="1:6">
      <c r="A150" s="1" t="s">
        <v>394</v>
      </c>
      <c r="B150" s="2" t="s">
        <v>395</v>
      </c>
      <c r="C15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43325</v>
      </c>
      <c r="D150" s="1" t="s">
        <v>373</v>
      </c>
      <c r="E150" s="1" t="s">
        <v>16</v>
      </c>
      <c r="F150" s="1" t="s">
        <v>103</v>
      </c>
    </row>
    <row r="151" spans="1:6">
      <c r="A151" s="1" t="s">
        <v>396</v>
      </c>
      <c r="B151" s="2" t="s">
        <v>397</v>
      </c>
      <c r="C15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43326</v>
      </c>
      <c r="D151" s="1" t="s">
        <v>398</v>
      </c>
      <c r="E151" s="1" t="s">
        <v>20</v>
      </c>
      <c r="F151" s="1" t="s">
        <v>106</v>
      </c>
    </row>
    <row r="152" spans="1:6">
      <c r="A152" s="1" t="s">
        <v>399</v>
      </c>
      <c r="B152" s="2" t="s">
        <v>397</v>
      </c>
      <c r="C15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43326</v>
      </c>
      <c r="D152" s="1" t="s">
        <v>400</v>
      </c>
      <c r="E152" s="1" t="s">
        <v>16</v>
      </c>
      <c r="F152" s="1" t="s">
        <v>103</v>
      </c>
    </row>
    <row r="153" spans="1:6">
      <c r="A153" s="1" t="s">
        <v>401</v>
      </c>
      <c r="B153" s="2" t="s">
        <v>397</v>
      </c>
      <c r="C15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43326</v>
      </c>
      <c r="D153" s="1" t="s">
        <v>402</v>
      </c>
      <c r="E153" s="1" t="s">
        <v>20</v>
      </c>
      <c r="F153" s="1" t="s">
        <v>106</v>
      </c>
    </row>
    <row r="154" spans="1:6">
      <c r="A154" s="1" t="s">
        <v>403</v>
      </c>
      <c r="B154" s="2" t="s">
        <v>404</v>
      </c>
      <c r="C15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43329</v>
      </c>
      <c r="D154" s="1" t="s">
        <v>389</v>
      </c>
      <c r="E154" s="1" t="s">
        <v>44</v>
      </c>
      <c r="F154" s="1" t="s">
        <v>45</v>
      </c>
    </row>
    <row r="155" spans="1:6">
      <c r="A155" s="1" t="s">
        <v>405</v>
      </c>
      <c r="B155" s="2" t="s">
        <v>406</v>
      </c>
      <c r="C15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43330</v>
      </c>
      <c r="D155" s="1" t="s">
        <v>407</v>
      </c>
      <c r="E155" s="1" t="s">
        <v>48</v>
      </c>
      <c r="F155" s="1" t="s">
        <v>49</v>
      </c>
    </row>
    <row r="156" spans="1:6">
      <c r="A156" s="1" t="s">
        <v>408</v>
      </c>
      <c r="B156" s="2" t="s">
        <v>409</v>
      </c>
      <c r="C15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43331</v>
      </c>
      <c r="D156" s="1" t="s">
        <v>410</v>
      </c>
      <c r="E156" s="1" t="s">
        <v>52</v>
      </c>
      <c r="F156" s="1" t="s">
        <v>53</v>
      </c>
    </row>
    <row r="157" spans="1:6">
      <c r="A157" s="1" t="s">
        <v>411</v>
      </c>
      <c r="B157" s="2" t="s">
        <v>412</v>
      </c>
      <c r="C15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43332</v>
      </c>
      <c r="D157" s="1" t="s">
        <v>413</v>
      </c>
      <c r="E157" s="1" t="s">
        <v>16</v>
      </c>
      <c r="F157" s="1" t="s">
        <v>103</v>
      </c>
    </row>
    <row r="158" spans="1:6">
      <c r="A158" s="1" t="s">
        <v>414</v>
      </c>
      <c r="B158" s="2" t="s">
        <v>415</v>
      </c>
      <c r="C15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43333</v>
      </c>
      <c r="D158" s="1" t="s">
        <v>416</v>
      </c>
      <c r="E158" s="1" t="s">
        <v>20</v>
      </c>
      <c r="F158" s="1" t="s">
        <v>106</v>
      </c>
    </row>
    <row r="159" spans="1:6">
      <c r="A159" s="1" t="s">
        <v>417</v>
      </c>
      <c r="B159" s="2" t="s">
        <v>418</v>
      </c>
      <c r="C15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43334</v>
      </c>
      <c r="D159" s="1" t="s">
        <v>371</v>
      </c>
      <c r="E159" s="1" t="s">
        <v>64</v>
      </c>
      <c r="F159" s="1" t="s">
        <v>65</v>
      </c>
    </row>
    <row r="160" spans="1:6">
      <c r="A160" s="1" t="s">
        <v>419</v>
      </c>
      <c r="B160" s="2" t="s">
        <v>420</v>
      </c>
      <c r="C16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43335</v>
      </c>
      <c r="D160" s="1" t="s">
        <v>421</v>
      </c>
      <c r="E160" s="1" t="s">
        <v>69</v>
      </c>
      <c r="F160" s="1" t="s">
        <v>70</v>
      </c>
    </row>
    <row r="161" spans="1:6">
      <c r="A161" s="1" t="s">
        <v>422</v>
      </c>
      <c r="B161" s="2" t="s">
        <v>423</v>
      </c>
      <c r="C16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43336</v>
      </c>
      <c r="D161" s="1" t="s">
        <v>109</v>
      </c>
      <c r="E161" s="1" t="s">
        <v>73</v>
      </c>
      <c r="F161" s="1" t="s">
        <v>73</v>
      </c>
    </row>
    <row r="162" spans="1:6">
      <c r="A162" s="1" t="s">
        <v>424</v>
      </c>
      <c r="B162" s="2" t="s">
        <v>425</v>
      </c>
      <c r="C16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43337</v>
      </c>
      <c r="D162" s="1" t="s">
        <v>318</v>
      </c>
      <c r="E162" s="1" t="s">
        <v>16</v>
      </c>
      <c r="F162" s="1" t="s">
        <v>103</v>
      </c>
    </row>
    <row r="163" spans="1:6">
      <c r="A163" s="1" t="s">
        <v>426</v>
      </c>
      <c r="B163" s="2" t="s">
        <v>427</v>
      </c>
      <c r="C16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43338</v>
      </c>
      <c r="D163" s="1" t="s">
        <v>428</v>
      </c>
      <c r="E163" s="1" t="s">
        <v>20</v>
      </c>
      <c r="F163" s="1" t="s">
        <v>106</v>
      </c>
    </row>
    <row r="164" spans="1:6">
      <c r="A164" s="1" t="s">
        <v>429</v>
      </c>
      <c r="B164" s="2" t="s">
        <v>430</v>
      </c>
      <c r="C16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43339</v>
      </c>
      <c r="D164" s="1" t="s">
        <v>431</v>
      </c>
      <c r="E164" s="1" t="s">
        <v>12</v>
      </c>
      <c r="F164" s="1" t="s">
        <v>13</v>
      </c>
    </row>
    <row r="165" spans="1:6">
      <c r="A165" s="1" t="s">
        <v>432</v>
      </c>
      <c r="B165" s="2" t="s">
        <v>433</v>
      </c>
      <c r="C16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43340</v>
      </c>
      <c r="D165" s="1" t="s">
        <v>434</v>
      </c>
      <c r="E165" s="1" t="s">
        <v>16</v>
      </c>
      <c r="F165" s="1" t="s">
        <v>17</v>
      </c>
    </row>
    <row r="166" spans="1:6">
      <c r="A166" s="1" t="s">
        <v>435</v>
      </c>
      <c r="B166" s="2" t="s">
        <v>436</v>
      </c>
      <c r="C16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43341</v>
      </c>
      <c r="D166" s="1" t="s">
        <v>437</v>
      </c>
      <c r="E166" s="1" t="s">
        <v>20</v>
      </c>
      <c r="F166" s="1" t="s">
        <v>21</v>
      </c>
    </row>
    <row r="167" spans="1:6">
      <c r="A167" s="1" t="s">
        <v>438</v>
      </c>
      <c r="B167" s="2" t="s">
        <v>439</v>
      </c>
      <c r="C16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43342</v>
      </c>
      <c r="D167" s="1" t="s">
        <v>318</v>
      </c>
      <c r="E167" s="1" t="s">
        <v>24</v>
      </c>
      <c r="F167" s="1" t="s">
        <v>25</v>
      </c>
    </row>
    <row r="168" spans="1:6">
      <c r="A168" s="1" t="s">
        <v>440</v>
      </c>
      <c r="B168" s="2" t="s">
        <v>441</v>
      </c>
      <c r="C16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43343</v>
      </c>
      <c r="D168" s="1" t="s">
        <v>442</v>
      </c>
      <c r="E168" s="1" t="s">
        <v>28</v>
      </c>
      <c r="F168" s="1" t="s">
        <v>29</v>
      </c>
    </row>
    <row r="169" spans="1:6">
      <c r="A169" s="1" t="s">
        <v>443</v>
      </c>
      <c r="B169" s="2">
        <v>43109</v>
      </c>
      <c r="C16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43344</v>
      </c>
      <c r="D169" s="1" t="s">
        <v>444</v>
      </c>
      <c r="E169" s="1" t="s">
        <v>32</v>
      </c>
      <c r="F169" s="1" t="s">
        <v>33</v>
      </c>
    </row>
    <row r="170" spans="1:6">
      <c r="A170" s="1" t="s">
        <v>445</v>
      </c>
      <c r="B170" s="2">
        <v>43140</v>
      </c>
      <c r="C17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43345</v>
      </c>
      <c r="D170" s="1" t="s">
        <v>446</v>
      </c>
      <c r="E170" s="1" t="s">
        <v>16</v>
      </c>
      <c r="F170" s="1" t="s">
        <v>103</v>
      </c>
    </row>
    <row r="171" spans="1:6">
      <c r="A171" s="1" t="s">
        <v>447</v>
      </c>
      <c r="B171" s="2">
        <v>43140</v>
      </c>
      <c r="C17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43345</v>
      </c>
      <c r="D171" s="1" t="s">
        <v>308</v>
      </c>
      <c r="E171" s="1" t="s">
        <v>20</v>
      </c>
      <c r="F171" s="1" t="s">
        <v>106</v>
      </c>
    </row>
    <row r="172" spans="1:6">
      <c r="A172" s="1" t="s">
        <v>448</v>
      </c>
      <c r="B172" s="2">
        <v>43140</v>
      </c>
      <c r="C17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43345</v>
      </c>
      <c r="D172" s="1" t="s">
        <v>449</v>
      </c>
      <c r="E172" s="1" t="s">
        <v>44</v>
      </c>
      <c r="F172" s="1" t="s">
        <v>45</v>
      </c>
    </row>
    <row r="173" spans="1:6">
      <c r="A173" s="1" t="s">
        <v>450</v>
      </c>
      <c r="B173" s="2">
        <v>43140</v>
      </c>
      <c r="C17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43345</v>
      </c>
      <c r="D173" s="1" t="s">
        <v>451</v>
      </c>
      <c r="E173" s="1" t="s">
        <v>48</v>
      </c>
      <c r="F173" s="1" t="s">
        <v>49</v>
      </c>
    </row>
    <row r="174" spans="1:6">
      <c r="A174" s="1" t="s">
        <v>452</v>
      </c>
      <c r="B174" s="2">
        <v>43260</v>
      </c>
      <c r="C17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43349</v>
      </c>
      <c r="D174" s="1" t="s">
        <v>224</v>
      </c>
      <c r="E174" s="1" t="s">
        <v>52</v>
      </c>
      <c r="F174" s="1" t="s">
        <v>53</v>
      </c>
    </row>
    <row r="175" spans="1:6">
      <c r="A175" s="1" t="s">
        <v>453</v>
      </c>
      <c r="B175" s="2">
        <v>43290</v>
      </c>
      <c r="C17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43350</v>
      </c>
      <c r="D175" s="1" t="s">
        <v>454</v>
      </c>
      <c r="E175" s="1" t="s">
        <v>56</v>
      </c>
      <c r="F175" s="1" t="s">
        <v>57</v>
      </c>
    </row>
    <row r="176" spans="1:6">
      <c r="A176" s="1" t="s">
        <v>455</v>
      </c>
      <c r="B176" s="2">
        <v>43321</v>
      </c>
      <c r="C17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43351</v>
      </c>
      <c r="D176" s="1" t="s">
        <v>456</v>
      </c>
      <c r="E176" s="1" t="s">
        <v>60</v>
      </c>
      <c r="F176" s="1" t="s">
        <v>57</v>
      </c>
    </row>
    <row r="177" spans="1:6">
      <c r="A177" s="1" t="s">
        <v>457</v>
      </c>
      <c r="B177" s="2">
        <v>43352</v>
      </c>
      <c r="C17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43352</v>
      </c>
      <c r="D177" s="1" t="s">
        <v>458</v>
      </c>
      <c r="E177" s="1" t="s">
        <v>16</v>
      </c>
      <c r="F177" s="1" t="s">
        <v>103</v>
      </c>
    </row>
    <row r="178" spans="1:6">
      <c r="A178" s="1" t="s">
        <v>459</v>
      </c>
      <c r="B178" s="2">
        <v>43382</v>
      </c>
      <c r="C17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43353</v>
      </c>
      <c r="D178" s="1" t="s">
        <v>460</v>
      </c>
      <c r="E178" s="1" t="s">
        <v>20</v>
      </c>
      <c r="F178" s="1" t="s">
        <v>106</v>
      </c>
    </row>
    <row r="179" spans="1:6">
      <c r="A179" s="1" t="s">
        <v>461</v>
      </c>
      <c r="B179" s="2">
        <v>43413</v>
      </c>
      <c r="C17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43354</v>
      </c>
      <c r="D179" s="1" t="s">
        <v>318</v>
      </c>
      <c r="E179" s="1" t="s">
        <v>16</v>
      </c>
      <c r="F179" s="1" t="s">
        <v>103</v>
      </c>
    </row>
    <row r="180" spans="1:6">
      <c r="A180" s="1" t="s">
        <v>462</v>
      </c>
      <c r="B180" s="2">
        <v>43443</v>
      </c>
      <c r="C18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43355</v>
      </c>
      <c r="D180" s="1" t="s">
        <v>463</v>
      </c>
      <c r="E180" s="1" t="s">
        <v>20</v>
      </c>
      <c r="F180" s="1" t="s">
        <v>106</v>
      </c>
    </row>
    <row r="181" spans="1:6">
      <c r="A181" s="1" t="s">
        <v>464</v>
      </c>
      <c r="B181" s="2" t="s">
        <v>465</v>
      </c>
      <c r="C18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43356</v>
      </c>
      <c r="D181" s="1" t="s">
        <v>466</v>
      </c>
      <c r="E181" s="1" t="s">
        <v>82</v>
      </c>
      <c r="F181" s="1" t="s">
        <v>83</v>
      </c>
    </row>
    <row r="182" spans="1:6">
      <c r="A182" s="1" t="s">
        <v>467</v>
      </c>
      <c r="B182" s="2" t="s">
        <v>468</v>
      </c>
      <c r="C18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43357</v>
      </c>
      <c r="D182" s="1" t="s">
        <v>469</v>
      </c>
      <c r="E182" s="1" t="s">
        <v>12</v>
      </c>
      <c r="F182" s="1" t="s">
        <v>13</v>
      </c>
    </row>
    <row r="183" spans="1:6">
      <c r="A183" s="1" t="s">
        <v>470</v>
      </c>
      <c r="B183" s="2" t="s">
        <v>471</v>
      </c>
      <c r="C18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43358</v>
      </c>
      <c r="D183" s="1" t="s">
        <v>234</v>
      </c>
      <c r="E183" s="1" t="s">
        <v>16</v>
      </c>
      <c r="F183" s="1" t="s">
        <v>103</v>
      </c>
    </row>
    <row r="184" spans="1:6">
      <c r="A184" s="1" t="s">
        <v>472</v>
      </c>
      <c r="B184" s="2" t="s">
        <v>471</v>
      </c>
      <c r="C18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43358</v>
      </c>
      <c r="D184" s="1" t="s">
        <v>473</v>
      </c>
      <c r="E184" s="1" t="s">
        <v>20</v>
      </c>
      <c r="F184" s="1" t="s">
        <v>106</v>
      </c>
    </row>
    <row r="185" spans="1:6">
      <c r="A185" s="1" t="s">
        <v>474</v>
      </c>
      <c r="B185" s="2" t="s">
        <v>471</v>
      </c>
      <c r="C18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43358</v>
      </c>
      <c r="D185" s="1" t="s">
        <v>475</v>
      </c>
      <c r="E185" s="1" t="s">
        <v>24</v>
      </c>
      <c r="F185" s="1" t="s">
        <v>25</v>
      </c>
    </row>
    <row r="186" spans="1:6">
      <c r="A186" s="1" t="s">
        <v>476</v>
      </c>
      <c r="B186" s="2" t="s">
        <v>471</v>
      </c>
      <c r="C18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43358</v>
      </c>
      <c r="D186" s="1" t="s">
        <v>373</v>
      </c>
      <c r="E186" s="1" t="s">
        <v>28</v>
      </c>
      <c r="F186" s="1" t="s">
        <v>29</v>
      </c>
    </row>
    <row r="187" spans="1:6">
      <c r="A187" s="1" t="s">
        <v>477</v>
      </c>
      <c r="B187" s="2" t="s">
        <v>478</v>
      </c>
      <c r="C18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43362</v>
      </c>
      <c r="D187" s="1" t="s">
        <v>479</v>
      </c>
      <c r="E187" s="1" t="s">
        <v>32</v>
      </c>
      <c r="F187" s="1" t="s">
        <v>33</v>
      </c>
    </row>
    <row r="188" spans="1:6">
      <c r="A188" s="1" t="s">
        <v>480</v>
      </c>
      <c r="B188" s="2" t="s">
        <v>481</v>
      </c>
      <c r="C18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43363</v>
      </c>
      <c r="D188" s="1" t="s">
        <v>482</v>
      </c>
      <c r="E188" s="1" t="s">
        <v>36</v>
      </c>
      <c r="F188" s="1" t="s">
        <v>37</v>
      </c>
    </row>
    <row r="189" spans="1:6">
      <c r="A189" s="1" t="s">
        <v>483</v>
      </c>
      <c r="B189" s="2" t="s">
        <v>484</v>
      </c>
      <c r="C18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43364</v>
      </c>
      <c r="D189" s="1" t="s">
        <v>485</v>
      </c>
      <c r="E189" s="1" t="s">
        <v>40</v>
      </c>
      <c r="F189" s="1" t="s">
        <v>41</v>
      </c>
    </row>
    <row r="190" spans="1:6">
      <c r="A190" s="1" t="s">
        <v>486</v>
      </c>
      <c r="B190" s="2" t="s">
        <v>487</v>
      </c>
      <c r="C19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43365</v>
      </c>
      <c r="D190" s="1" t="s">
        <v>407</v>
      </c>
      <c r="E190" s="1" t="s">
        <v>44</v>
      </c>
      <c r="F190" s="1" t="s">
        <v>45</v>
      </c>
    </row>
    <row r="191" spans="1:6">
      <c r="A191" s="1" t="s">
        <v>488</v>
      </c>
      <c r="B191" s="2" t="s">
        <v>489</v>
      </c>
      <c r="C19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43366</v>
      </c>
      <c r="D191" s="1" t="s">
        <v>490</v>
      </c>
      <c r="E191" s="1" t="s">
        <v>48</v>
      </c>
      <c r="F191" s="1" t="s">
        <v>49</v>
      </c>
    </row>
    <row r="192" spans="1:6">
      <c r="A192" s="1" t="s">
        <v>491</v>
      </c>
      <c r="B192" s="2" t="s">
        <v>492</v>
      </c>
      <c r="C19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43367</v>
      </c>
      <c r="D192" s="1" t="s">
        <v>493</v>
      </c>
      <c r="E192" s="1" t="s">
        <v>52</v>
      </c>
      <c r="F192" s="1" t="s">
        <v>53</v>
      </c>
    </row>
    <row r="193" spans="1:6">
      <c r="A193" s="1" t="s">
        <v>494</v>
      </c>
      <c r="B193" s="2" t="s">
        <v>492</v>
      </c>
      <c r="C19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43367</v>
      </c>
      <c r="D193" s="1" t="s">
        <v>479</v>
      </c>
      <c r="E193" s="1" t="s">
        <v>16</v>
      </c>
      <c r="F193" s="1" t="s">
        <v>103</v>
      </c>
    </row>
    <row r="194" spans="1:6">
      <c r="A194" s="1" t="s">
        <v>495</v>
      </c>
      <c r="B194" s="2" t="s">
        <v>492</v>
      </c>
      <c r="C19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43367</v>
      </c>
      <c r="D194" s="1" t="s">
        <v>496</v>
      </c>
      <c r="E194" s="1" t="s">
        <v>20</v>
      </c>
      <c r="F194" s="1" t="s">
        <v>106</v>
      </c>
    </row>
    <row r="195" spans="1:6">
      <c r="A195" s="1" t="s">
        <v>497</v>
      </c>
      <c r="B195" s="2" t="s">
        <v>492</v>
      </c>
      <c r="C19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43367</v>
      </c>
      <c r="D195" s="1" t="s">
        <v>155</v>
      </c>
      <c r="E195" s="1" t="s">
        <v>64</v>
      </c>
      <c r="F195" s="1" t="s">
        <v>65</v>
      </c>
    </row>
    <row r="196" spans="1:6">
      <c r="A196" s="1" t="s">
        <v>498</v>
      </c>
      <c r="B196" s="2" t="s">
        <v>492</v>
      </c>
      <c r="C19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43367</v>
      </c>
      <c r="D196" s="1" t="s">
        <v>499</v>
      </c>
      <c r="E196" s="1" t="s">
        <v>69</v>
      </c>
      <c r="F196" s="1" t="s">
        <v>70</v>
      </c>
    </row>
    <row r="197" spans="1:6">
      <c r="A197" s="1" t="s">
        <v>500</v>
      </c>
      <c r="B197" s="2" t="s">
        <v>492</v>
      </c>
      <c r="C19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43367</v>
      </c>
      <c r="D197" s="1" t="s">
        <v>501</v>
      </c>
      <c r="E197" s="1" t="s">
        <v>16</v>
      </c>
      <c r="F197" s="1" t="s">
        <v>103</v>
      </c>
    </row>
    <row r="198" spans="1:6">
      <c r="A198" s="1" t="s">
        <v>502</v>
      </c>
      <c r="B198" s="2" t="s">
        <v>503</v>
      </c>
      <c r="C19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43373</v>
      </c>
      <c r="D198" s="1" t="s">
        <v>504</v>
      </c>
      <c r="E198" s="1" t="s">
        <v>20</v>
      </c>
      <c r="F198" s="1" t="s">
        <v>106</v>
      </c>
    </row>
    <row r="199" spans="1:6">
      <c r="A199" s="1" t="s">
        <v>505</v>
      </c>
      <c r="B199" s="2">
        <v>43110</v>
      </c>
      <c r="C19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43374</v>
      </c>
      <c r="D199" s="1" t="s">
        <v>506</v>
      </c>
      <c r="E199" s="1" t="s">
        <v>82</v>
      </c>
      <c r="F199" s="1" t="s">
        <v>83</v>
      </c>
    </row>
    <row r="200" spans="1:6">
      <c r="A200" s="1" t="s">
        <v>507</v>
      </c>
      <c r="B200" s="2">
        <v>43110</v>
      </c>
      <c r="C20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43374</v>
      </c>
      <c r="D200" s="1" t="s">
        <v>508</v>
      </c>
      <c r="E200" s="1" t="s">
        <v>12</v>
      </c>
      <c r="F200" s="1" t="s">
        <v>13</v>
      </c>
    </row>
    <row r="201" spans="1:6">
      <c r="A201" s="1" t="s">
        <v>509</v>
      </c>
      <c r="B201" s="2">
        <v>43110</v>
      </c>
      <c r="C20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43374</v>
      </c>
      <c r="D201" s="1" t="s">
        <v>510</v>
      </c>
      <c r="E201" s="1" t="s">
        <v>16</v>
      </c>
      <c r="F201" s="1" t="s">
        <v>17</v>
      </c>
    </row>
    <row r="202" spans="1:6">
      <c r="A202" s="1" t="s">
        <v>511</v>
      </c>
      <c r="B202" s="2">
        <v>43110</v>
      </c>
      <c r="C20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43374</v>
      </c>
      <c r="D202" s="1" t="s">
        <v>512</v>
      </c>
      <c r="E202" s="1" t="s">
        <v>20</v>
      </c>
      <c r="F202" s="1" t="s">
        <v>21</v>
      </c>
    </row>
    <row r="203" spans="1:6">
      <c r="A203" s="1" t="s">
        <v>513</v>
      </c>
      <c r="B203" s="2">
        <v>43230</v>
      </c>
      <c r="C20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43378</v>
      </c>
      <c r="D203" s="1" t="s">
        <v>514</v>
      </c>
      <c r="E203" s="1" t="s">
        <v>16</v>
      </c>
      <c r="F203" s="1" t="s">
        <v>103</v>
      </c>
    </row>
    <row r="204" spans="1:6">
      <c r="A204" s="1" t="s">
        <v>515</v>
      </c>
      <c r="B204" s="2">
        <v>43230</v>
      </c>
      <c r="C20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43378</v>
      </c>
      <c r="D204" s="1" t="s">
        <v>516</v>
      </c>
      <c r="E204" s="1" t="s">
        <v>20</v>
      </c>
      <c r="F204" s="1" t="s">
        <v>106</v>
      </c>
    </row>
    <row r="205" spans="1:6">
      <c r="A205" s="1" t="s">
        <v>517</v>
      </c>
      <c r="B205" s="2">
        <v>43230</v>
      </c>
      <c r="C20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43378</v>
      </c>
      <c r="D205" s="1" t="s">
        <v>518</v>
      </c>
      <c r="E205" s="1" t="s">
        <v>32</v>
      </c>
      <c r="F205" s="1" t="s">
        <v>33</v>
      </c>
    </row>
    <row r="206" spans="1:6">
      <c r="A206" s="1" t="s">
        <v>519</v>
      </c>
      <c r="B206" s="2">
        <v>43230</v>
      </c>
      <c r="C20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43378</v>
      </c>
      <c r="D206" s="1" t="s">
        <v>520</v>
      </c>
      <c r="E206" s="1" t="s">
        <v>16</v>
      </c>
      <c r="F206" s="1" t="s">
        <v>103</v>
      </c>
    </row>
    <row r="207" spans="1:6">
      <c r="A207" s="1" t="s">
        <v>521</v>
      </c>
      <c r="B207" s="2">
        <v>43261</v>
      </c>
      <c r="C20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43379</v>
      </c>
      <c r="D207" s="1" t="s">
        <v>522</v>
      </c>
      <c r="E207" s="1" t="s">
        <v>20</v>
      </c>
      <c r="F207" s="1" t="s">
        <v>106</v>
      </c>
    </row>
    <row r="208" spans="1:6">
      <c r="A208" s="1" t="s">
        <v>523</v>
      </c>
      <c r="B208" s="2">
        <v>43291</v>
      </c>
      <c r="C20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43380</v>
      </c>
      <c r="D208" s="1" t="s">
        <v>524</v>
      </c>
      <c r="E208" s="1" t="s">
        <v>44</v>
      </c>
      <c r="F208" s="1" t="s">
        <v>45</v>
      </c>
    </row>
    <row r="209" spans="1:6">
      <c r="A209" s="1" t="s">
        <v>525</v>
      </c>
      <c r="B209" s="2">
        <v>43322</v>
      </c>
      <c r="C20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43381</v>
      </c>
      <c r="D209" s="1" t="s">
        <v>526</v>
      </c>
      <c r="E209" s="1" t="s">
        <v>48</v>
      </c>
      <c r="F209" s="1" t="s">
        <v>49</v>
      </c>
    </row>
    <row r="210" spans="1:6">
      <c r="A210" s="1" t="s">
        <v>527</v>
      </c>
      <c r="B210" s="2">
        <v>43353</v>
      </c>
      <c r="C21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43382</v>
      </c>
      <c r="D210" s="1" t="s">
        <v>528</v>
      </c>
      <c r="E210" s="1" t="s">
        <v>52</v>
      </c>
      <c r="F210" s="1" t="s">
        <v>53</v>
      </c>
    </row>
    <row r="211" spans="1:6">
      <c r="A211" s="1" t="s">
        <v>529</v>
      </c>
      <c r="B211" s="2">
        <v>43383</v>
      </c>
      <c r="C21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43383</v>
      </c>
      <c r="D211" s="1" t="s">
        <v>530</v>
      </c>
      <c r="E211" s="1" t="s">
        <v>56</v>
      </c>
      <c r="F211" s="1" t="s">
        <v>57</v>
      </c>
    </row>
    <row r="212" spans="1:6">
      <c r="A212" s="1" t="s">
        <v>531</v>
      </c>
      <c r="B212" s="2">
        <v>43383</v>
      </c>
      <c r="C21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43383</v>
      </c>
      <c r="D212" s="1" t="s">
        <v>532</v>
      </c>
      <c r="E212" s="1" t="s">
        <v>16</v>
      </c>
      <c r="F212" s="1" t="s">
        <v>103</v>
      </c>
    </row>
    <row r="213" spans="1:6">
      <c r="A213" s="1" t="s">
        <v>533</v>
      </c>
      <c r="B213" s="2">
        <v>43383</v>
      </c>
      <c r="C21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43383</v>
      </c>
      <c r="D213" s="1" t="s">
        <v>534</v>
      </c>
      <c r="E213" s="1" t="s">
        <v>20</v>
      </c>
      <c r="F213" s="1" t="s">
        <v>106</v>
      </c>
    </row>
    <row r="214" spans="1:6">
      <c r="A214" s="1" t="s">
        <v>535</v>
      </c>
      <c r="B214" s="2">
        <v>43383</v>
      </c>
      <c r="C21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43383</v>
      </c>
      <c r="D214" s="1" t="s">
        <v>536</v>
      </c>
      <c r="E214" s="1" t="s">
        <v>16</v>
      </c>
      <c r="F214" s="1" t="s">
        <v>103</v>
      </c>
    </row>
    <row r="215" spans="1:6">
      <c r="A215" s="1" t="s">
        <v>537</v>
      </c>
      <c r="B215" s="2">
        <v>43383</v>
      </c>
      <c r="C21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43383</v>
      </c>
      <c r="D215" s="1" t="s">
        <v>538</v>
      </c>
      <c r="E215" s="1" t="s">
        <v>20</v>
      </c>
      <c r="F215" s="1" t="s">
        <v>106</v>
      </c>
    </row>
    <row r="216" spans="1:6">
      <c r="A216" s="1" t="s">
        <v>539</v>
      </c>
      <c r="B216" s="2">
        <v>43383</v>
      </c>
      <c r="C21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43383</v>
      </c>
      <c r="D216" s="1" t="s">
        <v>391</v>
      </c>
      <c r="E216" s="1" t="s">
        <v>77</v>
      </c>
      <c r="F216" s="1" t="s">
        <v>78</v>
      </c>
    </row>
    <row r="217" spans="1:6">
      <c r="A217" s="1" t="s">
        <v>540</v>
      </c>
      <c r="B217" s="2">
        <v>43444</v>
      </c>
      <c r="C21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43385</v>
      </c>
      <c r="D217" s="1" t="s">
        <v>541</v>
      </c>
      <c r="E217" s="1" t="s">
        <v>82</v>
      </c>
      <c r="F217" s="1" t="s">
        <v>83</v>
      </c>
    </row>
    <row r="218" spans="1:6">
      <c r="A218" s="1" t="s">
        <v>542</v>
      </c>
      <c r="B218" s="2" t="s">
        <v>543</v>
      </c>
      <c r="C21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43386</v>
      </c>
      <c r="D218" s="1" t="s">
        <v>544</v>
      </c>
      <c r="E218" s="1" t="s">
        <v>16</v>
      </c>
      <c r="F218" s="1" t="s">
        <v>103</v>
      </c>
    </row>
    <row r="219" spans="1:6">
      <c r="A219" s="1" t="s">
        <v>545</v>
      </c>
      <c r="B219" s="2" t="s">
        <v>546</v>
      </c>
      <c r="C21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43387</v>
      </c>
      <c r="D219" s="1" t="s">
        <v>547</v>
      </c>
      <c r="E219" s="1" t="s">
        <v>20</v>
      </c>
      <c r="F219" s="1" t="s">
        <v>106</v>
      </c>
    </row>
    <row r="220" spans="1:6">
      <c r="A220" s="1" t="s">
        <v>548</v>
      </c>
      <c r="B220" s="2" t="s">
        <v>549</v>
      </c>
      <c r="C22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43388</v>
      </c>
      <c r="D220" s="1" t="s">
        <v>550</v>
      </c>
      <c r="E220" s="1" t="s">
        <v>20</v>
      </c>
      <c r="F220" s="1" t="s">
        <v>21</v>
      </c>
    </row>
    <row r="221" spans="1:6">
      <c r="A221" s="1" t="s">
        <v>551</v>
      </c>
      <c r="B221" s="2" t="s">
        <v>552</v>
      </c>
      <c r="C22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43389</v>
      </c>
      <c r="D221" s="1" t="s">
        <v>553</v>
      </c>
      <c r="E221" s="1" t="s">
        <v>24</v>
      </c>
      <c r="F221" s="1" t="s">
        <v>25</v>
      </c>
    </row>
    <row r="222" spans="1:6">
      <c r="A222" s="1" t="s">
        <v>554</v>
      </c>
      <c r="B222" s="2" t="s">
        <v>552</v>
      </c>
      <c r="C22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43389</v>
      </c>
      <c r="D222" s="1" t="s">
        <v>141</v>
      </c>
      <c r="E222" s="1" t="s">
        <v>28</v>
      </c>
      <c r="F222" s="1" t="s">
        <v>29</v>
      </c>
    </row>
    <row r="223" spans="1:6">
      <c r="A223" s="1" t="s">
        <v>555</v>
      </c>
      <c r="B223" s="2" t="s">
        <v>556</v>
      </c>
      <c r="C22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43391</v>
      </c>
      <c r="D223" s="1" t="s">
        <v>557</v>
      </c>
      <c r="E223" s="1" t="s">
        <v>32</v>
      </c>
      <c r="F223" s="1" t="s">
        <v>33</v>
      </c>
    </row>
    <row r="224" spans="1:6">
      <c r="A224" s="1" t="s">
        <v>558</v>
      </c>
      <c r="B224" s="2" t="s">
        <v>556</v>
      </c>
      <c r="C22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43391</v>
      </c>
      <c r="D224" s="1" t="s">
        <v>559</v>
      </c>
      <c r="E224" s="1" t="s">
        <v>16</v>
      </c>
      <c r="F224" s="1" t="s">
        <v>103</v>
      </c>
    </row>
    <row r="225" spans="1:6">
      <c r="A225" s="1" t="s">
        <v>560</v>
      </c>
      <c r="B225" s="2" t="s">
        <v>561</v>
      </c>
      <c r="C22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43393</v>
      </c>
      <c r="D225" s="1" t="s">
        <v>562</v>
      </c>
      <c r="E225" s="1" t="s">
        <v>20</v>
      </c>
      <c r="F225" s="1" t="s">
        <v>106</v>
      </c>
    </row>
    <row r="226" spans="1:6">
      <c r="A226" s="1" t="s">
        <v>563</v>
      </c>
      <c r="B226" s="2" t="s">
        <v>564</v>
      </c>
      <c r="C22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43394</v>
      </c>
      <c r="D226" s="1" t="s">
        <v>387</v>
      </c>
      <c r="E226" s="1" t="s">
        <v>20</v>
      </c>
      <c r="F226" s="1" t="s">
        <v>106</v>
      </c>
    </row>
    <row r="227" spans="1:6">
      <c r="A227" s="1" t="s">
        <v>565</v>
      </c>
      <c r="B227" s="2" t="s">
        <v>566</v>
      </c>
      <c r="C22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43395</v>
      </c>
      <c r="D227" s="1" t="s">
        <v>567</v>
      </c>
      <c r="E227" s="1" t="s">
        <v>16</v>
      </c>
      <c r="F227" s="1" t="s">
        <v>103</v>
      </c>
    </row>
    <row r="228" spans="1:6">
      <c r="A228" s="1" t="s">
        <v>568</v>
      </c>
      <c r="B228" s="2" t="s">
        <v>569</v>
      </c>
      <c r="C22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43396</v>
      </c>
      <c r="D228" s="1" t="s">
        <v>243</v>
      </c>
      <c r="E228" s="1" t="s">
        <v>20</v>
      </c>
      <c r="F228" s="1" t="s">
        <v>106</v>
      </c>
    </row>
    <row r="229" spans="1:6">
      <c r="A229" s="1" t="s">
        <v>570</v>
      </c>
      <c r="B229" s="2" t="s">
        <v>571</v>
      </c>
      <c r="C22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43397</v>
      </c>
      <c r="D229" s="1" t="s">
        <v>572</v>
      </c>
      <c r="E229" s="1" t="s">
        <v>56</v>
      </c>
      <c r="F229" s="1" t="s">
        <v>57</v>
      </c>
    </row>
    <row r="230" spans="1:6">
      <c r="A230" s="1" t="s">
        <v>573</v>
      </c>
      <c r="B230" s="2" t="s">
        <v>574</v>
      </c>
      <c r="C23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43398</v>
      </c>
      <c r="D230" s="1" t="s">
        <v>575</v>
      </c>
      <c r="E230" s="1" t="s">
        <v>60</v>
      </c>
      <c r="F230" s="1" t="s">
        <v>57</v>
      </c>
    </row>
    <row r="231" spans="1:6">
      <c r="A231" s="1" t="s">
        <v>576</v>
      </c>
      <c r="B231" s="2" t="s">
        <v>577</v>
      </c>
      <c r="C23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43399</v>
      </c>
      <c r="D231" s="1" t="s">
        <v>578</v>
      </c>
      <c r="E231" s="1" t="s">
        <v>64</v>
      </c>
      <c r="F231" s="1" t="s">
        <v>65</v>
      </c>
    </row>
    <row r="232" spans="1:6">
      <c r="A232" s="1" t="s">
        <v>579</v>
      </c>
      <c r="B232" s="2" t="s">
        <v>580</v>
      </c>
      <c r="C23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43400</v>
      </c>
      <c r="D232" s="1" t="s">
        <v>221</v>
      </c>
      <c r="E232" s="1" t="s">
        <v>69</v>
      </c>
      <c r="F232" s="1" t="s">
        <v>70</v>
      </c>
    </row>
    <row r="233" spans="1:6">
      <c r="A233" s="1" t="s">
        <v>581</v>
      </c>
      <c r="B233" s="2" t="s">
        <v>582</v>
      </c>
      <c r="C23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43401</v>
      </c>
      <c r="D233" s="1" t="s">
        <v>583</v>
      </c>
      <c r="E233" s="1" t="s">
        <v>16</v>
      </c>
      <c r="F233" s="1" t="s">
        <v>103</v>
      </c>
    </row>
    <row r="234" spans="1:6">
      <c r="A234" s="1" t="s">
        <v>584</v>
      </c>
      <c r="B234" s="2" t="s">
        <v>585</v>
      </c>
      <c r="C23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43402</v>
      </c>
      <c r="D234" s="1" t="s">
        <v>586</v>
      </c>
      <c r="E234" s="1" t="s">
        <v>20</v>
      </c>
      <c r="F234" s="1" t="s">
        <v>106</v>
      </c>
    </row>
    <row r="235" spans="1:6">
      <c r="A235" s="1" t="s">
        <v>587</v>
      </c>
      <c r="B235" s="2" t="s">
        <v>585</v>
      </c>
      <c r="C23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43402</v>
      </c>
      <c r="D235" s="1" t="s">
        <v>588</v>
      </c>
      <c r="E235" s="1" t="s">
        <v>82</v>
      </c>
      <c r="F235" s="1" t="s">
        <v>83</v>
      </c>
    </row>
    <row r="236" spans="1:6">
      <c r="A236" s="1" t="s">
        <v>589</v>
      </c>
      <c r="B236" s="2" t="s">
        <v>585</v>
      </c>
      <c r="C23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43402</v>
      </c>
      <c r="D236" s="1" t="s">
        <v>590</v>
      </c>
      <c r="E236" s="1" t="s">
        <v>12</v>
      </c>
      <c r="F236" s="1" t="s">
        <v>13</v>
      </c>
    </row>
    <row r="237" spans="1:6">
      <c r="A237" s="1" t="s">
        <v>591</v>
      </c>
      <c r="B237" s="2" t="s">
        <v>585</v>
      </c>
      <c r="C23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43402</v>
      </c>
      <c r="D237" s="1" t="s">
        <v>592</v>
      </c>
      <c r="E237" s="1" t="s">
        <v>16</v>
      </c>
      <c r="F237" s="1" t="s">
        <v>17</v>
      </c>
    </row>
    <row r="238" spans="1:6">
      <c r="A238" s="1" t="s">
        <v>593</v>
      </c>
      <c r="B238" s="2" t="s">
        <v>585</v>
      </c>
      <c r="C23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43402</v>
      </c>
      <c r="D238" s="1" t="s">
        <v>594</v>
      </c>
      <c r="E238" s="1" t="s">
        <v>16</v>
      </c>
      <c r="F238" s="1" t="s">
        <v>103</v>
      </c>
    </row>
    <row r="239" spans="1:6">
      <c r="A239" s="1" t="s">
        <v>595</v>
      </c>
      <c r="B239" s="2" t="s">
        <v>585</v>
      </c>
      <c r="C23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43402</v>
      </c>
      <c r="D239" s="1" t="s">
        <v>451</v>
      </c>
      <c r="E239" s="1" t="s">
        <v>20</v>
      </c>
      <c r="F239" s="1" t="s">
        <v>106</v>
      </c>
    </row>
    <row r="240" spans="1:6">
      <c r="A240" s="1" t="s">
        <v>596</v>
      </c>
      <c r="B240" s="2" t="s">
        <v>597</v>
      </c>
      <c r="C24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43403</v>
      </c>
      <c r="D240" s="1" t="s">
        <v>598</v>
      </c>
      <c r="E240" s="1" t="s">
        <v>28</v>
      </c>
      <c r="F240" s="1" t="s">
        <v>29</v>
      </c>
    </row>
    <row r="241" spans="1:6">
      <c r="A241" s="1" t="s">
        <v>599</v>
      </c>
      <c r="B241" s="2" t="s">
        <v>600</v>
      </c>
      <c r="C24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43404</v>
      </c>
      <c r="D241" s="1" t="s">
        <v>601</v>
      </c>
      <c r="E241" s="1" t="s">
        <v>32</v>
      </c>
      <c r="F241" s="1" t="s">
        <v>33</v>
      </c>
    </row>
    <row r="242" spans="1:6">
      <c r="A242" s="1" t="s">
        <v>602</v>
      </c>
      <c r="B242" s="2">
        <v>43111</v>
      </c>
      <c r="C24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43405</v>
      </c>
      <c r="D242" s="1" t="s">
        <v>603</v>
      </c>
      <c r="E242" s="1" t="s">
        <v>16</v>
      </c>
      <c r="F242" s="1" t="s">
        <v>103</v>
      </c>
    </row>
    <row r="243" spans="1:6">
      <c r="A243" s="1" t="s">
        <v>604</v>
      </c>
      <c r="B243" s="2">
        <v>43142</v>
      </c>
      <c r="C24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43406</v>
      </c>
      <c r="D243" s="1" t="s">
        <v>243</v>
      </c>
      <c r="E243" s="1" t="s">
        <v>20</v>
      </c>
      <c r="F243" s="1" t="s">
        <v>106</v>
      </c>
    </row>
    <row r="244" spans="1:6">
      <c r="A244" s="1" t="s">
        <v>605</v>
      </c>
      <c r="B244" s="2">
        <v>43170</v>
      </c>
      <c r="C24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43407</v>
      </c>
      <c r="D244" s="1" t="s">
        <v>606</v>
      </c>
      <c r="E244" s="1" t="s">
        <v>16</v>
      </c>
      <c r="F244" s="1" t="s">
        <v>103</v>
      </c>
    </row>
    <row r="245" spans="1:6">
      <c r="A245" s="1" t="s">
        <v>607</v>
      </c>
      <c r="B245" s="2">
        <v>43170</v>
      </c>
      <c r="C24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43407</v>
      </c>
      <c r="D245" s="1" t="s">
        <v>608</v>
      </c>
      <c r="E245" s="1" t="s">
        <v>20</v>
      </c>
      <c r="F245" s="1" t="s">
        <v>106</v>
      </c>
    </row>
    <row r="246" spans="1:6">
      <c r="A246" s="1" t="s">
        <v>609</v>
      </c>
      <c r="B246" s="2">
        <v>43170</v>
      </c>
      <c r="C24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43407</v>
      </c>
      <c r="D246" s="1" t="s">
        <v>610</v>
      </c>
      <c r="E246" s="1" t="s">
        <v>52</v>
      </c>
      <c r="F246" s="1" t="s">
        <v>53</v>
      </c>
    </row>
    <row r="247" spans="1:6">
      <c r="A247" s="1" t="s">
        <v>611</v>
      </c>
      <c r="B247" s="2">
        <v>43170</v>
      </c>
      <c r="C24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43407</v>
      </c>
      <c r="D247" s="1" t="s">
        <v>612</v>
      </c>
      <c r="E247" s="1" t="s">
        <v>56</v>
      </c>
      <c r="F247" s="1" t="s">
        <v>57</v>
      </c>
    </row>
    <row r="248" spans="1:6">
      <c r="A248" s="1" t="s">
        <v>613</v>
      </c>
      <c r="B248" s="2">
        <v>43170</v>
      </c>
      <c r="C24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43407</v>
      </c>
      <c r="D248" s="1" t="s">
        <v>614</v>
      </c>
      <c r="E248" s="1" t="s">
        <v>60</v>
      </c>
      <c r="F248" s="1" t="s">
        <v>57</v>
      </c>
    </row>
    <row r="249" spans="1:6">
      <c r="A249" s="1" t="s">
        <v>615</v>
      </c>
      <c r="B249" s="2">
        <v>43170</v>
      </c>
      <c r="C24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43407</v>
      </c>
      <c r="D249" s="1" t="s">
        <v>559</v>
      </c>
      <c r="E249" s="1" t="s">
        <v>64</v>
      </c>
      <c r="F249" s="1" t="s">
        <v>65</v>
      </c>
    </row>
    <row r="250" spans="1:6">
      <c r="A250" s="1" t="s">
        <v>616</v>
      </c>
      <c r="B250" s="2">
        <v>43201</v>
      </c>
      <c r="C25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43408</v>
      </c>
      <c r="D250" s="1" t="s">
        <v>617</v>
      </c>
      <c r="E250" s="1" t="s">
        <v>69</v>
      </c>
      <c r="F250" s="1" t="s">
        <v>70</v>
      </c>
    </row>
    <row r="251" spans="1:6">
      <c r="A251" s="1" t="s">
        <v>618</v>
      </c>
      <c r="B251" s="2">
        <v>43231</v>
      </c>
      <c r="C25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43409</v>
      </c>
      <c r="D251" s="1" t="s">
        <v>479</v>
      </c>
      <c r="E251" s="1" t="s">
        <v>73</v>
      </c>
      <c r="F251" s="1" t="s">
        <v>73</v>
      </c>
    </row>
    <row r="252" spans="1:6">
      <c r="A252" s="1" t="s">
        <v>619</v>
      </c>
      <c r="B252" s="2">
        <v>43262</v>
      </c>
      <c r="C25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43410</v>
      </c>
      <c r="D252" s="1" t="s">
        <v>620</v>
      </c>
      <c r="E252" s="1" t="s">
        <v>77</v>
      </c>
      <c r="F252" s="1" t="s">
        <v>78</v>
      </c>
    </row>
    <row r="253" spans="1:6">
      <c r="A253" s="1" t="s">
        <v>621</v>
      </c>
      <c r="B253" s="2">
        <v>43292</v>
      </c>
      <c r="C25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43411</v>
      </c>
      <c r="D253" s="1" t="s">
        <v>622</v>
      </c>
      <c r="E253" s="1" t="s">
        <v>82</v>
      </c>
      <c r="F253" s="1" t="s">
        <v>83</v>
      </c>
    </row>
    <row r="254" spans="1:6">
      <c r="A254" s="1" t="s">
        <v>623</v>
      </c>
      <c r="B254" s="2">
        <v>43323</v>
      </c>
      <c r="C25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43412</v>
      </c>
      <c r="D254" s="1" t="s">
        <v>624</v>
      </c>
      <c r="E254" s="1" t="s">
        <v>12</v>
      </c>
      <c r="F254" s="1" t="s">
        <v>13</v>
      </c>
    </row>
    <row r="255" spans="1:6">
      <c r="A255" s="1" t="s">
        <v>625</v>
      </c>
      <c r="B255" s="2">
        <v>43323</v>
      </c>
      <c r="C25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43412</v>
      </c>
      <c r="D255" s="1" t="s">
        <v>371</v>
      </c>
      <c r="E255" s="1" t="s">
        <v>16</v>
      </c>
      <c r="F255" s="1" t="s">
        <v>17</v>
      </c>
    </row>
    <row r="256" spans="1:6">
      <c r="A256" s="1" t="s">
        <v>626</v>
      </c>
      <c r="B256" s="2">
        <v>43323</v>
      </c>
      <c r="C25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43412</v>
      </c>
      <c r="D256" s="1" t="s">
        <v>627</v>
      </c>
      <c r="E256" s="1" t="s">
        <v>20</v>
      </c>
      <c r="F256" s="1" t="s">
        <v>21</v>
      </c>
    </row>
    <row r="257" spans="1:6">
      <c r="A257" s="1" t="s">
        <v>628</v>
      </c>
      <c r="B257" s="2">
        <v>43384</v>
      </c>
      <c r="C25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43414</v>
      </c>
      <c r="D257" s="1" t="s">
        <v>627</v>
      </c>
      <c r="E257" s="1" t="s">
        <v>16</v>
      </c>
      <c r="F257" s="1" t="s">
        <v>103</v>
      </c>
    </row>
    <row r="258" spans="1:6">
      <c r="A258" s="1" t="s">
        <v>629</v>
      </c>
      <c r="B258" s="2">
        <v>43384</v>
      </c>
      <c r="C25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43414</v>
      </c>
      <c r="D258" s="1" t="s">
        <v>630</v>
      </c>
      <c r="E258" s="1" t="s">
        <v>20</v>
      </c>
      <c r="F258" s="1" t="s">
        <v>106</v>
      </c>
    </row>
    <row r="259" spans="1:6">
      <c r="A259" s="1" t="s">
        <v>631</v>
      </c>
      <c r="B259" s="2" t="s">
        <v>632</v>
      </c>
      <c r="C25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43417</v>
      </c>
      <c r="D259" s="1" t="s">
        <v>538</v>
      </c>
      <c r="E259" s="1" t="s">
        <v>16</v>
      </c>
      <c r="F259" s="1" t="s">
        <v>103</v>
      </c>
    </row>
    <row r="260" spans="1:6">
      <c r="A260" s="1" t="s">
        <v>633</v>
      </c>
      <c r="B260" s="2" t="s">
        <v>634</v>
      </c>
      <c r="C26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43418</v>
      </c>
      <c r="D260" s="1" t="s">
        <v>635</v>
      </c>
      <c r="E260" s="1" t="s">
        <v>20</v>
      </c>
      <c r="F260" s="1" t="s">
        <v>106</v>
      </c>
    </row>
    <row r="261" spans="1:6">
      <c r="A261" s="1" t="s">
        <v>636</v>
      </c>
      <c r="B261" s="2" t="s">
        <v>637</v>
      </c>
      <c r="C26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43419</v>
      </c>
      <c r="D261" s="1" t="s">
        <v>407</v>
      </c>
      <c r="E261" s="1" t="s">
        <v>40</v>
      </c>
      <c r="F261" s="1" t="s">
        <v>41</v>
      </c>
    </row>
    <row r="262" spans="1:6">
      <c r="A262" s="1" t="s">
        <v>638</v>
      </c>
      <c r="B262" s="2" t="s">
        <v>637</v>
      </c>
      <c r="C26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43419</v>
      </c>
      <c r="D262" s="1" t="s">
        <v>639</v>
      </c>
      <c r="E262" s="1" t="s">
        <v>44</v>
      </c>
      <c r="F262" s="1" t="s">
        <v>45</v>
      </c>
    </row>
    <row r="263" spans="1:6">
      <c r="A263" s="1" t="s">
        <v>640</v>
      </c>
      <c r="B263" s="2" t="s">
        <v>637</v>
      </c>
      <c r="C26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43419</v>
      </c>
      <c r="D263" s="1" t="s">
        <v>641</v>
      </c>
      <c r="E263" s="1" t="s">
        <v>48</v>
      </c>
      <c r="F263" s="1" t="s">
        <v>49</v>
      </c>
    </row>
    <row r="264" spans="1:6">
      <c r="A264" s="1" t="s">
        <v>642</v>
      </c>
      <c r="B264" s="2" t="s">
        <v>637</v>
      </c>
      <c r="C26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43419</v>
      </c>
      <c r="D264" s="1" t="s">
        <v>643</v>
      </c>
      <c r="E264" s="1" t="s">
        <v>52</v>
      </c>
      <c r="F264" s="1" t="s">
        <v>53</v>
      </c>
    </row>
    <row r="265" spans="1:6">
      <c r="A265" s="1" t="s">
        <v>644</v>
      </c>
      <c r="B265" s="2" t="s">
        <v>637</v>
      </c>
      <c r="C26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43419</v>
      </c>
      <c r="D265" s="1" t="s">
        <v>645</v>
      </c>
      <c r="E265" s="1" t="s">
        <v>16</v>
      </c>
      <c r="F265" s="1" t="s">
        <v>103</v>
      </c>
    </row>
    <row r="266" spans="1:6">
      <c r="A266" s="1" t="s">
        <v>646</v>
      </c>
      <c r="B266" s="2" t="s">
        <v>637</v>
      </c>
      <c r="C26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43419</v>
      </c>
      <c r="D266" s="1" t="s">
        <v>647</v>
      </c>
      <c r="E266" s="1" t="s">
        <v>20</v>
      </c>
      <c r="F266" s="1" t="s">
        <v>106</v>
      </c>
    </row>
    <row r="267" spans="1:6">
      <c r="A267" s="1" t="s">
        <v>648</v>
      </c>
      <c r="B267" s="2" t="s">
        <v>649</v>
      </c>
      <c r="C26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43420</v>
      </c>
      <c r="D267" s="1" t="s">
        <v>650</v>
      </c>
      <c r="E267" s="1" t="s">
        <v>64</v>
      </c>
      <c r="F267" s="1" t="s">
        <v>65</v>
      </c>
    </row>
    <row r="268" spans="1:6">
      <c r="A268" s="1" t="s">
        <v>651</v>
      </c>
      <c r="B268" s="2" t="s">
        <v>652</v>
      </c>
      <c r="C26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43421</v>
      </c>
      <c r="D268" s="1" t="s">
        <v>520</v>
      </c>
      <c r="E268" s="1" t="s">
        <v>69</v>
      </c>
      <c r="F268" s="1" t="s">
        <v>70</v>
      </c>
    </row>
    <row r="269" spans="1:6">
      <c r="A269" s="1" t="s">
        <v>653</v>
      </c>
      <c r="B269" s="2" t="s">
        <v>654</v>
      </c>
      <c r="C26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43422</v>
      </c>
      <c r="D269" s="1" t="s">
        <v>655</v>
      </c>
      <c r="E269" s="1" t="s">
        <v>73</v>
      </c>
      <c r="F269" s="1" t="s">
        <v>73</v>
      </c>
    </row>
    <row r="270" spans="1:6">
      <c r="A270" s="1" t="s">
        <v>656</v>
      </c>
      <c r="B270" s="2" t="s">
        <v>657</v>
      </c>
      <c r="C27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43423</v>
      </c>
      <c r="D270" s="1" t="s">
        <v>658</v>
      </c>
      <c r="E270" s="1" t="s">
        <v>77</v>
      </c>
      <c r="F270" s="1" t="s">
        <v>78</v>
      </c>
    </row>
    <row r="271" spans="1:6">
      <c r="A271" s="1" t="s">
        <v>659</v>
      </c>
      <c r="B271" s="2" t="s">
        <v>660</v>
      </c>
      <c r="C27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43424</v>
      </c>
      <c r="D271" s="1" t="s">
        <v>363</v>
      </c>
      <c r="E271" s="1" t="s">
        <v>82</v>
      </c>
      <c r="F271" s="1" t="s">
        <v>83</v>
      </c>
    </row>
    <row r="272" spans="1:6">
      <c r="A272" s="1" t="s">
        <v>661</v>
      </c>
      <c r="B272" s="2" t="s">
        <v>662</v>
      </c>
      <c r="C27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43425</v>
      </c>
      <c r="D272" s="1" t="s">
        <v>663</v>
      </c>
      <c r="E272" s="1" t="s">
        <v>12</v>
      </c>
      <c r="F272" s="1" t="s">
        <v>664</v>
      </c>
    </row>
    <row r="273" spans="1:6">
      <c r="A273" s="1" t="s">
        <v>665</v>
      </c>
      <c r="B273" s="2" t="s">
        <v>666</v>
      </c>
      <c r="C27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43426</v>
      </c>
      <c r="D273" s="1" t="s">
        <v>667</v>
      </c>
      <c r="E273" s="1" t="s">
        <v>16</v>
      </c>
      <c r="F273" s="1" t="s">
        <v>103</v>
      </c>
    </row>
    <row r="274" spans="1:6">
      <c r="A274" s="1" t="s">
        <v>668</v>
      </c>
      <c r="B274" s="2" t="s">
        <v>669</v>
      </c>
      <c r="C27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43427</v>
      </c>
      <c r="D274" s="1" t="s">
        <v>670</v>
      </c>
      <c r="E274" s="1" t="s">
        <v>20</v>
      </c>
      <c r="F274" s="1" t="s">
        <v>106</v>
      </c>
    </row>
    <row r="275" spans="1:6">
      <c r="A275" s="1" t="s">
        <v>671</v>
      </c>
      <c r="B275" s="2" t="s">
        <v>672</v>
      </c>
      <c r="C27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43428</v>
      </c>
      <c r="D275" s="1" t="s">
        <v>306</v>
      </c>
      <c r="E275" s="1" t="s">
        <v>24</v>
      </c>
      <c r="F275" s="1" t="s">
        <v>673</v>
      </c>
    </row>
    <row r="276" spans="1:6">
      <c r="A276" s="1" t="s">
        <v>674</v>
      </c>
      <c r="B276" s="2" t="s">
        <v>672</v>
      </c>
      <c r="C27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43428</v>
      </c>
      <c r="D276" s="1" t="s">
        <v>675</v>
      </c>
      <c r="E276" s="1" t="s">
        <v>44</v>
      </c>
      <c r="F276" s="1" t="s">
        <v>676</v>
      </c>
    </row>
    <row r="277" spans="1:6">
      <c r="A277" s="1" t="s">
        <v>677</v>
      </c>
      <c r="B277" s="2" t="s">
        <v>672</v>
      </c>
      <c r="C27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43428</v>
      </c>
      <c r="D277" s="1" t="s">
        <v>678</v>
      </c>
      <c r="E277" s="1" t="s">
        <v>56</v>
      </c>
      <c r="F277" s="1" t="s">
        <v>679</v>
      </c>
    </row>
    <row r="278" spans="1:6">
      <c r="A278" s="1" t="s">
        <v>680</v>
      </c>
      <c r="B278" s="2" t="s">
        <v>672</v>
      </c>
      <c r="C27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43428</v>
      </c>
      <c r="D278" s="1" t="s">
        <v>681</v>
      </c>
      <c r="E278" s="1" t="s">
        <v>12</v>
      </c>
      <c r="F278" s="1" t="s">
        <v>664</v>
      </c>
    </row>
    <row r="279" spans="1:6">
      <c r="A279" s="1" t="s">
        <v>682</v>
      </c>
      <c r="B279" s="2" t="s">
        <v>672</v>
      </c>
      <c r="C27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43428</v>
      </c>
      <c r="D279" s="1" t="s">
        <v>683</v>
      </c>
      <c r="E279" s="1" t="s">
        <v>16</v>
      </c>
      <c r="F279" s="1" t="s">
        <v>103</v>
      </c>
    </row>
    <row r="280" spans="1:6">
      <c r="A280" s="1" t="s">
        <v>684</v>
      </c>
      <c r="B280" s="2" t="s">
        <v>672</v>
      </c>
      <c r="C28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43428</v>
      </c>
      <c r="D280" s="1" t="s">
        <v>496</v>
      </c>
      <c r="E280" s="1" t="s">
        <v>20</v>
      </c>
      <c r="F280" s="1" t="s">
        <v>106</v>
      </c>
    </row>
    <row r="281" spans="1:6">
      <c r="A281" s="1" t="s">
        <v>685</v>
      </c>
      <c r="B281" s="2" t="s">
        <v>672</v>
      </c>
      <c r="C28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43428</v>
      </c>
      <c r="D281" s="1" t="s">
        <v>686</v>
      </c>
      <c r="E281" s="1" t="s">
        <v>24</v>
      </c>
      <c r="F281" s="1" t="s">
        <v>673</v>
      </c>
    </row>
    <row r="282" spans="1:6">
      <c r="A282" s="1" t="s">
        <v>687</v>
      </c>
      <c r="B282" s="2" t="s">
        <v>688</v>
      </c>
      <c r="C28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43429</v>
      </c>
      <c r="D282" s="1" t="s">
        <v>109</v>
      </c>
      <c r="E282" s="1" t="s">
        <v>44</v>
      </c>
      <c r="F282" s="1" t="s">
        <v>676</v>
      </c>
    </row>
    <row r="283" spans="1:6">
      <c r="A283" s="1" t="s">
        <v>689</v>
      </c>
      <c r="B283" s="2" t="s">
        <v>690</v>
      </c>
      <c r="C28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43430</v>
      </c>
      <c r="D283" s="1" t="s">
        <v>691</v>
      </c>
      <c r="E283" s="1" t="s">
        <v>56</v>
      </c>
      <c r="F283" s="1" t="s">
        <v>679</v>
      </c>
    </row>
    <row r="284" spans="1:6">
      <c r="A284" s="1" t="s">
        <v>692</v>
      </c>
      <c r="B284" s="2" t="s">
        <v>693</v>
      </c>
      <c r="C28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43431</v>
      </c>
      <c r="D284" s="1" t="s">
        <v>694</v>
      </c>
      <c r="E284" s="1" t="s">
        <v>12</v>
      </c>
      <c r="F284" s="1" t="s">
        <v>664</v>
      </c>
    </row>
    <row r="285" spans="1:6">
      <c r="A285" s="1" t="s">
        <v>695</v>
      </c>
      <c r="B285" s="2" t="s">
        <v>696</v>
      </c>
      <c r="C28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43432</v>
      </c>
      <c r="D285" s="1" t="s">
        <v>697</v>
      </c>
      <c r="E285" s="1" t="s">
        <v>16</v>
      </c>
      <c r="F285" s="1" t="s">
        <v>103</v>
      </c>
    </row>
    <row r="286" spans="1:6">
      <c r="A286" s="1" t="s">
        <v>698</v>
      </c>
      <c r="B286" s="2" t="s">
        <v>696</v>
      </c>
      <c r="C28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43432</v>
      </c>
      <c r="D286" s="1" t="s">
        <v>699</v>
      </c>
      <c r="E286" s="1" t="s">
        <v>20</v>
      </c>
      <c r="F286" s="1" t="s">
        <v>106</v>
      </c>
    </row>
    <row r="287" spans="1:6">
      <c r="A287" s="1" t="s">
        <v>700</v>
      </c>
      <c r="B287" s="2" t="s">
        <v>696</v>
      </c>
      <c r="C28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43432</v>
      </c>
      <c r="D287" s="1" t="s">
        <v>701</v>
      </c>
      <c r="E287" s="1" t="s">
        <v>24</v>
      </c>
      <c r="F287" s="1" t="s">
        <v>673</v>
      </c>
    </row>
    <row r="288" spans="1:6">
      <c r="A288" s="1" t="s">
        <v>702</v>
      </c>
      <c r="B288" s="2">
        <v>43112</v>
      </c>
      <c r="C28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43435</v>
      </c>
      <c r="D288" s="1" t="s">
        <v>703</v>
      </c>
      <c r="E288" s="1" t="s">
        <v>44</v>
      </c>
      <c r="F288" s="1" t="s">
        <v>676</v>
      </c>
    </row>
    <row r="289" spans="1:6">
      <c r="A289" s="1" t="s">
        <v>704</v>
      </c>
      <c r="B289" s="2">
        <v>43143</v>
      </c>
      <c r="C28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43436</v>
      </c>
      <c r="D289" s="1" t="s">
        <v>559</v>
      </c>
      <c r="E289" s="1" t="s">
        <v>56</v>
      </c>
      <c r="F289" s="1" t="s">
        <v>679</v>
      </c>
    </row>
    <row r="290" spans="1:6">
      <c r="A290" s="1" t="s">
        <v>705</v>
      </c>
      <c r="B290" s="2">
        <v>43171</v>
      </c>
      <c r="C29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43437</v>
      </c>
      <c r="D290" s="1" t="s">
        <v>479</v>
      </c>
      <c r="E290" s="1" t="s">
        <v>12</v>
      </c>
      <c r="F290" s="1" t="s">
        <v>664</v>
      </c>
    </row>
    <row r="291" spans="1:6">
      <c r="A291" s="1" t="s">
        <v>706</v>
      </c>
      <c r="B291" s="2">
        <v>43202</v>
      </c>
      <c r="C29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43438</v>
      </c>
      <c r="D291" s="1" t="s">
        <v>707</v>
      </c>
      <c r="E291" s="1" t="s">
        <v>16</v>
      </c>
      <c r="F291" s="1" t="s">
        <v>103</v>
      </c>
    </row>
    <row r="292" spans="1:6">
      <c r="A292" s="1" t="s">
        <v>708</v>
      </c>
      <c r="B292" s="2">
        <v>43202</v>
      </c>
      <c r="C29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43438</v>
      </c>
      <c r="D292" s="1" t="s">
        <v>300</v>
      </c>
      <c r="E292" s="1" t="s">
        <v>20</v>
      </c>
      <c r="F292" s="1" t="s">
        <v>106</v>
      </c>
    </row>
    <row r="293" spans="1:6">
      <c r="A293" s="1" t="s">
        <v>709</v>
      </c>
      <c r="B293" s="2">
        <v>43202</v>
      </c>
      <c r="C29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43438</v>
      </c>
      <c r="D293" s="1" t="s">
        <v>460</v>
      </c>
      <c r="E293" s="1" t="s">
        <v>24</v>
      </c>
      <c r="F293" s="1" t="s">
        <v>673</v>
      </c>
    </row>
    <row r="294" spans="1:6">
      <c r="A294" s="1" t="s">
        <v>710</v>
      </c>
      <c r="B294" s="2">
        <v>43202</v>
      </c>
      <c r="C29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43438</v>
      </c>
      <c r="D294" s="1" t="s">
        <v>711</v>
      </c>
      <c r="E294" s="1" t="s">
        <v>44</v>
      </c>
      <c r="F294" s="1" t="s">
        <v>676</v>
      </c>
    </row>
    <row r="295" spans="1:6">
      <c r="A295" s="1" t="s">
        <v>712</v>
      </c>
      <c r="B295" s="2">
        <v>43202</v>
      </c>
      <c r="C29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43438</v>
      </c>
      <c r="D295" s="1" t="s">
        <v>713</v>
      </c>
      <c r="E295" s="1" t="s">
        <v>56</v>
      </c>
      <c r="F295" s="1" t="s">
        <v>679</v>
      </c>
    </row>
    <row r="296" spans="1:6">
      <c r="A296" s="1" t="s">
        <v>714</v>
      </c>
      <c r="B296" s="2">
        <v>43202</v>
      </c>
      <c r="C29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43438</v>
      </c>
      <c r="D296" s="1" t="s">
        <v>715</v>
      </c>
      <c r="E296" s="1" t="s">
        <v>12</v>
      </c>
      <c r="F296" s="1" t="s">
        <v>664</v>
      </c>
    </row>
    <row r="297" spans="1:6">
      <c r="A297" s="1" t="s">
        <v>716</v>
      </c>
      <c r="B297" s="2">
        <v>43232</v>
      </c>
      <c r="C29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43439</v>
      </c>
      <c r="D297" s="1" t="s">
        <v>383</v>
      </c>
      <c r="E297" s="1" t="s">
        <v>16</v>
      </c>
      <c r="F297" s="1" t="s">
        <v>103</v>
      </c>
    </row>
    <row r="298" spans="1:6">
      <c r="A298" s="1" t="s">
        <v>717</v>
      </c>
      <c r="B298" s="2">
        <v>43263</v>
      </c>
      <c r="C29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43440</v>
      </c>
      <c r="D298" s="1" t="s">
        <v>559</v>
      </c>
      <c r="E298" s="1" t="s">
        <v>20</v>
      </c>
      <c r="F298" s="1" t="s">
        <v>106</v>
      </c>
    </row>
    <row r="299" spans="1:6">
      <c r="A299" s="1" t="s">
        <v>718</v>
      </c>
      <c r="B299" s="2">
        <v>43293</v>
      </c>
      <c r="C29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43441</v>
      </c>
      <c r="D299" s="1" t="s">
        <v>479</v>
      </c>
      <c r="E299" s="1" t="s">
        <v>24</v>
      </c>
      <c r="F299" s="1" t="s">
        <v>673</v>
      </c>
    </row>
    <row r="300" spans="1:6">
      <c r="A300" s="1" t="s">
        <v>719</v>
      </c>
      <c r="B300" s="2">
        <v>43324</v>
      </c>
      <c r="C30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43442</v>
      </c>
      <c r="D300" s="1" t="s">
        <v>720</v>
      </c>
      <c r="E300" s="1" t="s">
        <v>44</v>
      </c>
      <c r="F300" s="1" t="s">
        <v>676</v>
      </c>
    </row>
    <row r="301" spans="1:6">
      <c r="A301" s="1" t="s">
        <v>721</v>
      </c>
      <c r="B301" s="2">
        <v>43355</v>
      </c>
      <c r="C30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43443</v>
      </c>
      <c r="D301" s="1" t="s">
        <v>630</v>
      </c>
      <c r="E301" s="1" t="s">
        <v>56</v>
      </c>
      <c r="F301" s="1" t="s">
        <v>679</v>
      </c>
    </row>
    <row r="302" spans="1:6">
      <c r="A302" s="1" t="s">
        <v>722</v>
      </c>
      <c r="B302" s="2">
        <v>43385</v>
      </c>
      <c r="C30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43444</v>
      </c>
      <c r="D302" s="1" t="s">
        <v>723</v>
      </c>
      <c r="E302" s="1" t="s">
        <v>12</v>
      </c>
      <c r="F302" s="1" t="s">
        <v>664</v>
      </c>
    </row>
    <row r="303" spans="1:6">
      <c r="A303" s="1" t="s">
        <v>724</v>
      </c>
      <c r="B303" s="2">
        <v>43385</v>
      </c>
      <c r="C30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43444</v>
      </c>
      <c r="D303" s="1" t="s">
        <v>725</v>
      </c>
      <c r="E303" s="1" t="s">
        <v>16</v>
      </c>
      <c r="F303" s="1" t="s">
        <v>103</v>
      </c>
    </row>
    <row r="304" spans="1:6">
      <c r="A304" s="1" t="s">
        <v>726</v>
      </c>
      <c r="B304" s="2">
        <v>43385</v>
      </c>
      <c r="C30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43444</v>
      </c>
      <c r="D304" s="1" t="s">
        <v>727</v>
      </c>
      <c r="E304" s="1" t="s">
        <v>20</v>
      </c>
      <c r="F304" s="1" t="s">
        <v>106</v>
      </c>
    </row>
    <row r="305" spans="1:6">
      <c r="A305" s="1" t="s">
        <v>728</v>
      </c>
      <c r="B305" s="2">
        <v>43385</v>
      </c>
      <c r="C30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43444</v>
      </c>
      <c r="D305" s="1" t="s">
        <v>538</v>
      </c>
      <c r="E305" s="1" t="s">
        <v>729</v>
      </c>
      <c r="F305" s="1" t="s">
        <v>729</v>
      </c>
    </row>
    <row r="306" spans="1:6">
      <c r="A306" s="1" t="s">
        <v>730</v>
      </c>
      <c r="B306" s="2">
        <v>43416</v>
      </c>
      <c r="C30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43445</v>
      </c>
      <c r="D306" s="1" t="s">
        <v>731</v>
      </c>
      <c r="E306" s="1" t="s">
        <v>20</v>
      </c>
      <c r="F306" s="1" t="s">
        <v>729</v>
      </c>
    </row>
    <row r="307" spans="1:6">
      <c r="A307" s="1" t="s">
        <v>732</v>
      </c>
      <c r="B307" s="2">
        <v>43416</v>
      </c>
      <c r="C30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43445</v>
      </c>
      <c r="D307" s="1" t="s">
        <v>733</v>
      </c>
      <c r="E307" s="1" t="s">
        <v>729</v>
      </c>
      <c r="F307" s="1" t="s">
        <v>729</v>
      </c>
    </row>
    <row r="308" spans="1:6">
      <c r="A308" s="1" t="s">
        <v>734</v>
      </c>
      <c r="B308" s="2">
        <v>43416</v>
      </c>
      <c r="C30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43445</v>
      </c>
      <c r="D308" s="1" t="s">
        <v>735</v>
      </c>
      <c r="E308" s="1" t="s">
        <v>20</v>
      </c>
      <c r="F308" s="1" t="s">
        <v>21</v>
      </c>
    </row>
    <row r="309" spans="1:6">
      <c r="A309" s="1" t="s">
        <v>736</v>
      </c>
      <c r="B309" s="2">
        <v>43446</v>
      </c>
      <c r="C30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43446</v>
      </c>
      <c r="D309" s="1" t="s">
        <v>737</v>
      </c>
      <c r="E309" s="1" t="s">
        <v>729</v>
      </c>
      <c r="F309" s="1" t="s">
        <v>729</v>
      </c>
    </row>
    <row r="310" spans="1:6">
      <c r="A310" s="1" t="s">
        <v>738</v>
      </c>
      <c r="B310" s="2" t="s">
        <v>739</v>
      </c>
      <c r="C31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43447</v>
      </c>
      <c r="D310" s="1" t="s">
        <v>740</v>
      </c>
      <c r="E310" s="1" t="s">
        <v>20</v>
      </c>
      <c r="F310" s="1" t="s">
        <v>729</v>
      </c>
    </row>
    <row r="311" spans="1:6">
      <c r="A311" s="1" t="s">
        <v>741</v>
      </c>
      <c r="B311" s="2" t="s">
        <v>742</v>
      </c>
      <c r="C31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43448</v>
      </c>
      <c r="D311" s="1" t="s">
        <v>743</v>
      </c>
      <c r="E311" s="1" t="s">
        <v>729</v>
      </c>
      <c r="F311" s="1" t="s">
        <v>729</v>
      </c>
    </row>
    <row r="312" spans="1:6">
      <c r="A312" s="1" t="s">
        <v>744</v>
      </c>
      <c r="B312" s="2" t="s">
        <v>745</v>
      </c>
      <c r="C31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43449</v>
      </c>
      <c r="D312" s="1" t="s">
        <v>746</v>
      </c>
      <c r="E312" s="1" t="s">
        <v>20</v>
      </c>
      <c r="F312" s="1" t="s">
        <v>21</v>
      </c>
    </row>
    <row r="313" spans="1:6">
      <c r="A313" s="1" t="s">
        <v>747</v>
      </c>
      <c r="B313" s="2" t="s">
        <v>748</v>
      </c>
      <c r="C31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43450</v>
      </c>
      <c r="D313" s="1" t="s">
        <v>749</v>
      </c>
      <c r="E313" s="1" t="s">
        <v>729</v>
      </c>
      <c r="F313" s="1" t="s">
        <v>729</v>
      </c>
    </row>
    <row r="314" spans="1:6">
      <c r="A314" s="1" t="s">
        <v>750</v>
      </c>
      <c r="B314" s="2" t="s">
        <v>751</v>
      </c>
      <c r="C31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43451</v>
      </c>
      <c r="D314" s="1" t="s">
        <v>752</v>
      </c>
      <c r="E314" s="1" t="s">
        <v>20</v>
      </c>
      <c r="F314" s="1" t="s">
        <v>729</v>
      </c>
    </row>
    <row r="315" spans="1:6">
      <c r="A315" s="1" t="s">
        <v>753</v>
      </c>
      <c r="B315" s="2" t="s">
        <v>754</v>
      </c>
      <c r="C31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43452</v>
      </c>
      <c r="D315" s="1" t="s">
        <v>755</v>
      </c>
      <c r="E315" s="1" t="s">
        <v>729</v>
      </c>
      <c r="F315" s="1" t="s">
        <v>729</v>
      </c>
    </row>
    <row r="316" spans="1:6">
      <c r="A316" s="1" t="s">
        <v>756</v>
      </c>
      <c r="B316" s="2" t="s">
        <v>757</v>
      </c>
      <c r="C31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43453</v>
      </c>
      <c r="D316" s="1" t="s">
        <v>758</v>
      </c>
      <c r="E316" s="1" t="s">
        <v>56</v>
      </c>
      <c r="F316" s="1" t="s">
        <v>679</v>
      </c>
    </row>
    <row r="317" spans="1:6">
      <c r="A317" s="1" t="s">
        <v>759</v>
      </c>
      <c r="B317" s="2" t="s">
        <v>760</v>
      </c>
      <c r="C31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43454</v>
      </c>
      <c r="D317" s="1" t="s">
        <v>761</v>
      </c>
      <c r="E317" s="1" t="s">
        <v>12</v>
      </c>
      <c r="F317" s="1" t="s">
        <v>664</v>
      </c>
    </row>
    <row r="318" spans="1:6">
      <c r="A318" s="1" t="s">
        <v>762</v>
      </c>
      <c r="B318" s="2" t="s">
        <v>763</v>
      </c>
      <c r="C31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43455</v>
      </c>
      <c r="D318" s="1" t="s">
        <v>123</v>
      </c>
      <c r="E318" s="1" t="s">
        <v>16</v>
      </c>
      <c r="F318" s="1" t="s">
        <v>103</v>
      </c>
    </row>
    <row r="319" spans="1:6">
      <c r="A319" s="1" t="s">
        <v>764</v>
      </c>
      <c r="B319" s="2" t="s">
        <v>765</v>
      </c>
      <c r="C31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43456</v>
      </c>
      <c r="D319" s="1" t="s">
        <v>766</v>
      </c>
      <c r="E319" s="1" t="s">
        <v>20</v>
      </c>
      <c r="F319" s="1" t="s">
        <v>106</v>
      </c>
    </row>
    <row r="320" spans="1:6">
      <c r="A320" s="1" t="s">
        <v>767</v>
      </c>
      <c r="B320" s="2" t="s">
        <v>768</v>
      </c>
      <c r="C32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43457</v>
      </c>
      <c r="D320" s="1" t="s">
        <v>769</v>
      </c>
      <c r="E320" s="1" t="s">
        <v>24</v>
      </c>
      <c r="F320" s="1" t="s">
        <v>673</v>
      </c>
    </row>
    <row r="321" spans="1:6">
      <c r="A321" s="1" t="s">
        <v>770</v>
      </c>
      <c r="B321" s="2" t="s">
        <v>771</v>
      </c>
      <c r="C32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43458</v>
      </c>
      <c r="D321" s="1" t="s">
        <v>772</v>
      </c>
      <c r="E321" s="1" t="s">
        <v>44</v>
      </c>
      <c r="F321" s="1" t="s">
        <v>676</v>
      </c>
    </row>
    <row r="322" spans="1:6">
      <c r="A322" s="1" t="s">
        <v>773</v>
      </c>
      <c r="B322" s="2" t="s">
        <v>774</v>
      </c>
      <c r="C32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43459</v>
      </c>
      <c r="D322" s="1" t="s">
        <v>775</v>
      </c>
      <c r="E322" s="1" t="s">
        <v>56</v>
      </c>
      <c r="F322" s="1" t="s">
        <v>679</v>
      </c>
    </row>
    <row r="323" spans="1:6">
      <c r="A323" s="1" t="s">
        <v>776</v>
      </c>
      <c r="B323" s="2" t="s">
        <v>777</v>
      </c>
      <c r="C32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43460</v>
      </c>
      <c r="D323" s="1" t="s">
        <v>778</v>
      </c>
      <c r="E323" s="1" t="s">
        <v>12</v>
      </c>
      <c r="F323" s="1" t="s">
        <v>664</v>
      </c>
    </row>
    <row r="324" spans="1:6">
      <c r="A324" s="1" t="s">
        <v>779</v>
      </c>
      <c r="B324" s="2" t="s">
        <v>780</v>
      </c>
      <c r="C32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43461</v>
      </c>
      <c r="D324" s="1" t="s">
        <v>781</v>
      </c>
      <c r="E324" s="1" t="s">
        <v>16</v>
      </c>
      <c r="F324" s="1" t="s">
        <v>103</v>
      </c>
    </row>
    <row r="325" spans="1:6">
      <c r="A325" s="1" t="s">
        <v>782</v>
      </c>
      <c r="B325" s="2" t="s">
        <v>783</v>
      </c>
      <c r="C32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43462</v>
      </c>
      <c r="D325" s="1" t="s">
        <v>784</v>
      </c>
      <c r="E325" s="1" t="s">
        <v>32</v>
      </c>
      <c r="F325" s="1" t="s">
        <v>33</v>
      </c>
    </row>
    <row r="326" spans="1:6">
      <c r="A326" s="1" t="s">
        <v>785</v>
      </c>
      <c r="B326" s="2" t="s">
        <v>786</v>
      </c>
      <c r="C32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43463</v>
      </c>
      <c r="D326" s="1" t="s">
        <v>183</v>
      </c>
      <c r="E326" s="1" t="s">
        <v>16</v>
      </c>
      <c r="F326" s="1" t="s">
        <v>103</v>
      </c>
    </row>
    <row r="327" spans="1:6">
      <c r="A327" s="1" t="s">
        <v>787</v>
      </c>
      <c r="B327" s="2" t="s">
        <v>788</v>
      </c>
      <c r="C32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43464</v>
      </c>
      <c r="D327" s="1" t="s">
        <v>789</v>
      </c>
      <c r="E327" s="1" t="s">
        <v>20</v>
      </c>
      <c r="F327" s="1" t="s">
        <v>106</v>
      </c>
    </row>
    <row r="328" spans="1:6">
      <c r="A328" s="1" t="s">
        <v>790</v>
      </c>
      <c r="B328" s="2" t="s">
        <v>791</v>
      </c>
      <c r="C32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43465</v>
      </c>
      <c r="D328" s="1" t="s">
        <v>224</v>
      </c>
      <c r="E328" s="1" t="s">
        <v>44</v>
      </c>
      <c r="F328" s="1" t="s">
        <v>45</v>
      </c>
    </row>
    <row r="329" spans="1:6">
      <c r="A329" s="1" t="s">
        <v>792</v>
      </c>
      <c r="B329" s="2">
        <v>43466</v>
      </c>
      <c r="C32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43466</v>
      </c>
      <c r="D329" s="1" t="s">
        <v>793</v>
      </c>
      <c r="E329" s="1" t="s">
        <v>48</v>
      </c>
      <c r="F329" s="1" t="s">
        <v>49</v>
      </c>
    </row>
    <row r="330" spans="1:6">
      <c r="A330" s="1" t="s">
        <v>794</v>
      </c>
      <c r="B330" s="2">
        <v>43497</v>
      </c>
      <c r="C33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43467</v>
      </c>
      <c r="D330" s="1" t="s">
        <v>795</v>
      </c>
      <c r="E330" s="1" t="s">
        <v>52</v>
      </c>
      <c r="F330" s="1" t="s">
        <v>53</v>
      </c>
    </row>
    <row r="331" spans="1:6">
      <c r="A331" s="1" t="s">
        <v>796</v>
      </c>
      <c r="B331" s="2">
        <v>43525</v>
      </c>
      <c r="C33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43468</v>
      </c>
      <c r="D331" s="1" t="s">
        <v>797</v>
      </c>
      <c r="E331" s="1" t="s">
        <v>56</v>
      </c>
      <c r="F331" s="1" t="s">
        <v>57</v>
      </c>
    </row>
    <row r="332" spans="1:6">
      <c r="A332" s="1" t="s">
        <v>798</v>
      </c>
      <c r="B332" s="2">
        <v>43556</v>
      </c>
      <c r="C33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43469</v>
      </c>
      <c r="D332" s="1" t="s">
        <v>799</v>
      </c>
      <c r="E332" s="1" t="s">
        <v>16</v>
      </c>
      <c r="F332" s="1" t="s">
        <v>103</v>
      </c>
    </row>
    <row r="333" spans="1:6">
      <c r="A333" s="1" t="s">
        <v>800</v>
      </c>
      <c r="B333" s="2">
        <v>43556</v>
      </c>
      <c r="C33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43469</v>
      </c>
      <c r="D333" s="1" t="s">
        <v>801</v>
      </c>
      <c r="E333" s="1" t="s">
        <v>20</v>
      </c>
      <c r="F333" s="1" t="s">
        <v>106</v>
      </c>
    </row>
    <row r="334" spans="1:6">
      <c r="A334" s="1" t="s">
        <v>802</v>
      </c>
      <c r="B334" s="2">
        <v>43556</v>
      </c>
      <c r="C33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43469</v>
      </c>
      <c r="D334" s="1" t="s">
        <v>803</v>
      </c>
      <c r="E334" s="1" t="s">
        <v>16</v>
      </c>
      <c r="F334" s="1" t="s">
        <v>103</v>
      </c>
    </row>
    <row r="335" spans="1:6">
      <c r="A335" s="1" t="s">
        <v>804</v>
      </c>
      <c r="B335" s="2">
        <v>43556</v>
      </c>
      <c r="C33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43469</v>
      </c>
      <c r="D335" s="1" t="s">
        <v>805</v>
      </c>
      <c r="E335" s="1" t="s">
        <v>20</v>
      </c>
      <c r="F335" s="1" t="s">
        <v>106</v>
      </c>
    </row>
    <row r="336" spans="1:6">
      <c r="A336" s="1" t="s">
        <v>806</v>
      </c>
      <c r="B336" s="2">
        <v>43556</v>
      </c>
      <c r="C33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43469</v>
      </c>
      <c r="D336" s="1" t="s">
        <v>807</v>
      </c>
      <c r="E336" s="1" t="s">
        <v>77</v>
      </c>
      <c r="F336" s="1" t="s">
        <v>78</v>
      </c>
    </row>
    <row r="337" spans="1:6">
      <c r="A337" s="1" t="s">
        <v>808</v>
      </c>
      <c r="B337" s="2">
        <v>43586</v>
      </c>
      <c r="C33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43470</v>
      </c>
      <c r="D337" s="1" t="s">
        <v>809</v>
      </c>
      <c r="E337" s="1" t="s">
        <v>56</v>
      </c>
      <c r="F337" s="1" t="s">
        <v>57</v>
      </c>
    </row>
    <row r="338" spans="1:6">
      <c r="A338" s="1" t="s">
        <v>810</v>
      </c>
      <c r="B338" s="2">
        <v>43586</v>
      </c>
      <c r="C33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43470</v>
      </c>
      <c r="D338" s="1" t="s">
        <v>520</v>
      </c>
      <c r="E338" s="1" t="s">
        <v>60</v>
      </c>
      <c r="F338" s="1" t="s">
        <v>57</v>
      </c>
    </row>
    <row r="339" spans="1:6">
      <c r="A339" s="1" t="s">
        <v>811</v>
      </c>
      <c r="B339" s="2">
        <v>43586</v>
      </c>
      <c r="C33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43470</v>
      </c>
      <c r="D339" s="1" t="s">
        <v>803</v>
      </c>
      <c r="E339" s="1" t="s">
        <v>64</v>
      </c>
      <c r="F339" s="1" t="s">
        <v>65</v>
      </c>
    </row>
    <row r="340" spans="1:6">
      <c r="A340" s="1" t="s">
        <v>812</v>
      </c>
      <c r="B340" s="2">
        <v>43586</v>
      </c>
      <c r="C34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43470</v>
      </c>
      <c r="D340" s="1" t="s">
        <v>813</v>
      </c>
      <c r="E340" s="1" t="s">
        <v>69</v>
      </c>
      <c r="F340" s="1" t="s">
        <v>70</v>
      </c>
    </row>
    <row r="341" spans="1:6">
      <c r="A341" s="1" t="s">
        <v>814</v>
      </c>
      <c r="B341" s="2">
        <v>43617</v>
      </c>
      <c r="C34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43471</v>
      </c>
      <c r="D341" s="1" t="s">
        <v>815</v>
      </c>
      <c r="E341" s="1" t="s">
        <v>73</v>
      </c>
      <c r="F341" s="1" t="s">
        <v>73</v>
      </c>
    </row>
    <row r="342" spans="1:6">
      <c r="A342" s="1" t="s">
        <v>816</v>
      </c>
      <c r="B342" s="2">
        <v>43647</v>
      </c>
      <c r="C34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43472</v>
      </c>
      <c r="D342" s="1" t="s">
        <v>817</v>
      </c>
      <c r="E342" s="1" t="s">
        <v>77</v>
      </c>
      <c r="F342" s="1" t="s">
        <v>78</v>
      </c>
    </row>
    <row r="343" spans="1:6">
      <c r="A343" s="1" t="s">
        <v>818</v>
      </c>
      <c r="B343" s="2">
        <v>43678</v>
      </c>
      <c r="C34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43473</v>
      </c>
      <c r="D343" s="1" t="s">
        <v>550</v>
      </c>
      <c r="E343" s="1" t="s">
        <v>82</v>
      </c>
      <c r="F343" s="1" t="s">
        <v>83</v>
      </c>
    </row>
    <row r="344" spans="1:6">
      <c r="A344" s="1" t="s">
        <v>819</v>
      </c>
      <c r="B344" s="2">
        <v>43709</v>
      </c>
      <c r="C34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43474</v>
      </c>
      <c r="D344" s="1" t="s">
        <v>820</v>
      </c>
      <c r="E344" s="1" t="s">
        <v>12</v>
      </c>
      <c r="F344" s="1" t="s">
        <v>13</v>
      </c>
    </row>
    <row r="345" spans="1:6">
      <c r="A345" s="1" t="s">
        <v>821</v>
      </c>
      <c r="B345" s="2">
        <v>43739</v>
      </c>
      <c r="C34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43475</v>
      </c>
      <c r="D345" s="1" t="s">
        <v>822</v>
      </c>
      <c r="E345" s="1" t="s">
        <v>16</v>
      </c>
      <c r="F345" s="1" t="s">
        <v>17</v>
      </c>
    </row>
    <row r="346" spans="1:6">
      <c r="A346" s="1" t="s">
        <v>823</v>
      </c>
      <c r="B346" s="2">
        <v>43770</v>
      </c>
      <c r="C34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43476</v>
      </c>
      <c r="D346" s="1" t="s">
        <v>824</v>
      </c>
      <c r="E346" s="1" t="s">
        <v>20</v>
      </c>
      <c r="F346" s="1" t="s">
        <v>106</v>
      </c>
    </row>
    <row r="347" spans="1:6">
      <c r="A347" s="1" t="s">
        <v>825</v>
      </c>
      <c r="B347" s="2">
        <v>43800</v>
      </c>
      <c r="C34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43477</v>
      </c>
      <c r="D347" s="1" t="s">
        <v>667</v>
      </c>
      <c r="E347" s="1" t="s">
        <v>82</v>
      </c>
      <c r="F347" s="1" t="s">
        <v>83</v>
      </c>
    </row>
    <row r="348" spans="1:6">
      <c r="A348" s="1" t="s">
        <v>826</v>
      </c>
      <c r="B348" s="2" t="s">
        <v>827</v>
      </c>
      <c r="C34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43478</v>
      </c>
      <c r="D348" s="1" t="s">
        <v>828</v>
      </c>
      <c r="E348" s="1" t="s">
        <v>12</v>
      </c>
      <c r="F348" s="1" t="s">
        <v>13</v>
      </c>
    </row>
    <row r="349" spans="1:6">
      <c r="A349" s="1" t="s">
        <v>829</v>
      </c>
      <c r="B349" s="2" t="s">
        <v>827</v>
      </c>
      <c r="C34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43478</v>
      </c>
      <c r="D349" s="1" t="s">
        <v>830</v>
      </c>
      <c r="E349" s="1" t="s">
        <v>16</v>
      </c>
      <c r="F349" s="1" t="s">
        <v>17</v>
      </c>
    </row>
    <row r="350" spans="1:6">
      <c r="A350" s="1" t="s">
        <v>831</v>
      </c>
      <c r="B350" s="2" t="s">
        <v>827</v>
      </c>
      <c r="C35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43478</v>
      </c>
      <c r="D350" s="1" t="s">
        <v>832</v>
      </c>
      <c r="E350" s="1" t="s">
        <v>16</v>
      </c>
      <c r="F350" s="1" t="s">
        <v>103</v>
      </c>
    </row>
    <row r="351" spans="1:6">
      <c r="A351" s="1" t="s">
        <v>833</v>
      </c>
      <c r="B351" s="2" t="s">
        <v>827</v>
      </c>
      <c r="C35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43478</v>
      </c>
      <c r="D351" s="1" t="s">
        <v>183</v>
      </c>
      <c r="E351" s="1" t="s">
        <v>20</v>
      </c>
      <c r="F351" s="1" t="s">
        <v>106</v>
      </c>
    </row>
    <row r="352" spans="1:6">
      <c r="A352" s="1" t="s">
        <v>834</v>
      </c>
      <c r="B352" s="2" t="s">
        <v>827</v>
      </c>
      <c r="C35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43478</v>
      </c>
      <c r="D352" s="1" t="s">
        <v>835</v>
      </c>
      <c r="E352" s="1" t="s">
        <v>28</v>
      </c>
      <c r="F352" s="1" t="s">
        <v>29</v>
      </c>
    </row>
    <row r="353" spans="1:6">
      <c r="A353" s="1" t="s">
        <v>836</v>
      </c>
      <c r="B353" s="2" t="s">
        <v>827</v>
      </c>
      <c r="C35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43478</v>
      </c>
      <c r="D353" s="1" t="s">
        <v>171</v>
      </c>
      <c r="E353" s="1" t="s">
        <v>20</v>
      </c>
      <c r="F353" s="1" t="s">
        <v>106</v>
      </c>
    </row>
    <row r="354" spans="1:6">
      <c r="A354" s="1" t="s">
        <v>837</v>
      </c>
      <c r="B354" s="2" t="s">
        <v>838</v>
      </c>
      <c r="C35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43479</v>
      </c>
      <c r="D354" s="1" t="s">
        <v>238</v>
      </c>
      <c r="E354" s="1" t="s">
        <v>82</v>
      </c>
      <c r="F354" s="1" t="s">
        <v>83</v>
      </c>
    </row>
    <row r="355" spans="1:6">
      <c r="A355" s="1" t="s">
        <v>839</v>
      </c>
      <c r="B355" s="2" t="s">
        <v>838</v>
      </c>
      <c r="C35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43479</v>
      </c>
      <c r="D355" s="1" t="s">
        <v>840</v>
      </c>
      <c r="E355" s="1" t="s">
        <v>12</v>
      </c>
      <c r="F355" s="1" t="s">
        <v>13</v>
      </c>
    </row>
    <row r="356" spans="1:6">
      <c r="A356" s="1" t="s">
        <v>841</v>
      </c>
      <c r="B356" s="2" t="s">
        <v>842</v>
      </c>
      <c r="C35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43481</v>
      </c>
      <c r="D356" s="1" t="s">
        <v>421</v>
      </c>
      <c r="E356" s="1" t="s">
        <v>16</v>
      </c>
      <c r="F356" s="1" t="s">
        <v>17</v>
      </c>
    </row>
    <row r="357" spans="1:6">
      <c r="A357" s="1" t="s">
        <v>843</v>
      </c>
      <c r="B357" s="2" t="s">
        <v>844</v>
      </c>
      <c r="C35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43482</v>
      </c>
      <c r="D357" s="1" t="s">
        <v>224</v>
      </c>
      <c r="E357" s="1" t="s">
        <v>16</v>
      </c>
      <c r="F357" s="1" t="s">
        <v>103</v>
      </c>
    </row>
    <row r="358" spans="1:6">
      <c r="A358" s="1" t="s">
        <v>845</v>
      </c>
      <c r="B358" s="2" t="s">
        <v>846</v>
      </c>
      <c r="C35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43483</v>
      </c>
      <c r="D358" s="1" t="s">
        <v>221</v>
      </c>
      <c r="E358" s="1" t="s">
        <v>20</v>
      </c>
      <c r="F358" s="1" t="s">
        <v>106</v>
      </c>
    </row>
    <row r="359" spans="1:6">
      <c r="A359" s="1" t="s">
        <v>847</v>
      </c>
      <c r="B359" s="2" t="s">
        <v>846</v>
      </c>
      <c r="C35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43483</v>
      </c>
      <c r="D359" s="1" t="s">
        <v>848</v>
      </c>
      <c r="E359" s="1" t="s">
        <v>28</v>
      </c>
      <c r="F359" s="1" t="s">
        <v>29</v>
      </c>
    </row>
    <row r="360" spans="1:6">
      <c r="A360" s="1" t="s">
        <v>849</v>
      </c>
      <c r="B360" s="2" t="s">
        <v>846</v>
      </c>
      <c r="C36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43483</v>
      </c>
      <c r="D360" s="1" t="s">
        <v>850</v>
      </c>
      <c r="E360" s="1" t="s">
        <v>20</v>
      </c>
      <c r="F360" s="1" t="s">
        <v>106</v>
      </c>
    </row>
    <row r="361" spans="1:6">
      <c r="A361" s="1" t="s">
        <v>851</v>
      </c>
      <c r="B361" s="2" t="s">
        <v>846</v>
      </c>
      <c r="C36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43483</v>
      </c>
      <c r="D361" s="1" t="s">
        <v>224</v>
      </c>
      <c r="E361" s="1" t="s">
        <v>82</v>
      </c>
      <c r="F361" s="1" t="s">
        <v>83</v>
      </c>
    </row>
    <row r="362" spans="1:6">
      <c r="A362" s="1" t="s">
        <v>852</v>
      </c>
      <c r="B362" s="2" t="s">
        <v>846</v>
      </c>
      <c r="C36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43483</v>
      </c>
      <c r="D362" s="1" t="s">
        <v>446</v>
      </c>
      <c r="E362" s="1" t="s">
        <v>12</v>
      </c>
      <c r="F362" s="1" t="s">
        <v>13</v>
      </c>
    </row>
    <row r="363" spans="1:6">
      <c r="A363" s="1" t="s">
        <v>853</v>
      </c>
      <c r="B363" s="2" t="s">
        <v>854</v>
      </c>
      <c r="C36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43484</v>
      </c>
      <c r="D363" s="1" t="s">
        <v>855</v>
      </c>
      <c r="E363" s="1" t="s">
        <v>16</v>
      </c>
      <c r="F363" s="1" t="s">
        <v>17</v>
      </c>
    </row>
    <row r="364" spans="1:6">
      <c r="A364" s="1" t="s">
        <v>856</v>
      </c>
      <c r="B364" s="2" t="s">
        <v>854</v>
      </c>
      <c r="C36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43484</v>
      </c>
      <c r="D364" s="1" t="s">
        <v>857</v>
      </c>
      <c r="E364" s="1" t="s">
        <v>16</v>
      </c>
      <c r="F364" s="1" t="s">
        <v>103</v>
      </c>
    </row>
    <row r="365" spans="1:6">
      <c r="A365" s="1" t="s">
        <v>858</v>
      </c>
      <c r="B365" s="2" t="s">
        <v>859</v>
      </c>
      <c r="C36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43485</v>
      </c>
      <c r="D365" s="1" t="s">
        <v>860</v>
      </c>
      <c r="E365" s="1" t="s">
        <v>20</v>
      </c>
      <c r="F365" s="1" t="s">
        <v>106</v>
      </c>
    </row>
    <row r="366" spans="1:6">
      <c r="A366" s="1" t="s">
        <v>861</v>
      </c>
      <c r="B366" s="2" t="s">
        <v>862</v>
      </c>
      <c r="C36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43486</v>
      </c>
      <c r="D366" s="1" t="s">
        <v>863</v>
      </c>
      <c r="E366" s="1" t="s">
        <v>28</v>
      </c>
      <c r="F366" s="1" t="s">
        <v>29</v>
      </c>
    </row>
    <row r="367" spans="1:6">
      <c r="A367" s="1" t="s">
        <v>864</v>
      </c>
      <c r="B367" s="2" t="s">
        <v>862</v>
      </c>
      <c r="C36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43486</v>
      </c>
      <c r="D367" s="1" t="s">
        <v>421</v>
      </c>
      <c r="E367" s="1" t="s">
        <v>24</v>
      </c>
      <c r="F367" s="1" t="s">
        <v>673</v>
      </c>
    </row>
    <row r="368" spans="1:6">
      <c r="A368" s="1" t="s">
        <v>865</v>
      </c>
      <c r="B368" s="2" t="s">
        <v>862</v>
      </c>
      <c r="C36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43486</v>
      </c>
      <c r="D368" s="1" t="s">
        <v>650</v>
      </c>
      <c r="E368" s="1" t="s">
        <v>44</v>
      </c>
      <c r="F368" s="1" t="s">
        <v>676</v>
      </c>
    </row>
    <row r="369" spans="1:6">
      <c r="A369" s="1" t="s">
        <v>866</v>
      </c>
      <c r="B369" s="2" t="s">
        <v>862</v>
      </c>
      <c r="C36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43486</v>
      </c>
      <c r="D369" s="1" t="s">
        <v>867</v>
      </c>
      <c r="E369" s="1" t="s">
        <v>56</v>
      </c>
      <c r="F369" s="1" t="s">
        <v>679</v>
      </c>
    </row>
    <row r="370" spans="1:6">
      <c r="A370" s="1" t="s">
        <v>868</v>
      </c>
      <c r="B370" s="2" t="s">
        <v>862</v>
      </c>
      <c r="C37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43486</v>
      </c>
      <c r="D370" s="1" t="s">
        <v>869</v>
      </c>
      <c r="E370" s="1" t="s">
        <v>12</v>
      </c>
      <c r="F370" s="1" t="s">
        <v>664</v>
      </c>
    </row>
    <row r="371" spans="1:6">
      <c r="A371" s="1" t="s">
        <v>870</v>
      </c>
      <c r="B371" s="2" t="s">
        <v>871</v>
      </c>
      <c r="C37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43487</v>
      </c>
      <c r="D371" s="1" t="s">
        <v>206</v>
      </c>
      <c r="E371" s="1" t="s">
        <v>16</v>
      </c>
      <c r="F371" s="1" t="s">
        <v>103</v>
      </c>
    </row>
    <row r="372" spans="1:6">
      <c r="A372" s="1" t="s">
        <v>872</v>
      </c>
      <c r="B372" s="2" t="s">
        <v>871</v>
      </c>
      <c r="C37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43487</v>
      </c>
      <c r="D372" s="1" t="s">
        <v>214</v>
      </c>
      <c r="E372" s="1" t="s">
        <v>20</v>
      </c>
      <c r="F372" s="1" t="s">
        <v>106</v>
      </c>
    </row>
    <row r="373" spans="1:6">
      <c r="A373" s="1" t="s">
        <v>873</v>
      </c>
      <c r="B373" s="2" t="s">
        <v>874</v>
      </c>
      <c r="C37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43488</v>
      </c>
      <c r="D373" s="1" t="s">
        <v>875</v>
      </c>
      <c r="E373" s="1" t="s">
        <v>24</v>
      </c>
      <c r="F373" s="1" t="s">
        <v>673</v>
      </c>
    </row>
    <row r="374" spans="1:6">
      <c r="A374" s="1" t="s">
        <v>876</v>
      </c>
      <c r="B374" s="2" t="s">
        <v>877</v>
      </c>
      <c r="C37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43489</v>
      </c>
      <c r="D374" s="1" t="s">
        <v>878</v>
      </c>
      <c r="E374" s="1" t="s">
        <v>44</v>
      </c>
      <c r="F374" s="1" t="s">
        <v>676</v>
      </c>
    </row>
    <row r="375" spans="1:6">
      <c r="A375" s="1" t="s">
        <v>879</v>
      </c>
      <c r="B375" s="2" t="s">
        <v>880</v>
      </c>
      <c r="C37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43490</v>
      </c>
      <c r="D375" s="1" t="s">
        <v>881</v>
      </c>
      <c r="E375" s="1" t="s">
        <v>24</v>
      </c>
      <c r="F375" s="1" t="s">
        <v>673</v>
      </c>
    </row>
    <row r="376" spans="1:6">
      <c r="A376" s="1" t="s">
        <v>882</v>
      </c>
      <c r="B376" s="2" t="s">
        <v>880</v>
      </c>
      <c r="C37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43490</v>
      </c>
      <c r="D376" s="1" t="s">
        <v>171</v>
      </c>
      <c r="E376" s="1" t="s">
        <v>44</v>
      </c>
      <c r="F376" s="1" t="s">
        <v>676</v>
      </c>
    </row>
    <row r="377" spans="1:6">
      <c r="A377" s="1" t="s">
        <v>883</v>
      </c>
      <c r="B377" s="2" t="s">
        <v>880</v>
      </c>
      <c r="C37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43490</v>
      </c>
      <c r="D377" s="1" t="s">
        <v>884</v>
      </c>
      <c r="E377" s="1" t="s">
        <v>56</v>
      </c>
      <c r="F377" s="1" t="s">
        <v>679</v>
      </c>
    </row>
    <row r="378" spans="1:6">
      <c r="A378" s="1" t="s">
        <v>885</v>
      </c>
      <c r="B378" s="2" t="s">
        <v>886</v>
      </c>
      <c r="C37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43492</v>
      </c>
      <c r="D378" s="1" t="s">
        <v>234</v>
      </c>
      <c r="E378" s="1" t="s">
        <v>12</v>
      </c>
      <c r="F378" s="1" t="s">
        <v>664</v>
      </c>
    </row>
    <row r="379" spans="1:6">
      <c r="A379" s="1" t="s">
        <v>887</v>
      </c>
      <c r="B379" s="2" t="s">
        <v>886</v>
      </c>
      <c r="C37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43492</v>
      </c>
      <c r="D379" s="1" t="s">
        <v>888</v>
      </c>
      <c r="E379" s="1" t="s">
        <v>16</v>
      </c>
      <c r="F379" s="1" t="s">
        <v>103</v>
      </c>
    </row>
    <row r="380" spans="1:6">
      <c r="A380" s="1" t="s">
        <v>889</v>
      </c>
      <c r="B380" s="2" t="s">
        <v>886</v>
      </c>
      <c r="C38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43492</v>
      </c>
      <c r="D380" s="1" t="s">
        <v>473</v>
      </c>
      <c r="E380" s="1" t="s">
        <v>20</v>
      </c>
      <c r="F380" s="1" t="s">
        <v>106</v>
      </c>
    </row>
    <row r="381" spans="1:6">
      <c r="A381" s="1" t="s">
        <v>890</v>
      </c>
      <c r="B381" s="2" t="s">
        <v>886</v>
      </c>
      <c r="C38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43492</v>
      </c>
      <c r="D381" s="1" t="s">
        <v>296</v>
      </c>
      <c r="E381" s="1" t="s">
        <v>24</v>
      </c>
      <c r="F381" s="1" t="s">
        <v>673</v>
      </c>
    </row>
    <row r="382" spans="1:6">
      <c r="A382" s="1" t="s">
        <v>891</v>
      </c>
      <c r="B382" s="2" t="s">
        <v>892</v>
      </c>
      <c r="C38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43493</v>
      </c>
      <c r="D382" s="1" t="s">
        <v>893</v>
      </c>
      <c r="E382" s="1" t="s">
        <v>729</v>
      </c>
      <c r="F382" s="1" t="s">
        <v>729</v>
      </c>
    </row>
    <row r="383" spans="1:6">
      <c r="A383" s="1" t="s">
        <v>894</v>
      </c>
      <c r="B383" s="2" t="s">
        <v>895</v>
      </c>
      <c r="C38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43494</v>
      </c>
      <c r="D383" s="1" t="s">
        <v>896</v>
      </c>
      <c r="E383" s="1" t="s">
        <v>729</v>
      </c>
      <c r="F383" s="1" t="s">
        <v>729</v>
      </c>
    </row>
    <row r="384" spans="1:6">
      <c r="A384" s="1" t="s">
        <v>897</v>
      </c>
      <c r="B384" s="2" t="s">
        <v>898</v>
      </c>
      <c r="C38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43495</v>
      </c>
      <c r="D384" s="1" t="s">
        <v>899</v>
      </c>
      <c r="E384" s="1" t="s">
        <v>729</v>
      </c>
      <c r="F384" s="1" t="s">
        <v>729</v>
      </c>
    </row>
    <row r="385" spans="1:6">
      <c r="A385" s="1" t="s">
        <v>900</v>
      </c>
      <c r="B385" s="2" t="s">
        <v>898</v>
      </c>
      <c r="C38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43495</v>
      </c>
      <c r="D385" s="1" t="s">
        <v>755</v>
      </c>
      <c r="E385" s="1" t="s">
        <v>729</v>
      </c>
      <c r="F385" s="1" t="s">
        <v>729</v>
      </c>
    </row>
    <row r="386" spans="1:6">
      <c r="A386" s="1" t="s">
        <v>901</v>
      </c>
      <c r="B386" s="2" t="s">
        <v>902</v>
      </c>
      <c r="C38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43496</v>
      </c>
      <c r="D386" s="1" t="s">
        <v>903</v>
      </c>
      <c r="E386" s="1" t="s">
        <v>20</v>
      </c>
      <c r="F386" s="1" t="s">
        <v>106</v>
      </c>
    </row>
    <row r="387" spans="1:6">
      <c r="A387" s="1" t="s">
        <v>904</v>
      </c>
      <c r="B387" s="2" t="s">
        <v>902</v>
      </c>
      <c r="C38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43496</v>
      </c>
      <c r="D387" s="1" t="s">
        <v>296</v>
      </c>
      <c r="E387" s="1" t="s">
        <v>24</v>
      </c>
      <c r="F387" s="1" t="s">
        <v>673</v>
      </c>
    </row>
    <row r="388" spans="1:6">
      <c r="A388" s="1" t="s">
        <v>905</v>
      </c>
      <c r="B388" s="2" t="s">
        <v>902</v>
      </c>
      <c r="C38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43496</v>
      </c>
      <c r="D388" s="1" t="s">
        <v>906</v>
      </c>
      <c r="E388" s="1" t="s">
        <v>729</v>
      </c>
      <c r="F388" s="1" t="s">
        <v>729</v>
      </c>
    </row>
    <row r="389" spans="1:6">
      <c r="A389" s="1" t="s">
        <v>907</v>
      </c>
      <c r="B389" s="2" t="s">
        <v>902</v>
      </c>
      <c r="C38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43496</v>
      </c>
      <c r="D389" s="1" t="s">
        <v>908</v>
      </c>
      <c r="E389" s="1" t="s">
        <v>729</v>
      </c>
      <c r="F389" s="1" t="s">
        <v>729</v>
      </c>
    </row>
    <row r="390" spans="1:6">
      <c r="A390" s="1" t="s">
        <v>909</v>
      </c>
      <c r="B390" s="2">
        <v>43467</v>
      </c>
      <c r="C39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43497</v>
      </c>
      <c r="D390" s="1" t="s">
        <v>203</v>
      </c>
      <c r="E390" s="1" t="s">
        <v>729</v>
      </c>
      <c r="F390" s="1" t="s">
        <v>729</v>
      </c>
    </row>
    <row r="391" spans="1:6">
      <c r="A391" s="1" t="s">
        <v>910</v>
      </c>
      <c r="B391" s="2">
        <v>43498</v>
      </c>
      <c r="C39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43498</v>
      </c>
      <c r="D391" s="1" t="s">
        <v>911</v>
      </c>
      <c r="E391" s="1" t="s">
        <v>729</v>
      </c>
      <c r="F391" s="1" t="s">
        <v>729</v>
      </c>
    </row>
    <row r="392" spans="1:6">
      <c r="A392" s="1" t="s">
        <v>912</v>
      </c>
      <c r="B392" s="2">
        <v>43526</v>
      </c>
      <c r="C39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43499</v>
      </c>
      <c r="D392" s="1" t="s">
        <v>913</v>
      </c>
      <c r="E392" s="1" t="s">
        <v>20</v>
      </c>
      <c r="F392" s="1" t="s">
        <v>106</v>
      </c>
    </row>
    <row r="393" spans="1:6">
      <c r="A393" s="1" t="s">
        <v>914</v>
      </c>
      <c r="B393" s="2">
        <v>43526</v>
      </c>
      <c r="C39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43499</v>
      </c>
      <c r="D393" s="1" t="s">
        <v>624</v>
      </c>
      <c r="E393" s="1" t="s">
        <v>24</v>
      </c>
      <c r="F393" s="1" t="s">
        <v>673</v>
      </c>
    </row>
    <row r="394" spans="1:6">
      <c r="A394" s="1" t="s">
        <v>915</v>
      </c>
      <c r="B394" s="2">
        <v>43526</v>
      </c>
      <c r="C39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43499</v>
      </c>
      <c r="D394" s="1" t="s">
        <v>916</v>
      </c>
      <c r="E394" s="1" t="s">
        <v>729</v>
      </c>
      <c r="F394" s="1" t="s">
        <v>729</v>
      </c>
    </row>
    <row r="395" spans="1:6">
      <c r="A395" s="1" t="s">
        <v>917</v>
      </c>
      <c r="B395" s="2">
        <v>43526</v>
      </c>
      <c r="C39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43499</v>
      </c>
      <c r="D395" s="1" t="s">
        <v>918</v>
      </c>
      <c r="E395" s="1" t="s">
        <v>729</v>
      </c>
      <c r="F395" s="1" t="s">
        <v>729</v>
      </c>
    </row>
    <row r="396" spans="1:6">
      <c r="A396" s="1" t="s">
        <v>919</v>
      </c>
      <c r="B396" s="2">
        <v>43557</v>
      </c>
      <c r="C39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43500</v>
      </c>
      <c r="D396" s="1" t="s">
        <v>920</v>
      </c>
      <c r="E396" s="1" t="s">
        <v>729</v>
      </c>
      <c r="F396" s="1" t="s">
        <v>729</v>
      </c>
    </row>
    <row r="397" spans="1:6">
      <c r="A397" s="1" t="s">
        <v>921</v>
      </c>
      <c r="B397" s="2">
        <v>43557</v>
      </c>
      <c r="C39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43500</v>
      </c>
      <c r="D397" s="1" t="s">
        <v>922</v>
      </c>
      <c r="E397" s="1" t="s">
        <v>729</v>
      </c>
      <c r="F397" s="1" t="s">
        <v>729</v>
      </c>
    </row>
    <row r="398" spans="1:6">
      <c r="A398" s="1" t="s">
        <v>923</v>
      </c>
      <c r="B398" s="2">
        <v>43557</v>
      </c>
      <c r="C39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43500</v>
      </c>
      <c r="D398" s="1" t="s">
        <v>47</v>
      </c>
      <c r="E398" s="1" t="s">
        <v>20</v>
      </c>
      <c r="F398" s="1" t="s">
        <v>106</v>
      </c>
    </row>
    <row r="399" spans="1:6">
      <c r="A399" s="1" t="s">
        <v>924</v>
      </c>
      <c r="B399" s="2">
        <v>43557</v>
      </c>
      <c r="C39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43500</v>
      </c>
      <c r="D399" s="1" t="s">
        <v>925</v>
      </c>
      <c r="E399" s="1" t="s">
        <v>24</v>
      </c>
      <c r="F399" s="1" t="s">
        <v>673</v>
      </c>
    </row>
    <row r="400" spans="1:6">
      <c r="A400" s="1" t="s">
        <v>926</v>
      </c>
      <c r="B400" s="2">
        <v>43587</v>
      </c>
      <c r="C40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43501</v>
      </c>
      <c r="D400" s="1" t="s">
        <v>927</v>
      </c>
      <c r="E400" s="1" t="s">
        <v>729</v>
      </c>
      <c r="F400" s="1" t="s">
        <v>729</v>
      </c>
    </row>
    <row r="401" spans="1:6">
      <c r="A401" s="1" t="s">
        <v>928</v>
      </c>
      <c r="B401" s="2">
        <v>43618</v>
      </c>
      <c r="C40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43502</v>
      </c>
      <c r="D401" s="1" t="s">
        <v>371</v>
      </c>
      <c r="E401" s="1" t="s">
        <v>729</v>
      </c>
      <c r="F401" s="1" t="s">
        <v>729</v>
      </c>
    </row>
    <row r="402" spans="1:6">
      <c r="A402" s="1" t="s">
        <v>929</v>
      </c>
      <c r="B402" s="2">
        <v>43648</v>
      </c>
      <c r="C40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43503</v>
      </c>
      <c r="D402" s="1" t="s">
        <v>930</v>
      </c>
      <c r="E402" s="1" t="s">
        <v>729</v>
      </c>
      <c r="F402" s="1" t="s">
        <v>729</v>
      </c>
    </row>
    <row r="403" spans="1:6">
      <c r="A403" s="1" t="s">
        <v>931</v>
      </c>
      <c r="B403" s="2">
        <v>43679</v>
      </c>
      <c r="C40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43504</v>
      </c>
      <c r="D403" s="1" t="s">
        <v>391</v>
      </c>
      <c r="E403" s="1" t="s">
        <v>729</v>
      </c>
      <c r="F403" s="1" t="s">
        <v>729</v>
      </c>
    </row>
    <row r="404" spans="1:6">
      <c r="A404" s="1" t="s">
        <v>932</v>
      </c>
      <c r="B404" s="2">
        <v>43679</v>
      </c>
      <c r="C40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43504</v>
      </c>
      <c r="D404" s="1" t="s">
        <v>933</v>
      </c>
      <c r="E404" s="1" t="s">
        <v>20</v>
      </c>
      <c r="F404" s="1" t="s">
        <v>21</v>
      </c>
    </row>
    <row r="405" spans="1:6">
      <c r="A405" s="1" t="s">
        <v>934</v>
      </c>
      <c r="B405" s="2">
        <v>43679</v>
      </c>
      <c r="C40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43504</v>
      </c>
      <c r="D405" s="1" t="s">
        <v>935</v>
      </c>
      <c r="E405" s="1" t="s">
        <v>24</v>
      </c>
      <c r="F405" s="1" t="s">
        <v>25</v>
      </c>
    </row>
    <row r="406" spans="1:6">
      <c r="A406" s="1" t="s">
        <v>936</v>
      </c>
      <c r="B406" s="2">
        <v>43679</v>
      </c>
      <c r="C40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43504</v>
      </c>
      <c r="D406" s="1" t="s">
        <v>937</v>
      </c>
      <c r="E406" s="1" t="s">
        <v>28</v>
      </c>
      <c r="F406" s="1" t="s">
        <v>29</v>
      </c>
    </row>
    <row r="407" spans="1:6">
      <c r="A407" s="1" t="s">
        <v>938</v>
      </c>
      <c r="B407" s="2">
        <v>43710</v>
      </c>
      <c r="C40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43505</v>
      </c>
      <c r="D407" s="1" t="s">
        <v>939</v>
      </c>
      <c r="E407" s="1" t="s">
        <v>32</v>
      </c>
      <c r="F407" s="1" t="s">
        <v>33</v>
      </c>
    </row>
    <row r="408" spans="1:6">
      <c r="A408" s="1" t="s">
        <v>940</v>
      </c>
      <c r="B408" s="2">
        <v>43710</v>
      </c>
      <c r="C40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43505</v>
      </c>
      <c r="D408" s="1" t="s">
        <v>371</v>
      </c>
      <c r="E408" s="1" t="s">
        <v>36</v>
      </c>
      <c r="F408" s="1" t="s">
        <v>37</v>
      </c>
    </row>
    <row r="409" spans="1:6">
      <c r="A409" s="1" t="s">
        <v>941</v>
      </c>
      <c r="B409" s="2">
        <v>43710</v>
      </c>
      <c r="C40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43505</v>
      </c>
      <c r="D409" s="1" t="s">
        <v>942</v>
      </c>
      <c r="E409" s="1" t="s">
        <v>40</v>
      </c>
      <c r="F409" s="1" t="s">
        <v>41</v>
      </c>
    </row>
    <row r="410" spans="1:6">
      <c r="A410" s="1" t="s">
        <v>943</v>
      </c>
      <c r="B410" s="2">
        <v>43740</v>
      </c>
      <c r="C41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43506</v>
      </c>
      <c r="D410" s="1" t="s">
        <v>650</v>
      </c>
      <c r="E410" s="1" t="s">
        <v>44</v>
      </c>
      <c r="F410" s="1" t="s">
        <v>45</v>
      </c>
    </row>
    <row r="411" spans="1:6">
      <c r="A411" s="1" t="s">
        <v>944</v>
      </c>
      <c r="B411" s="2">
        <v>43771</v>
      </c>
      <c r="C41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43507</v>
      </c>
      <c r="D411" s="1" t="s">
        <v>945</v>
      </c>
      <c r="E411" s="1" t="s">
        <v>48</v>
      </c>
      <c r="F411" s="1" t="s">
        <v>49</v>
      </c>
    </row>
    <row r="412" spans="1:6">
      <c r="A412" s="1" t="s">
        <v>946</v>
      </c>
      <c r="B412" s="2">
        <v>43801</v>
      </c>
      <c r="C41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43508</v>
      </c>
      <c r="D412" s="1" t="s">
        <v>11</v>
      </c>
      <c r="E412" s="1" t="s">
        <v>12</v>
      </c>
      <c r="F412" s="1" t="s">
        <v>13</v>
      </c>
    </row>
    <row r="413" spans="1:6">
      <c r="A413" s="1" t="s">
        <v>947</v>
      </c>
      <c r="B413" s="2" t="s">
        <v>948</v>
      </c>
      <c r="C41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43509</v>
      </c>
      <c r="D413" s="1" t="s">
        <v>15</v>
      </c>
      <c r="E413" s="1" t="s">
        <v>16</v>
      </c>
      <c r="F413" s="1" t="s">
        <v>17</v>
      </c>
    </row>
    <row r="414" spans="1:6">
      <c r="A414" s="1" t="s">
        <v>949</v>
      </c>
      <c r="B414" s="2" t="s">
        <v>948</v>
      </c>
      <c r="C41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43509</v>
      </c>
      <c r="D414" s="1" t="s">
        <v>19</v>
      </c>
      <c r="E414" s="1" t="s">
        <v>20</v>
      </c>
      <c r="F414" s="1" t="s">
        <v>21</v>
      </c>
    </row>
    <row r="415" spans="1:6">
      <c r="A415" s="1" t="s">
        <v>950</v>
      </c>
      <c r="B415" s="2" t="s">
        <v>948</v>
      </c>
      <c r="C41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43509</v>
      </c>
      <c r="D415" s="1" t="s">
        <v>23</v>
      </c>
      <c r="E415" s="1" t="s">
        <v>24</v>
      </c>
      <c r="F415" s="1" t="s">
        <v>25</v>
      </c>
    </row>
    <row r="416" spans="1:6">
      <c r="A416" s="1" t="s">
        <v>951</v>
      </c>
      <c r="B416" s="2" t="s">
        <v>952</v>
      </c>
      <c r="C41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43510</v>
      </c>
      <c r="D416" s="1" t="s">
        <v>27</v>
      </c>
      <c r="E416" s="1" t="s">
        <v>28</v>
      </c>
      <c r="F416" s="1" t="s">
        <v>29</v>
      </c>
    </row>
    <row r="417" spans="1:6">
      <c r="A417" s="1" t="s">
        <v>953</v>
      </c>
      <c r="B417" s="2" t="s">
        <v>952</v>
      </c>
      <c r="C41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43510</v>
      </c>
      <c r="D417" s="1" t="s">
        <v>31</v>
      </c>
      <c r="E417" s="1" t="s">
        <v>32</v>
      </c>
      <c r="F417" s="1" t="s">
        <v>33</v>
      </c>
    </row>
    <row r="418" spans="1:6">
      <c r="A418" s="1" t="s">
        <v>954</v>
      </c>
      <c r="B418" s="2" t="s">
        <v>952</v>
      </c>
      <c r="C41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43510</v>
      </c>
      <c r="D418" s="1" t="s">
        <v>35</v>
      </c>
      <c r="E418" s="1" t="s">
        <v>36</v>
      </c>
      <c r="F418" s="1" t="s">
        <v>37</v>
      </c>
    </row>
    <row r="419" spans="1:6">
      <c r="A419" s="1" t="s">
        <v>955</v>
      </c>
      <c r="B419" s="2" t="s">
        <v>952</v>
      </c>
      <c r="C41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43510</v>
      </c>
      <c r="D419" s="1" t="s">
        <v>39</v>
      </c>
      <c r="E419" s="1" t="s">
        <v>40</v>
      </c>
      <c r="F419" s="1" t="s">
        <v>41</v>
      </c>
    </row>
    <row r="420" spans="1:6">
      <c r="A420" s="1" t="s">
        <v>956</v>
      </c>
      <c r="B420" s="2" t="s">
        <v>957</v>
      </c>
      <c r="C42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43511</v>
      </c>
      <c r="D420" s="1" t="s">
        <v>43</v>
      </c>
      <c r="E420" s="1" t="s">
        <v>44</v>
      </c>
      <c r="F420" s="1" t="s">
        <v>45</v>
      </c>
    </row>
    <row r="421" spans="1:6">
      <c r="A421" s="1" t="s">
        <v>958</v>
      </c>
      <c r="B421" s="2" t="s">
        <v>959</v>
      </c>
      <c r="C42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43512</v>
      </c>
      <c r="D421" s="1" t="s">
        <v>47</v>
      </c>
      <c r="E421" s="1" t="s">
        <v>48</v>
      </c>
      <c r="F421" s="1" t="s">
        <v>49</v>
      </c>
    </row>
    <row r="422" spans="1:6">
      <c r="A422" s="1" t="s">
        <v>960</v>
      </c>
      <c r="B422" s="2" t="s">
        <v>961</v>
      </c>
      <c r="C42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43513</v>
      </c>
      <c r="D422" s="1" t="s">
        <v>51</v>
      </c>
      <c r="E422" s="1" t="s">
        <v>52</v>
      </c>
      <c r="F422" s="1" t="s">
        <v>53</v>
      </c>
    </row>
    <row r="423" spans="1:6">
      <c r="A423" s="1" t="s">
        <v>962</v>
      </c>
      <c r="B423" s="2" t="s">
        <v>963</v>
      </c>
      <c r="C42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43514</v>
      </c>
      <c r="D423" s="1" t="s">
        <v>55</v>
      </c>
      <c r="E423" s="1" t="s">
        <v>56</v>
      </c>
      <c r="F423" s="1" t="s">
        <v>57</v>
      </c>
    </row>
    <row r="424" spans="1:6">
      <c r="A424" s="1" t="s">
        <v>964</v>
      </c>
      <c r="B424" s="2" t="s">
        <v>965</v>
      </c>
      <c r="C42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43515</v>
      </c>
      <c r="D424" s="1" t="s">
        <v>59</v>
      </c>
      <c r="E424" s="1" t="s">
        <v>60</v>
      </c>
      <c r="F424" s="1" t="s">
        <v>57</v>
      </c>
    </row>
    <row r="425" spans="1:6">
      <c r="A425" s="1" t="s">
        <v>966</v>
      </c>
      <c r="B425" s="2" t="s">
        <v>965</v>
      </c>
      <c r="C42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43515</v>
      </c>
      <c r="D425" s="1" t="s">
        <v>63</v>
      </c>
      <c r="E425" s="1" t="s">
        <v>64</v>
      </c>
      <c r="F425" s="1" t="s">
        <v>65</v>
      </c>
    </row>
    <row r="426" spans="1:6">
      <c r="A426" s="1" t="s">
        <v>967</v>
      </c>
      <c r="B426" s="2" t="s">
        <v>965</v>
      </c>
      <c r="C42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43515</v>
      </c>
      <c r="D426" s="1" t="s">
        <v>68</v>
      </c>
      <c r="E426" s="1" t="s">
        <v>69</v>
      </c>
      <c r="F426" s="1" t="s">
        <v>70</v>
      </c>
    </row>
    <row r="427" spans="1:6">
      <c r="A427" s="1" t="s">
        <v>968</v>
      </c>
      <c r="B427" s="2" t="s">
        <v>965</v>
      </c>
      <c r="C42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43515</v>
      </c>
      <c r="D427" s="1" t="s">
        <v>72</v>
      </c>
      <c r="E427" s="1" t="s">
        <v>73</v>
      </c>
      <c r="F427" s="1" t="s">
        <v>73</v>
      </c>
    </row>
    <row r="428" spans="1:6">
      <c r="A428" s="1" t="s">
        <v>969</v>
      </c>
      <c r="B428" s="2" t="s">
        <v>970</v>
      </c>
      <c r="C42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43516</v>
      </c>
      <c r="D428" s="1" t="s">
        <v>76</v>
      </c>
      <c r="E428" s="1" t="s">
        <v>77</v>
      </c>
      <c r="F428" s="1" t="s">
        <v>78</v>
      </c>
    </row>
    <row r="429" spans="1:6">
      <c r="A429" s="1" t="s">
        <v>971</v>
      </c>
      <c r="B429" s="2" t="s">
        <v>970</v>
      </c>
      <c r="C42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43516</v>
      </c>
      <c r="D429" s="1" t="s">
        <v>81</v>
      </c>
      <c r="E429" s="1" t="s">
        <v>82</v>
      </c>
      <c r="F429" s="1" t="s">
        <v>83</v>
      </c>
    </row>
    <row r="430" spans="1:6">
      <c r="A430" s="1" t="s">
        <v>972</v>
      </c>
      <c r="B430" s="2" t="s">
        <v>970</v>
      </c>
      <c r="C43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43516</v>
      </c>
      <c r="D430" s="1" t="s">
        <v>85</v>
      </c>
      <c r="E430" s="1" t="s">
        <v>12</v>
      </c>
      <c r="F430" s="1" t="s">
        <v>13</v>
      </c>
    </row>
    <row r="431" spans="1:6">
      <c r="A431" s="1" t="s">
        <v>973</v>
      </c>
      <c r="B431" s="2" t="s">
        <v>974</v>
      </c>
      <c r="C43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43517</v>
      </c>
      <c r="D431" s="1" t="s">
        <v>88</v>
      </c>
      <c r="E431" s="1" t="s">
        <v>16</v>
      </c>
      <c r="F431" s="1" t="s">
        <v>17</v>
      </c>
    </row>
    <row r="432" spans="1:6">
      <c r="A432" s="1" t="s">
        <v>975</v>
      </c>
      <c r="B432" s="2" t="s">
        <v>976</v>
      </c>
      <c r="C43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43518</v>
      </c>
      <c r="D432" s="1" t="s">
        <v>90</v>
      </c>
      <c r="E432" s="1" t="s">
        <v>20</v>
      </c>
      <c r="F432" s="1" t="s">
        <v>21</v>
      </c>
    </row>
    <row r="433" spans="1:6">
      <c r="A433" s="1" t="s">
        <v>977</v>
      </c>
      <c r="B433" s="2" t="s">
        <v>976</v>
      </c>
      <c r="C43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43518</v>
      </c>
      <c r="D433" s="1" t="s">
        <v>93</v>
      </c>
      <c r="E433" s="1" t="s">
        <v>24</v>
      </c>
      <c r="F433" s="1" t="s">
        <v>25</v>
      </c>
    </row>
    <row r="434" spans="1:6">
      <c r="A434" s="1" t="s">
        <v>978</v>
      </c>
      <c r="B434" s="2" t="s">
        <v>976</v>
      </c>
      <c r="C43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43518</v>
      </c>
      <c r="D434" s="1" t="s">
        <v>95</v>
      </c>
      <c r="E434" s="1" t="s">
        <v>28</v>
      </c>
      <c r="F434" s="1" t="s">
        <v>29</v>
      </c>
    </row>
    <row r="435" spans="1:6">
      <c r="A435" s="1" t="s">
        <v>979</v>
      </c>
      <c r="B435" s="2" t="s">
        <v>980</v>
      </c>
      <c r="C43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43519</v>
      </c>
      <c r="D435" s="1" t="s">
        <v>97</v>
      </c>
      <c r="E435" s="1" t="s">
        <v>32</v>
      </c>
      <c r="F435" s="1" t="s">
        <v>33</v>
      </c>
    </row>
    <row r="436" spans="1:6">
      <c r="A436" s="1" t="s">
        <v>981</v>
      </c>
      <c r="B436" s="2" t="s">
        <v>980</v>
      </c>
      <c r="C43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43519</v>
      </c>
      <c r="D436" s="1" t="s">
        <v>100</v>
      </c>
      <c r="E436" s="1" t="s">
        <v>36</v>
      </c>
      <c r="F436" s="1" t="s">
        <v>37</v>
      </c>
    </row>
    <row r="437" spans="1:6">
      <c r="A437" s="1" t="s">
        <v>982</v>
      </c>
      <c r="B437" s="2" t="s">
        <v>980</v>
      </c>
      <c r="C43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43519</v>
      </c>
      <c r="D437" s="1" t="s">
        <v>102</v>
      </c>
      <c r="E437" s="1" t="s">
        <v>16</v>
      </c>
      <c r="F437" s="1" t="s">
        <v>103</v>
      </c>
    </row>
    <row r="438" spans="1:6">
      <c r="A438" s="1" t="s">
        <v>983</v>
      </c>
      <c r="B438" s="2" t="s">
        <v>980</v>
      </c>
      <c r="C43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43519</v>
      </c>
      <c r="D438" s="1" t="s">
        <v>105</v>
      </c>
      <c r="E438" s="1" t="s">
        <v>20</v>
      </c>
      <c r="F438" s="1" t="s">
        <v>106</v>
      </c>
    </row>
    <row r="439" spans="1:6">
      <c r="A439" s="1" t="s">
        <v>984</v>
      </c>
      <c r="B439" s="2" t="s">
        <v>985</v>
      </c>
      <c r="C43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43520</v>
      </c>
      <c r="D439" s="1" t="s">
        <v>109</v>
      </c>
      <c r="E439" s="1" t="s">
        <v>48</v>
      </c>
      <c r="F439" s="1" t="s">
        <v>49</v>
      </c>
    </row>
    <row r="440" spans="1:6">
      <c r="A440" s="1" t="s">
        <v>986</v>
      </c>
      <c r="B440" s="2" t="s">
        <v>987</v>
      </c>
      <c r="C44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43521</v>
      </c>
      <c r="D440" s="1" t="s">
        <v>111</v>
      </c>
      <c r="E440" s="1" t="s">
        <v>52</v>
      </c>
      <c r="F440" s="1" t="s">
        <v>53</v>
      </c>
    </row>
    <row r="441" spans="1:6">
      <c r="A441" s="1" t="s">
        <v>988</v>
      </c>
      <c r="B441" s="2" t="s">
        <v>989</v>
      </c>
      <c r="C44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43522</v>
      </c>
      <c r="D441" s="1" t="s">
        <v>113</v>
      </c>
      <c r="E441" s="1" t="s">
        <v>56</v>
      </c>
      <c r="F441" s="1" t="s">
        <v>57</v>
      </c>
    </row>
    <row r="442" spans="1:6">
      <c r="A442" s="1" t="s">
        <v>990</v>
      </c>
      <c r="B442" s="2" t="s">
        <v>991</v>
      </c>
      <c r="C44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43523</v>
      </c>
      <c r="D442" s="1" t="s">
        <v>115</v>
      </c>
      <c r="E442" s="1" t="s">
        <v>60</v>
      </c>
      <c r="F442" s="1" t="s">
        <v>57</v>
      </c>
    </row>
    <row r="443" spans="1:6">
      <c r="A443" s="1" t="s">
        <v>992</v>
      </c>
      <c r="B443" s="2" t="s">
        <v>993</v>
      </c>
      <c r="C44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43524</v>
      </c>
      <c r="D443" s="1" t="s">
        <v>118</v>
      </c>
      <c r="E443" s="1" t="s">
        <v>64</v>
      </c>
      <c r="F443" s="1" t="s">
        <v>65</v>
      </c>
    </row>
    <row r="444" spans="1:6">
      <c r="A444" s="1" t="s">
        <v>994</v>
      </c>
      <c r="B444" s="2">
        <v>43468</v>
      </c>
      <c r="C44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43525</v>
      </c>
      <c r="D444" s="1" t="s">
        <v>121</v>
      </c>
      <c r="E444" s="1" t="s">
        <v>69</v>
      </c>
      <c r="F444" s="1" t="s">
        <v>70</v>
      </c>
    </row>
    <row r="445" spans="1:6">
      <c r="A445" s="1" t="s">
        <v>995</v>
      </c>
      <c r="B445" s="2">
        <v>43499</v>
      </c>
      <c r="C44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43526</v>
      </c>
      <c r="D445" s="1" t="s">
        <v>123</v>
      </c>
      <c r="E445" s="1" t="s">
        <v>73</v>
      </c>
      <c r="F445" s="1" t="s">
        <v>73</v>
      </c>
    </row>
    <row r="446" spans="1:6">
      <c r="A446" s="1" t="s">
        <v>996</v>
      </c>
      <c r="B446" s="2">
        <v>43527</v>
      </c>
      <c r="C44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43527</v>
      </c>
      <c r="D446" s="1" t="s">
        <v>125</v>
      </c>
      <c r="E446" s="1" t="s">
        <v>77</v>
      </c>
      <c r="F446" s="1" t="s">
        <v>78</v>
      </c>
    </row>
    <row r="447" spans="1:6">
      <c r="A447" s="1" t="s">
        <v>997</v>
      </c>
      <c r="B447" s="2">
        <v>43558</v>
      </c>
      <c r="C44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43528</v>
      </c>
      <c r="D447" s="1" t="s">
        <v>127</v>
      </c>
      <c r="E447" s="1" t="s">
        <v>16</v>
      </c>
      <c r="F447" s="1" t="s">
        <v>103</v>
      </c>
    </row>
    <row r="448" spans="1:6">
      <c r="A448" s="1" t="s">
        <v>998</v>
      </c>
      <c r="B448" s="2">
        <v>43558</v>
      </c>
      <c r="C44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43528</v>
      </c>
      <c r="D448" s="1" t="s">
        <v>129</v>
      </c>
      <c r="E448" s="1" t="s">
        <v>20</v>
      </c>
      <c r="F448" s="1" t="s">
        <v>106</v>
      </c>
    </row>
    <row r="449" spans="1:6">
      <c r="A449" s="1" t="s">
        <v>999</v>
      </c>
      <c r="B449" s="2">
        <v>43558</v>
      </c>
      <c r="C44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43528</v>
      </c>
      <c r="D449" s="1" t="s">
        <v>131</v>
      </c>
      <c r="E449" s="1" t="s">
        <v>16</v>
      </c>
      <c r="F449" s="1" t="s">
        <v>17</v>
      </c>
    </row>
    <row r="450" spans="1:6">
      <c r="A450" s="1" t="s">
        <v>1000</v>
      </c>
      <c r="B450" s="2">
        <v>43588</v>
      </c>
      <c r="C45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43529</v>
      </c>
      <c r="D450" s="1" t="s">
        <v>134</v>
      </c>
      <c r="E450" s="1" t="s">
        <v>20</v>
      </c>
      <c r="F450" s="1" t="s">
        <v>21</v>
      </c>
    </row>
    <row r="451" spans="1:6">
      <c r="A451" s="1" t="s">
        <v>1001</v>
      </c>
      <c r="B451" s="2">
        <v>43619</v>
      </c>
      <c r="C45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43530</v>
      </c>
      <c r="D451" s="1" t="s">
        <v>136</v>
      </c>
      <c r="E451" s="1" t="s">
        <v>24</v>
      </c>
      <c r="F451" s="1" t="s">
        <v>25</v>
      </c>
    </row>
    <row r="452" spans="1:6">
      <c r="A452" s="1" t="s">
        <v>1002</v>
      </c>
      <c r="B452" s="2">
        <v>43649</v>
      </c>
      <c r="C45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43531</v>
      </c>
      <c r="D452" s="1" t="s">
        <v>138</v>
      </c>
      <c r="E452" s="1" t="s">
        <v>28</v>
      </c>
      <c r="F452" s="1" t="s">
        <v>29</v>
      </c>
    </row>
    <row r="453" spans="1:6">
      <c r="A453" s="1" t="s">
        <v>1003</v>
      </c>
      <c r="B453" s="2">
        <v>43680</v>
      </c>
      <c r="C45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43532</v>
      </c>
      <c r="D453" s="1" t="s">
        <v>141</v>
      </c>
      <c r="E453" s="1" t="s">
        <v>32</v>
      </c>
      <c r="F453" s="1" t="s">
        <v>33</v>
      </c>
    </row>
    <row r="454" spans="1:6">
      <c r="A454" s="1" t="s">
        <v>1004</v>
      </c>
      <c r="B454" s="2">
        <v>43711</v>
      </c>
      <c r="C45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43533</v>
      </c>
      <c r="D454" s="1" t="s">
        <v>144</v>
      </c>
      <c r="E454" s="1" t="s">
        <v>36</v>
      </c>
      <c r="F454" s="1" t="s">
        <v>37</v>
      </c>
    </row>
    <row r="455" spans="1:6">
      <c r="A455" s="1" t="s">
        <v>1005</v>
      </c>
      <c r="B455" s="2">
        <v>43741</v>
      </c>
      <c r="C45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43534</v>
      </c>
      <c r="D455" s="1" t="s">
        <v>147</v>
      </c>
      <c r="E455" s="1" t="s">
        <v>16</v>
      </c>
      <c r="F455" s="1" t="s">
        <v>103</v>
      </c>
    </row>
    <row r="456" spans="1:6">
      <c r="A456" s="1" t="s">
        <v>1006</v>
      </c>
      <c r="B456" s="2">
        <v>43741</v>
      </c>
      <c r="C45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43534</v>
      </c>
      <c r="D456" s="1" t="s">
        <v>149</v>
      </c>
      <c r="E456" s="1" t="s">
        <v>20</v>
      </c>
      <c r="F456" s="1" t="s">
        <v>106</v>
      </c>
    </row>
    <row r="457" spans="1:6">
      <c r="A457" s="1" t="s">
        <v>1007</v>
      </c>
      <c r="B457" s="2">
        <v>43741</v>
      </c>
      <c r="C45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43534</v>
      </c>
      <c r="D457" s="1" t="s">
        <v>151</v>
      </c>
      <c r="E457" s="1" t="s">
        <v>48</v>
      </c>
      <c r="F457" s="1" t="s">
        <v>49</v>
      </c>
    </row>
    <row r="458" spans="1:6">
      <c r="A458" s="1" t="s">
        <v>1008</v>
      </c>
      <c r="B458" s="2">
        <v>43741</v>
      </c>
      <c r="C45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43534</v>
      </c>
      <c r="D458" s="1" t="s">
        <v>153</v>
      </c>
      <c r="E458" s="1" t="s">
        <v>52</v>
      </c>
      <c r="F458" s="1" t="s">
        <v>53</v>
      </c>
    </row>
    <row r="459" spans="1:6">
      <c r="A459" s="1" t="s">
        <v>1009</v>
      </c>
      <c r="B459" s="2">
        <v>43772</v>
      </c>
      <c r="C45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43535</v>
      </c>
      <c r="D459" s="1" t="s">
        <v>155</v>
      </c>
      <c r="E459" s="1" t="s">
        <v>56</v>
      </c>
      <c r="F459" s="1" t="s">
        <v>57</v>
      </c>
    </row>
    <row r="460" spans="1:6">
      <c r="A460" s="1" t="s">
        <v>1010</v>
      </c>
      <c r="B460" s="2">
        <v>43802</v>
      </c>
      <c r="C46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43536</v>
      </c>
      <c r="D460" s="1" t="s">
        <v>157</v>
      </c>
      <c r="E460" s="1" t="s">
        <v>60</v>
      </c>
      <c r="F460" s="1" t="s">
        <v>57</v>
      </c>
    </row>
    <row r="461" spans="1:6">
      <c r="A461" s="1" t="s">
        <v>1011</v>
      </c>
      <c r="B461" s="2" t="s">
        <v>1012</v>
      </c>
      <c r="C46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43537</v>
      </c>
      <c r="D461" s="1" t="s">
        <v>159</v>
      </c>
      <c r="E461" s="1" t="s">
        <v>16</v>
      </c>
      <c r="F461" s="1" t="s">
        <v>103</v>
      </c>
    </row>
    <row r="462" spans="1:6">
      <c r="A462" s="1" t="s">
        <v>1013</v>
      </c>
      <c r="B462" s="2" t="s">
        <v>1014</v>
      </c>
      <c r="C46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43538</v>
      </c>
      <c r="D462" s="1" t="s">
        <v>161</v>
      </c>
      <c r="E462" s="1" t="s">
        <v>20</v>
      </c>
      <c r="F462" s="1" t="s">
        <v>106</v>
      </c>
    </row>
    <row r="463" spans="1:6">
      <c r="A463" s="1" t="s">
        <v>1015</v>
      </c>
      <c r="B463" s="2" t="s">
        <v>1016</v>
      </c>
      <c r="C46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43539</v>
      </c>
      <c r="D463" s="1" t="s">
        <v>163</v>
      </c>
      <c r="E463" s="1" t="s">
        <v>73</v>
      </c>
      <c r="F463" s="1" t="s">
        <v>73</v>
      </c>
    </row>
    <row r="464" spans="1:6">
      <c r="A464" s="1" t="s">
        <v>1017</v>
      </c>
      <c r="B464" s="2" t="s">
        <v>1016</v>
      </c>
      <c r="C46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43539</v>
      </c>
      <c r="D464" s="1" t="s">
        <v>165</v>
      </c>
      <c r="E464" s="1" t="s">
        <v>77</v>
      </c>
      <c r="F464" s="1" t="s">
        <v>78</v>
      </c>
    </row>
    <row r="465" spans="1:6">
      <c r="A465" s="1" t="s">
        <v>1018</v>
      </c>
      <c r="B465" s="2" t="s">
        <v>1019</v>
      </c>
      <c r="C46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43540</v>
      </c>
      <c r="D465" s="1" t="s">
        <v>1020</v>
      </c>
      <c r="E465" s="1" t="s">
        <v>16</v>
      </c>
      <c r="F465" s="1" t="s">
        <v>103</v>
      </c>
    </row>
    <row r="466" spans="1:6">
      <c r="A466" s="1" t="s">
        <v>1021</v>
      </c>
      <c r="B466" s="2" t="s">
        <v>1019</v>
      </c>
      <c r="C46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43540</v>
      </c>
      <c r="D466" s="1" t="s">
        <v>169</v>
      </c>
      <c r="E466" s="1" t="s">
        <v>20</v>
      </c>
      <c r="F466" s="1" t="s">
        <v>106</v>
      </c>
    </row>
    <row r="467" spans="1:6">
      <c r="A467" s="1" t="s">
        <v>1022</v>
      </c>
      <c r="B467" s="2" t="s">
        <v>1019</v>
      </c>
      <c r="C46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43540</v>
      </c>
      <c r="D467" s="1" t="s">
        <v>171</v>
      </c>
      <c r="E467" s="1" t="s">
        <v>16</v>
      </c>
      <c r="F467" s="1" t="s">
        <v>17</v>
      </c>
    </row>
    <row r="468" spans="1:6">
      <c r="A468" s="1" t="s">
        <v>1023</v>
      </c>
      <c r="B468" s="2" t="s">
        <v>1019</v>
      </c>
      <c r="C46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43540</v>
      </c>
      <c r="D468" s="1" t="s">
        <v>174</v>
      </c>
      <c r="E468" s="1" t="s">
        <v>20</v>
      </c>
      <c r="F468" s="1" t="s">
        <v>21</v>
      </c>
    </row>
    <row r="469" spans="1:6">
      <c r="A469" s="1" t="s">
        <v>1024</v>
      </c>
      <c r="B469" s="2" t="s">
        <v>1019</v>
      </c>
      <c r="C46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43540</v>
      </c>
      <c r="D469" s="1" t="s">
        <v>177</v>
      </c>
      <c r="E469" s="1" t="s">
        <v>24</v>
      </c>
      <c r="F469" s="1" t="s">
        <v>25</v>
      </c>
    </row>
    <row r="470" spans="1:6">
      <c r="A470" s="1" t="s">
        <v>1025</v>
      </c>
      <c r="B470" s="2" t="s">
        <v>1026</v>
      </c>
      <c r="C47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43541</v>
      </c>
      <c r="D470" s="1" t="s">
        <v>180</v>
      </c>
      <c r="E470" s="1" t="s">
        <v>28</v>
      </c>
      <c r="F470" s="1" t="s">
        <v>29</v>
      </c>
    </row>
    <row r="471" spans="1:6">
      <c r="A471" s="1" t="s">
        <v>1027</v>
      </c>
      <c r="B471" s="2" t="s">
        <v>1028</v>
      </c>
      <c r="C47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43542</v>
      </c>
      <c r="D471" s="1" t="s">
        <v>183</v>
      </c>
      <c r="E471" s="1" t="s">
        <v>32</v>
      </c>
      <c r="F471" s="1" t="s">
        <v>33</v>
      </c>
    </row>
    <row r="472" spans="1:6">
      <c r="A472" s="1" t="s">
        <v>1029</v>
      </c>
      <c r="B472" s="2" t="s">
        <v>1030</v>
      </c>
      <c r="C47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43543</v>
      </c>
      <c r="D472" s="1" t="s">
        <v>186</v>
      </c>
      <c r="E472" s="1" t="s">
        <v>36</v>
      </c>
      <c r="F472" s="1" t="s">
        <v>37</v>
      </c>
    </row>
    <row r="473" spans="1:6">
      <c r="A473" s="1" t="s">
        <v>1031</v>
      </c>
      <c r="B473" s="2" t="s">
        <v>1032</v>
      </c>
      <c r="C47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43544</v>
      </c>
      <c r="D473" s="1" t="s">
        <v>188</v>
      </c>
      <c r="E473" s="1" t="s">
        <v>16</v>
      </c>
      <c r="F473" s="1" t="s">
        <v>103</v>
      </c>
    </row>
    <row r="474" spans="1:6">
      <c r="A474" s="1" t="s">
        <v>1033</v>
      </c>
      <c r="B474" s="2" t="s">
        <v>1034</v>
      </c>
      <c r="C47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43545</v>
      </c>
      <c r="D474" s="1" t="s">
        <v>191</v>
      </c>
      <c r="E474" s="1" t="s">
        <v>20</v>
      </c>
      <c r="F474" s="1" t="s">
        <v>106</v>
      </c>
    </row>
    <row r="475" spans="1:6">
      <c r="A475" s="1" t="s">
        <v>1035</v>
      </c>
      <c r="B475" s="2" t="s">
        <v>1034</v>
      </c>
      <c r="C47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43545</v>
      </c>
      <c r="D475" s="1" t="s">
        <v>11</v>
      </c>
      <c r="E475" s="1" t="s">
        <v>12</v>
      </c>
      <c r="F475" s="1" t="s">
        <v>13</v>
      </c>
    </row>
    <row r="476" spans="1:6">
      <c r="A476" s="1" t="s">
        <v>1036</v>
      </c>
      <c r="B476" s="2" t="s">
        <v>1034</v>
      </c>
      <c r="C47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43545</v>
      </c>
      <c r="D476" s="1" t="s">
        <v>15</v>
      </c>
      <c r="E476" s="1" t="s">
        <v>16</v>
      </c>
      <c r="F476" s="1" t="s">
        <v>17</v>
      </c>
    </row>
    <row r="477" spans="1:6">
      <c r="A477" s="1" t="s">
        <v>1037</v>
      </c>
      <c r="B477" s="2" t="s">
        <v>1034</v>
      </c>
      <c r="C47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43545</v>
      </c>
      <c r="D477" s="1" t="s">
        <v>19</v>
      </c>
      <c r="E477" s="1" t="s">
        <v>20</v>
      </c>
      <c r="F477" s="1" t="s">
        <v>21</v>
      </c>
    </row>
    <row r="478" spans="1:6">
      <c r="A478" s="1" t="s">
        <v>1038</v>
      </c>
      <c r="B478" s="2" t="s">
        <v>1039</v>
      </c>
      <c r="C47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43546</v>
      </c>
      <c r="D478" s="1" t="s">
        <v>23</v>
      </c>
      <c r="E478" s="1" t="s">
        <v>24</v>
      </c>
      <c r="F478" s="1" t="s">
        <v>25</v>
      </c>
    </row>
    <row r="479" spans="1:6">
      <c r="A479" s="1" t="s">
        <v>1040</v>
      </c>
      <c r="B479" s="2" t="s">
        <v>1039</v>
      </c>
      <c r="C47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43546</v>
      </c>
      <c r="D479" s="1" t="s">
        <v>27</v>
      </c>
      <c r="E479" s="1" t="s">
        <v>28</v>
      </c>
      <c r="F479" s="1" t="s">
        <v>29</v>
      </c>
    </row>
    <row r="480" spans="1:6">
      <c r="A480" s="1" t="s">
        <v>1041</v>
      </c>
      <c r="B480" s="2" t="s">
        <v>1039</v>
      </c>
      <c r="C48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43546</v>
      </c>
      <c r="D480" s="1" t="s">
        <v>31</v>
      </c>
      <c r="E480" s="1" t="s">
        <v>32</v>
      </c>
      <c r="F480" s="1" t="s">
        <v>33</v>
      </c>
    </row>
    <row r="481" spans="1:6">
      <c r="A481" s="1" t="s">
        <v>1042</v>
      </c>
      <c r="B481" s="2" t="s">
        <v>1039</v>
      </c>
      <c r="C48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43546</v>
      </c>
      <c r="D481" s="1" t="s">
        <v>35</v>
      </c>
      <c r="E481" s="1" t="s">
        <v>36</v>
      </c>
      <c r="F481" s="1" t="s">
        <v>37</v>
      </c>
    </row>
    <row r="482" spans="1:6">
      <c r="A482" s="1" t="s">
        <v>1043</v>
      </c>
      <c r="B482" s="2" t="s">
        <v>1039</v>
      </c>
      <c r="C48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43546</v>
      </c>
      <c r="D482" s="1" t="s">
        <v>39</v>
      </c>
      <c r="E482" s="1" t="s">
        <v>40</v>
      </c>
      <c r="F482" s="1" t="s">
        <v>41</v>
      </c>
    </row>
    <row r="483" spans="1:6">
      <c r="A483" s="1" t="s">
        <v>1044</v>
      </c>
      <c r="B483" s="2" t="s">
        <v>1045</v>
      </c>
      <c r="C48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43547</v>
      </c>
      <c r="D483" s="1" t="s">
        <v>43</v>
      </c>
      <c r="E483" s="1" t="s">
        <v>44</v>
      </c>
      <c r="F483" s="1" t="s">
        <v>45</v>
      </c>
    </row>
    <row r="484" spans="1:6">
      <c r="A484" s="1" t="s">
        <v>1046</v>
      </c>
      <c r="B484" s="2" t="s">
        <v>1047</v>
      </c>
      <c r="C48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43548</v>
      </c>
      <c r="D484" s="1" t="s">
        <v>47</v>
      </c>
      <c r="E484" s="1" t="s">
        <v>48</v>
      </c>
      <c r="F484" s="1" t="s">
        <v>49</v>
      </c>
    </row>
    <row r="485" spans="1:6">
      <c r="A485" s="1" t="s">
        <v>1048</v>
      </c>
      <c r="B485" s="2" t="s">
        <v>1049</v>
      </c>
      <c r="C48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43549</v>
      </c>
      <c r="D485" s="1" t="s">
        <v>51</v>
      </c>
      <c r="E485" s="1" t="s">
        <v>52</v>
      </c>
      <c r="F485" s="1" t="s">
        <v>53</v>
      </c>
    </row>
    <row r="486" spans="1:6">
      <c r="A486" s="1" t="s">
        <v>1050</v>
      </c>
      <c r="B486" s="2" t="s">
        <v>1051</v>
      </c>
      <c r="C48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43550</v>
      </c>
      <c r="D486" s="1" t="s">
        <v>55</v>
      </c>
      <c r="E486" s="1" t="s">
        <v>56</v>
      </c>
      <c r="F486" s="1" t="s">
        <v>57</v>
      </c>
    </row>
    <row r="487" spans="1:6">
      <c r="A487" s="1" t="s">
        <v>1052</v>
      </c>
      <c r="B487" s="2" t="s">
        <v>1051</v>
      </c>
      <c r="C48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43550</v>
      </c>
      <c r="D487" s="1" t="s">
        <v>59</v>
      </c>
      <c r="E487" s="1" t="s">
        <v>60</v>
      </c>
      <c r="F487" s="1" t="s">
        <v>57</v>
      </c>
    </row>
    <row r="488" spans="1:6">
      <c r="A488" s="1" t="s">
        <v>1053</v>
      </c>
      <c r="B488" s="2" t="s">
        <v>1051</v>
      </c>
      <c r="C48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43550</v>
      </c>
      <c r="D488" s="1" t="s">
        <v>63</v>
      </c>
      <c r="E488" s="1" t="s">
        <v>64</v>
      </c>
      <c r="F488" s="1" t="s">
        <v>65</v>
      </c>
    </row>
    <row r="489" spans="1:6">
      <c r="A489" s="1" t="s">
        <v>1054</v>
      </c>
      <c r="B489" s="2" t="s">
        <v>1051</v>
      </c>
      <c r="C48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43550</v>
      </c>
      <c r="D489" s="1" t="s">
        <v>68</v>
      </c>
      <c r="E489" s="1" t="s">
        <v>69</v>
      </c>
      <c r="F489" s="1" t="s">
        <v>70</v>
      </c>
    </row>
    <row r="490" spans="1:6">
      <c r="A490" s="1" t="s">
        <v>1055</v>
      </c>
      <c r="B490" s="2" t="s">
        <v>1051</v>
      </c>
      <c r="C49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43550</v>
      </c>
      <c r="D490" s="1" t="s">
        <v>72</v>
      </c>
      <c r="E490" s="1" t="s">
        <v>73</v>
      </c>
      <c r="F490" s="1" t="s">
        <v>73</v>
      </c>
    </row>
    <row r="491" spans="1:6">
      <c r="A491" s="1" t="s">
        <v>1056</v>
      </c>
      <c r="B491" s="2" t="s">
        <v>1057</v>
      </c>
      <c r="C49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43551</v>
      </c>
      <c r="D491" s="1" t="s">
        <v>76</v>
      </c>
      <c r="E491" s="1" t="s">
        <v>77</v>
      </c>
      <c r="F491" s="1" t="s">
        <v>78</v>
      </c>
    </row>
    <row r="492" spans="1:6">
      <c r="A492" s="1" t="s">
        <v>1058</v>
      </c>
      <c r="B492" s="2" t="s">
        <v>1057</v>
      </c>
      <c r="C492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43551</v>
      </c>
      <c r="D492" s="1" t="s">
        <v>81</v>
      </c>
      <c r="E492" s="1" t="s">
        <v>82</v>
      </c>
      <c r="F492" s="1" t="s">
        <v>83</v>
      </c>
    </row>
    <row r="493" spans="1:6">
      <c r="A493" s="1" t="s">
        <v>1059</v>
      </c>
      <c r="B493" s="2" t="s">
        <v>1057</v>
      </c>
      <c r="C493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43551</v>
      </c>
      <c r="D493" s="1" t="s">
        <v>85</v>
      </c>
      <c r="E493" s="1" t="s">
        <v>12</v>
      </c>
      <c r="F493" s="1" t="s">
        <v>13</v>
      </c>
    </row>
    <row r="494" spans="1:6">
      <c r="A494" s="1" t="s">
        <v>1060</v>
      </c>
      <c r="B494" s="2" t="s">
        <v>1057</v>
      </c>
      <c r="C494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43551</v>
      </c>
      <c r="D494" s="1" t="s">
        <v>88</v>
      </c>
      <c r="E494" s="1" t="s">
        <v>16</v>
      </c>
      <c r="F494" s="1" t="s">
        <v>17</v>
      </c>
    </row>
    <row r="495" spans="1:6">
      <c r="A495" s="1" t="s">
        <v>1061</v>
      </c>
      <c r="B495" s="2" t="s">
        <v>1057</v>
      </c>
      <c r="C495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43551</v>
      </c>
      <c r="D495" s="1" t="s">
        <v>90</v>
      </c>
      <c r="E495" s="1" t="s">
        <v>20</v>
      </c>
      <c r="F495" s="1" t="s">
        <v>21</v>
      </c>
    </row>
    <row r="496" spans="1:6">
      <c r="A496" s="1" t="s">
        <v>1062</v>
      </c>
      <c r="B496" s="2" t="s">
        <v>1063</v>
      </c>
      <c r="C496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43552</v>
      </c>
      <c r="D496" s="1" t="s">
        <v>93</v>
      </c>
      <c r="E496" s="1" t="s">
        <v>24</v>
      </c>
      <c r="F496" s="1" t="s">
        <v>25</v>
      </c>
    </row>
    <row r="497" spans="1:6">
      <c r="A497" s="1" t="s">
        <v>1064</v>
      </c>
      <c r="B497" s="2" t="s">
        <v>1063</v>
      </c>
      <c r="C497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43552</v>
      </c>
      <c r="D497" s="1" t="s">
        <v>95</v>
      </c>
      <c r="E497" s="1" t="s">
        <v>28</v>
      </c>
      <c r="F497" s="1" t="s">
        <v>29</v>
      </c>
    </row>
    <row r="498" spans="1:6">
      <c r="A498" s="1" t="s">
        <v>1065</v>
      </c>
      <c r="B498" s="2" t="s">
        <v>1063</v>
      </c>
      <c r="C498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43552</v>
      </c>
      <c r="D498" s="1" t="s">
        <v>97</v>
      </c>
      <c r="E498" s="1" t="s">
        <v>32</v>
      </c>
      <c r="F498" s="1" t="s">
        <v>33</v>
      </c>
    </row>
    <row r="499" spans="1:6">
      <c r="A499" s="1" t="s">
        <v>1066</v>
      </c>
      <c r="B499" s="2" t="s">
        <v>1067</v>
      </c>
      <c r="C499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43553</v>
      </c>
      <c r="D499" s="1" t="s">
        <v>100</v>
      </c>
      <c r="E499" s="1" t="s">
        <v>36</v>
      </c>
      <c r="F499" s="1" t="s">
        <v>37</v>
      </c>
    </row>
    <row r="500" spans="1:6">
      <c r="A500" s="1" t="s">
        <v>1068</v>
      </c>
      <c r="B500" s="2" t="s">
        <v>1069</v>
      </c>
      <c r="C500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43554</v>
      </c>
      <c r="D500" s="1" t="s">
        <v>102</v>
      </c>
      <c r="E500" s="1" t="s">
        <v>16</v>
      </c>
      <c r="F500" s="1" t="s">
        <v>103</v>
      </c>
    </row>
    <row r="501" spans="1:6">
      <c r="A501" s="1" t="s">
        <v>1070</v>
      </c>
      <c r="B501" s="2" t="s">
        <v>1071</v>
      </c>
      <c r="C501" s="5">
        <f>IF(ISNUMBER(List_of_orders[[#This Row],[Order Date]]), DATE(YEAR(List_of_orders[[#This Row],[Order Date]]), DAY(List_of_orders[[#This Row],[Order Date]]), MONTH(List_of_orders[[#This Row],[Order Date]])), DATE(RIGHT(List_of_orders[[#This Row],[Order Date]],4), MID(List_of_orders[[#This Row],[Order Date]],4,2), LEFT(List_of_orders[[#This Row],[Order Date]],2)))</f>
        <v>43555</v>
      </c>
      <c r="D501" s="1" t="s">
        <v>105</v>
      </c>
      <c r="E501" s="1" t="s">
        <v>20</v>
      </c>
      <c r="F501" s="1" t="s">
        <v>106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3E44D-94C7-40ED-A0AD-37B9AD34A1CF}">
  <dimension ref="A1:C37"/>
  <sheetViews>
    <sheetView workbookViewId="0">
      <selection activeCell="G3" sqref="G3"/>
    </sheetView>
  </sheetViews>
  <sheetFormatPr defaultRowHeight="15"/>
  <cols>
    <col min="1" max="1" width="21.140625" bestFit="1" customWidth="1"/>
    <col min="2" max="2" width="11.140625" bestFit="1" customWidth="1"/>
  </cols>
  <sheetData>
    <row r="1" spans="1:3">
      <c r="A1" s="1" t="s">
        <v>1072</v>
      </c>
      <c r="B1" s="1" t="s">
        <v>1073</v>
      </c>
      <c r="C1" s="1" t="s">
        <v>1074</v>
      </c>
    </row>
    <row r="2" spans="1:3">
      <c r="A2" s="3">
        <v>46130</v>
      </c>
      <c r="B2" s="1" t="s">
        <v>1075</v>
      </c>
      <c r="C2" s="1">
        <v>10400</v>
      </c>
    </row>
    <row r="3" spans="1:3">
      <c r="A3" s="3">
        <v>46160</v>
      </c>
      <c r="B3" s="1" t="s">
        <v>1075</v>
      </c>
      <c r="C3" s="1">
        <v>10500</v>
      </c>
    </row>
    <row r="4" spans="1:3">
      <c r="A4" s="3">
        <v>46191</v>
      </c>
      <c r="B4" s="1" t="s">
        <v>1075</v>
      </c>
      <c r="C4" s="1">
        <v>10600</v>
      </c>
    </row>
    <row r="5" spans="1:3">
      <c r="A5" s="3">
        <v>46221</v>
      </c>
      <c r="B5" s="1" t="s">
        <v>1075</v>
      </c>
      <c r="C5" s="1">
        <v>10800</v>
      </c>
    </row>
    <row r="6" spans="1:3">
      <c r="A6" s="3">
        <v>46252</v>
      </c>
      <c r="B6" s="1" t="s">
        <v>1075</v>
      </c>
      <c r="C6" s="1">
        <v>10900</v>
      </c>
    </row>
    <row r="7" spans="1:3">
      <c r="A7" s="3">
        <v>46283</v>
      </c>
      <c r="B7" s="1" t="s">
        <v>1075</v>
      </c>
      <c r="C7" s="1">
        <v>11000</v>
      </c>
    </row>
    <row r="8" spans="1:3">
      <c r="A8" s="3">
        <v>46313</v>
      </c>
      <c r="B8" s="1" t="s">
        <v>1075</v>
      </c>
      <c r="C8" s="1">
        <v>11100</v>
      </c>
    </row>
    <row r="9" spans="1:3">
      <c r="A9" s="3">
        <v>46344</v>
      </c>
      <c r="B9" s="1" t="s">
        <v>1075</v>
      </c>
      <c r="C9" s="1">
        <v>11300</v>
      </c>
    </row>
    <row r="10" spans="1:3">
      <c r="A10" s="3">
        <v>46374</v>
      </c>
      <c r="B10" s="1" t="s">
        <v>1075</v>
      </c>
      <c r="C10" s="1">
        <v>11400</v>
      </c>
    </row>
    <row r="11" spans="1:3">
      <c r="A11" s="3">
        <v>46041</v>
      </c>
      <c r="B11" s="1" t="s">
        <v>1075</v>
      </c>
      <c r="C11" s="1">
        <v>11500</v>
      </c>
    </row>
    <row r="12" spans="1:3">
      <c r="A12" s="3">
        <v>46072</v>
      </c>
      <c r="B12" s="1" t="s">
        <v>1075</v>
      </c>
      <c r="C12" s="1">
        <v>11600</v>
      </c>
    </row>
    <row r="13" spans="1:3">
      <c r="A13" s="3">
        <v>46100</v>
      </c>
      <c r="B13" s="1" t="s">
        <v>1075</v>
      </c>
      <c r="C13" s="1">
        <v>11800</v>
      </c>
    </row>
    <row r="14" spans="1:3">
      <c r="A14" s="3">
        <v>46130</v>
      </c>
      <c r="B14" s="1" t="s">
        <v>1076</v>
      </c>
      <c r="C14" s="1">
        <v>12000</v>
      </c>
    </row>
    <row r="15" spans="1:3">
      <c r="A15" s="3">
        <v>46160</v>
      </c>
      <c r="B15" s="1" t="s">
        <v>1076</v>
      </c>
      <c r="C15" s="1">
        <v>12000</v>
      </c>
    </row>
    <row r="16" spans="1:3">
      <c r="A16" s="3">
        <v>46191</v>
      </c>
      <c r="B16" s="1" t="s">
        <v>1076</v>
      </c>
      <c r="C16" s="1">
        <v>12000</v>
      </c>
    </row>
    <row r="17" spans="1:3">
      <c r="A17" s="3">
        <v>46221</v>
      </c>
      <c r="B17" s="1" t="s">
        <v>1076</v>
      </c>
      <c r="C17" s="1">
        <v>14000</v>
      </c>
    </row>
    <row r="18" spans="1:3">
      <c r="A18" s="3">
        <v>46252</v>
      </c>
      <c r="B18" s="1" t="s">
        <v>1076</v>
      </c>
      <c r="C18" s="1">
        <v>14000</v>
      </c>
    </row>
    <row r="19" spans="1:3">
      <c r="A19" s="3">
        <v>46283</v>
      </c>
      <c r="B19" s="1" t="s">
        <v>1076</v>
      </c>
      <c r="C19" s="1">
        <v>14000</v>
      </c>
    </row>
    <row r="20" spans="1:3">
      <c r="A20" s="3">
        <v>46313</v>
      </c>
      <c r="B20" s="1" t="s">
        <v>1076</v>
      </c>
      <c r="C20" s="1">
        <v>16000</v>
      </c>
    </row>
    <row r="21" spans="1:3">
      <c r="A21" s="3">
        <v>46344</v>
      </c>
      <c r="B21" s="1" t="s">
        <v>1076</v>
      </c>
      <c r="C21" s="1">
        <v>16000</v>
      </c>
    </row>
    <row r="22" spans="1:3">
      <c r="A22" s="3">
        <v>46374</v>
      </c>
      <c r="B22" s="1" t="s">
        <v>1076</v>
      </c>
      <c r="C22" s="1">
        <v>16000</v>
      </c>
    </row>
    <row r="23" spans="1:3">
      <c r="A23" s="3">
        <v>46041</v>
      </c>
      <c r="B23" s="1" t="s">
        <v>1076</v>
      </c>
      <c r="C23" s="1">
        <v>16000</v>
      </c>
    </row>
    <row r="24" spans="1:3">
      <c r="A24" s="3">
        <v>46072</v>
      </c>
      <c r="B24" s="1" t="s">
        <v>1076</v>
      </c>
      <c r="C24" s="1">
        <v>16000</v>
      </c>
    </row>
    <row r="25" spans="1:3">
      <c r="A25" s="3">
        <v>46100</v>
      </c>
      <c r="B25" s="1" t="s">
        <v>1076</v>
      </c>
      <c r="C25" s="1">
        <v>16000</v>
      </c>
    </row>
    <row r="26" spans="1:3">
      <c r="A26" s="3">
        <v>46130</v>
      </c>
      <c r="B26" s="1" t="s">
        <v>1077</v>
      </c>
      <c r="C26" s="1">
        <v>9000</v>
      </c>
    </row>
    <row r="27" spans="1:3">
      <c r="A27" s="3">
        <v>46160</v>
      </c>
      <c r="B27" s="1" t="s">
        <v>1077</v>
      </c>
      <c r="C27" s="1">
        <v>9000</v>
      </c>
    </row>
    <row r="28" spans="1:3">
      <c r="A28" s="3">
        <v>46191</v>
      </c>
      <c r="B28" s="1" t="s">
        <v>1077</v>
      </c>
      <c r="C28" s="1">
        <v>9000</v>
      </c>
    </row>
    <row r="29" spans="1:3">
      <c r="A29" s="3">
        <v>46221</v>
      </c>
      <c r="B29" s="1" t="s">
        <v>1077</v>
      </c>
      <c r="C29" s="1">
        <v>9000</v>
      </c>
    </row>
    <row r="30" spans="1:3">
      <c r="A30" s="3">
        <v>46252</v>
      </c>
      <c r="B30" s="1" t="s">
        <v>1077</v>
      </c>
      <c r="C30" s="1">
        <v>9000</v>
      </c>
    </row>
    <row r="31" spans="1:3">
      <c r="A31" s="3">
        <v>46283</v>
      </c>
      <c r="B31" s="1" t="s">
        <v>1077</v>
      </c>
      <c r="C31" s="1">
        <v>9000</v>
      </c>
    </row>
    <row r="32" spans="1:3">
      <c r="A32" s="3">
        <v>46313</v>
      </c>
      <c r="B32" s="1" t="s">
        <v>1077</v>
      </c>
      <c r="C32" s="1">
        <v>9000</v>
      </c>
    </row>
    <row r="33" spans="1:3">
      <c r="A33" s="3">
        <v>46344</v>
      </c>
      <c r="B33" s="1" t="s">
        <v>1077</v>
      </c>
      <c r="C33" s="1">
        <v>9000</v>
      </c>
    </row>
    <row r="34" spans="1:3">
      <c r="A34" s="3">
        <v>46374</v>
      </c>
      <c r="B34" s="1" t="s">
        <v>1077</v>
      </c>
      <c r="C34" s="1">
        <v>9000</v>
      </c>
    </row>
    <row r="35" spans="1:3">
      <c r="A35" s="3">
        <v>46041</v>
      </c>
      <c r="B35" s="1" t="s">
        <v>1077</v>
      </c>
      <c r="C35" s="1">
        <v>16000</v>
      </c>
    </row>
    <row r="36" spans="1:3">
      <c r="A36" s="3">
        <v>46072</v>
      </c>
      <c r="B36" s="1" t="s">
        <v>1077</v>
      </c>
      <c r="C36" s="1">
        <v>16000</v>
      </c>
    </row>
    <row r="37" spans="1:3">
      <c r="A37" s="3">
        <v>46100</v>
      </c>
      <c r="B37" s="1" t="s">
        <v>1077</v>
      </c>
      <c r="C37" s="1">
        <v>16000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8A0B-A525-4CF6-A9DA-13092D5225DB}">
  <dimension ref="A3:B16"/>
  <sheetViews>
    <sheetView workbookViewId="0">
      <selection activeCell="M14" sqref="M14"/>
    </sheetView>
  </sheetViews>
  <sheetFormatPr defaultRowHeight="15"/>
  <cols>
    <col min="1" max="1" width="14.7109375" bestFit="1" customWidth="1"/>
    <col min="2" max="2" width="12.5703125" bestFit="1" customWidth="1"/>
    <col min="3" max="3" width="14.85546875" bestFit="1" customWidth="1"/>
  </cols>
  <sheetData>
    <row r="3" spans="1:2">
      <c r="A3" s="13" t="s">
        <v>1078</v>
      </c>
      <c r="B3" t="s">
        <v>1079</v>
      </c>
    </row>
    <row r="4" spans="1:2">
      <c r="A4" t="s">
        <v>1080</v>
      </c>
      <c r="B4" s="9">
        <v>-3960</v>
      </c>
    </row>
    <row r="5" spans="1:2">
      <c r="A5" t="s">
        <v>1081</v>
      </c>
      <c r="B5" s="9">
        <v>-3584</v>
      </c>
    </row>
    <row r="6" spans="1:2">
      <c r="A6" t="s">
        <v>1082</v>
      </c>
      <c r="B6" s="9">
        <v>-4970</v>
      </c>
    </row>
    <row r="7" spans="1:2">
      <c r="A7" t="s">
        <v>1083</v>
      </c>
      <c r="B7" s="9">
        <v>-2138</v>
      </c>
    </row>
    <row r="8" spans="1:2">
      <c r="A8" t="s">
        <v>1084</v>
      </c>
      <c r="B8" s="9">
        <v>-2180</v>
      </c>
    </row>
    <row r="9" spans="1:2">
      <c r="A9" t="s">
        <v>1085</v>
      </c>
      <c r="B9" s="9">
        <v>-4963</v>
      </c>
    </row>
    <row r="10" spans="1:2">
      <c r="A10" t="s">
        <v>1086</v>
      </c>
      <c r="B10" s="9">
        <v>3093</v>
      </c>
    </row>
    <row r="11" spans="1:2">
      <c r="A11" t="s">
        <v>1087</v>
      </c>
      <c r="B11" s="9">
        <v>11619</v>
      </c>
    </row>
    <row r="12" spans="1:2">
      <c r="A12" t="s">
        <v>1088</v>
      </c>
      <c r="B12" s="9">
        <v>5284</v>
      </c>
    </row>
    <row r="13" spans="1:2">
      <c r="A13" t="s">
        <v>1089</v>
      </c>
      <c r="B13" s="9">
        <v>9760</v>
      </c>
    </row>
    <row r="14" spans="1:2">
      <c r="A14" t="s">
        <v>1090</v>
      </c>
      <c r="B14" s="9">
        <v>5917</v>
      </c>
    </row>
    <row r="15" spans="1:2">
      <c r="A15" t="s">
        <v>1091</v>
      </c>
      <c r="B15" s="9">
        <v>10077</v>
      </c>
    </row>
    <row r="16" spans="1:2">
      <c r="A16" t="s">
        <v>1092</v>
      </c>
      <c r="B16" s="9">
        <v>23955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01"/>
  <sheetViews>
    <sheetView workbookViewId="0">
      <selection activeCell="F5" sqref="F5"/>
    </sheetView>
  </sheetViews>
  <sheetFormatPr defaultRowHeight="15"/>
  <cols>
    <col min="1" max="1" width="10.5703125" bestFit="1" customWidth="1"/>
    <col min="2" max="2" width="10.140625" bestFit="1" customWidth="1"/>
    <col min="4" max="4" width="10.7109375" bestFit="1" customWidth="1"/>
    <col min="5" max="5" width="11.140625" bestFit="1" customWidth="1"/>
    <col min="6" max="6" width="15.5703125" bestFit="1" customWidth="1"/>
    <col min="7" max="7" width="18" customWidth="1"/>
    <col min="8" max="8" width="19" style="6" customWidth="1"/>
    <col min="9" max="9" width="15.7109375" customWidth="1"/>
    <col min="10" max="10" width="15.42578125" customWidth="1"/>
    <col min="11" max="11" width="13.42578125" customWidth="1"/>
    <col min="12" max="12" width="17.5703125" style="12" customWidth="1"/>
  </cols>
  <sheetData>
    <row r="1" spans="1:14">
      <c r="A1" s="1" t="s">
        <v>4</v>
      </c>
      <c r="B1" s="1" t="s">
        <v>1093</v>
      </c>
      <c r="C1" s="1" t="s">
        <v>1094</v>
      </c>
      <c r="D1" s="1" t="s">
        <v>1095</v>
      </c>
      <c r="E1" s="1" t="s">
        <v>1073</v>
      </c>
      <c r="F1" s="1" t="s">
        <v>1096</v>
      </c>
      <c r="G1" s="7" t="s">
        <v>8</v>
      </c>
      <c r="H1" s="10" t="s">
        <v>5</v>
      </c>
      <c r="I1" s="7" t="s">
        <v>1097</v>
      </c>
      <c r="J1" s="7" t="s">
        <v>9</v>
      </c>
      <c r="K1" s="7" t="s">
        <v>1078</v>
      </c>
      <c r="L1" s="11" t="s">
        <v>1098</v>
      </c>
      <c r="M1" s="7" t="s">
        <v>1099</v>
      </c>
      <c r="N1" s="7" t="s">
        <v>1100</v>
      </c>
    </row>
    <row r="2" spans="1:14">
      <c r="A2" s="1" t="s">
        <v>10</v>
      </c>
      <c r="B2" s="1">
        <v>1275</v>
      </c>
      <c r="C2" s="1">
        <v>-1148</v>
      </c>
      <c r="D2" s="1">
        <v>7</v>
      </c>
      <c r="E2" s="1" t="s">
        <v>1075</v>
      </c>
      <c r="F2" s="1" t="s">
        <v>1101</v>
      </c>
      <c r="G2" s="7" t="str">
        <f>_xlfn.XLOOKUP(Order_Details[[#This Row],[Order ID]], List_of_orders[Order ID], List_of_orders[State])</f>
        <v>Gujarat</v>
      </c>
      <c r="H2" s="10">
        <f>_xlfn.XLOOKUP(Order_Details[[#This Row],[Order ID]], List_of_orders[Order ID], List_of_orders[Order Date (Clean)])</f>
        <v>43191</v>
      </c>
      <c r="I2" s="7" t="str">
        <f>_xlfn.XLOOKUP(Order_Details[[#This Row],[Order ID]], List_of_orders[Order ID], List_of_orders[CustomerName])</f>
        <v>Bharat</v>
      </c>
      <c r="J2" s="7" t="str">
        <f>_xlfn.XLOOKUP(Order_Details[[#This Row],[Order ID]], List_of_orders[Order ID], List_of_orders[City])</f>
        <v>Ahmedabad</v>
      </c>
      <c r="K2" s="8" t="str">
        <f>TEXT(Order_Details[[#This Row],[Order Date]], "YY-MMM")</f>
        <v>18-Apr</v>
      </c>
      <c r="L2" s="11">
        <f>Order_Details[[#This Row],[Profit]]/Order_Details[[#This Row],[Amount]]</f>
        <v>-0.9003921568627451</v>
      </c>
      <c r="M2" s="8">
        <f>YEAR(Order_Details[[#This Row],[Order Date]])</f>
        <v>2018</v>
      </c>
      <c r="N2" s="8">
        <f>ROUNDUP(MONTH(Order_Details[[#This Row],[Order Date]])/3, 0)</f>
        <v>2</v>
      </c>
    </row>
    <row r="3" spans="1:14">
      <c r="A3" s="1" t="s">
        <v>10</v>
      </c>
      <c r="B3" s="1">
        <v>66</v>
      </c>
      <c r="C3" s="1">
        <v>-12</v>
      </c>
      <c r="D3" s="1">
        <v>5</v>
      </c>
      <c r="E3" s="1" t="s">
        <v>1076</v>
      </c>
      <c r="F3" s="1" t="s">
        <v>1102</v>
      </c>
      <c r="G3" s="7" t="str">
        <f>_xlfn.XLOOKUP(Order_Details[[#This Row],[Order ID]], List_of_orders[Order ID], List_of_orders[State])</f>
        <v>Gujarat</v>
      </c>
      <c r="H3" s="10">
        <f>_xlfn.XLOOKUP(Order_Details[[#This Row],[Order ID]], List_of_orders[Order ID], List_of_orders[Order Date (Clean)])</f>
        <v>43191</v>
      </c>
      <c r="I3" s="7" t="str">
        <f>_xlfn.XLOOKUP(Order_Details[[#This Row],[Order ID]], List_of_orders[Order ID], List_of_orders[CustomerName])</f>
        <v>Bharat</v>
      </c>
      <c r="J3" s="7" t="str">
        <f>_xlfn.XLOOKUP(Order_Details[[#This Row],[Order ID]], List_of_orders[Order ID], List_of_orders[City])</f>
        <v>Ahmedabad</v>
      </c>
      <c r="K3" s="8" t="str">
        <f>TEXT(Order_Details[[#This Row],[Order Date]], "YY-MMM")</f>
        <v>18-Apr</v>
      </c>
      <c r="L3" s="11">
        <f>Order_Details[[#This Row],[Profit]]/Order_Details[[#This Row],[Amount]]</f>
        <v>-0.18181818181818182</v>
      </c>
      <c r="M3" s="8">
        <f>YEAR(Order_Details[[#This Row],[Order Date]])</f>
        <v>2018</v>
      </c>
      <c r="N3" s="8">
        <f>ROUNDUP(MONTH(Order_Details[[#This Row],[Order Date]])/3, 0)</f>
        <v>2</v>
      </c>
    </row>
    <row r="4" spans="1:14">
      <c r="A4" s="1" t="s">
        <v>10</v>
      </c>
      <c r="B4" s="1">
        <v>8</v>
      </c>
      <c r="C4" s="1">
        <v>-2</v>
      </c>
      <c r="D4" s="1">
        <v>3</v>
      </c>
      <c r="E4" s="1" t="s">
        <v>1076</v>
      </c>
      <c r="F4" s="1" t="s">
        <v>1103</v>
      </c>
      <c r="G4" s="7" t="str">
        <f>_xlfn.XLOOKUP(Order_Details[[#This Row],[Order ID]], List_of_orders[Order ID], List_of_orders[State])</f>
        <v>Gujarat</v>
      </c>
      <c r="H4" s="10">
        <f>_xlfn.XLOOKUP(Order_Details[[#This Row],[Order ID]], List_of_orders[Order ID], List_of_orders[Order Date (Clean)])</f>
        <v>43191</v>
      </c>
      <c r="I4" s="7" t="str">
        <f>_xlfn.XLOOKUP(Order_Details[[#This Row],[Order ID]], List_of_orders[Order ID], List_of_orders[CustomerName])</f>
        <v>Bharat</v>
      </c>
      <c r="J4" s="7" t="str">
        <f>_xlfn.XLOOKUP(Order_Details[[#This Row],[Order ID]], List_of_orders[Order ID], List_of_orders[City])</f>
        <v>Ahmedabad</v>
      </c>
      <c r="K4" s="8" t="str">
        <f>TEXT(Order_Details[[#This Row],[Order Date]], "YY-MMM")</f>
        <v>18-Apr</v>
      </c>
      <c r="L4" s="11">
        <f>Order_Details[[#This Row],[Profit]]/Order_Details[[#This Row],[Amount]]</f>
        <v>-0.25</v>
      </c>
      <c r="M4" s="8">
        <f>YEAR(Order_Details[[#This Row],[Order Date]])</f>
        <v>2018</v>
      </c>
      <c r="N4" s="8">
        <f>ROUNDUP(MONTH(Order_Details[[#This Row],[Order Date]])/3, 0)</f>
        <v>2</v>
      </c>
    </row>
    <row r="5" spans="1:14">
      <c r="A5" s="1" t="s">
        <v>10</v>
      </c>
      <c r="B5" s="1">
        <v>80</v>
      </c>
      <c r="C5" s="1">
        <v>-56</v>
      </c>
      <c r="D5" s="1">
        <v>4</v>
      </c>
      <c r="E5" s="1" t="s">
        <v>1077</v>
      </c>
      <c r="F5" s="1" t="s">
        <v>1104</v>
      </c>
      <c r="G5" s="7" t="str">
        <f>_xlfn.XLOOKUP(Order_Details[[#This Row],[Order ID]], List_of_orders[Order ID], List_of_orders[State])</f>
        <v>Gujarat</v>
      </c>
      <c r="H5" s="10">
        <f>_xlfn.XLOOKUP(Order_Details[[#This Row],[Order ID]], List_of_orders[Order ID], List_of_orders[Order Date (Clean)])</f>
        <v>43191</v>
      </c>
      <c r="I5" s="7" t="str">
        <f>_xlfn.XLOOKUP(Order_Details[[#This Row],[Order ID]], List_of_orders[Order ID], List_of_orders[CustomerName])</f>
        <v>Bharat</v>
      </c>
      <c r="J5" s="7" t="str">
        <f>_xlfn.XLOOKUP(Order_Details[[#This Row],[Order ID]], List_of_orders[Order ID], List_of_orders[City])</f>
        <v>Ahmedabad</v>
      </c>
      <c r="K5" s="8" t="str">
        <f>TEXT(Order_Details[[#This Row],[Order Date]], "YY-MMM")</f>
        <v>18-Apr</v>
      </c>
      <c r="L5" s="11">
        <f>Order_Details[[#This Row],[Profit]]/Order_Details[[#This Row],[Amount]]</f>
        <v>-0.7</v>
      </c>
      <c r="M5" s="8">
        <f>YEAR(Order_Details[[#This Row],[Order Date]])</f>
        <v>2018</v>
      </c>
      <c r="N5" s="8">
        <f>ROUNDUP(MONTH(Order_Details[[#This Row],[Order Date]])/3, 0)</f>
        <v>2</v>
      </c>
    </row>
    <row r="6" spans="1:14">
      <c r="A6" s="1" t="s">
        <v>14</v>
      </c>
      <c r="B6" s="1">
        <v>168</v>
      </c>
      <c r="C6" s="1">
        <v>-111</v>
      </c>
      <c r="D6" s="1">
        <v>2</v>
      </c>
      <c r="E6" s="1" t="s">
        <v>1077</v>
      </c>
      <c r="F6" s="1" t="s">
        <v>1105</v>
      </c>
      <c r="G6" s="7" t="str">
        <f>_xlfn.XLOOKUP(Order_Details[[#This Row],[Order ID]], List_of_orders[Order ID], List_of_orders[State])</f>
        <v>Maharashtra</v>
      </c>
      <c r="H6" s="10">
        <f>_xlfn.XLOOKUP(Order_Details[[#This Row],[Order ID]], List_of_orders[Order ID], List_of_orders[Order Date (Clean)])</f>
        <v>43191</v>
      </c>
      <c r="I6" s="7" t="str">
        <f>_xlfn.XLOOKUP(Order_Details[[#This Row],[Order ID]], List_of_orders[Order ID], List_of_orders[CustomerName])</f>
        <v>Pearl</v>
      </c>
      <c r="J6" s="7" t="str">
        <f>_xlfn.XLOOKUP(Order_Details[[#This Row],[Order ID]], List_of_orders[Order ID], List_of_orders[City])</f>
        <v>Pune</v>
      </c>
      <c r="K6" s="8" t="str">
        <f>TEXT(Order_Details[[#This Row],[Order Date]], "YY-MMM")</f>
        <v>18-Apr</v>
      </c>
      <c r="L6" s="11">
        <f>Order_Details[[#This Row],[Profit]]/Order_Details[[#This Row],[Amount]]</f>
        <v>-0.6607142857142857</v>
      </c>
      <c r="M6" s="8">
        <f>YEAR(Order_Details[[#This Row],[Order Date]])</f>
        <v>2018</v>
      </c>
      <c r="N6" s="8">
        <f>ROUNDUP(MONTH(Order_Details[[#This Row],[Order Date]])/3, 0)</f>
        <v>2</v>
      </c>
    </row>
    <row r="7" spans="1:14">
      <c r="A7" s="1" t="s">
        <v>14</v>
      </c>
      <c r="B7" s="1">
        <v>424</v>
      </c>
      <c r="C7" s="1">
        <v>-272</v>
      </c>
      <c r="D7" s="1">
        <v>5</v>
      </c>
      <c r="E7" s="1" t="s">
        <v>1077</v>
      </c>
      <c r="F7" s="1" t="s">
        <v>1105</v>
      </c>
      <c r="G7" s="7" t="str">
        <f>_xlfn.XLOOKUP(Order_Details[[#This Row],[Order ID]], List_of_orders[Order ID], List_of_orders[State])</f>
        <v>Maharashtra</v>
      </c>
      <c r="H7" s="10">
        <f>_xlfn.XLOOKUP(Order_Details[[#This Row],[Order ID]], List_of_orders[Order ID], List_of_orders[Order Date (Clean)])</f>
        <v>43191</v>
      </c>
      <c r="I7" s="7" t="str">
        <f>_xlfn.XLOOKUP(Order_Details[[#This Row],[Order ID]], List_of_orders[Order ID], List_of_orders[CustomerName])</f>
        <v>Pearl</v>
      </c>
      <c r="J7" s="7" t="str">
        <f>_xlfn.XLOOKUP(Order_Details[[#This Row],[Order ID]], List_of_orders[Order ID], List_of_orders[City])</f>
        <v>Pune</v>
      </c>
      <c r="K7" s="8" t="str">
        <f>TEXT(Order_Details[[#This Row],[Order Date]], "YY-MMM")</f>
        <v>18-Apr</v>
      </c>
      <c r="L7" s="11">
        <f>Order_Details[[#This Row],[Profit]]/Order_Details[[#This Row],[Amount]]</f>
        <v>-0.64150943396226412</v>
      </c>
      <c r="M7" s="8">
        <f>YEAR(Order_Details[[#This Row],[Order Date]])</f>
        <v>2018</v>
      </c>
      <c r="N7" s="8">
        <f>ROUNDUP(MONTH(Order_Details[[#This Row],[Order Date]])/3, 0)</f>
        <v>2</v>
      </c>
    </row>
    <row r="8" spans="1:14">
      <c r="A8" s="1" t="s">
        <v>14</v>
      </c>
      <c r="B8" s="1">
        <v>2617</v>
      </c>
      <c r="C8" s="1">
        <v>1151</v>
      </c>
      <c r="D8" s="1">
        <v>4</v>
      </c>
      <c r="E8" s="1" t="s">
        <v>1077</v>
      </c>
      <c r="F8" s="1" t="s">
        <v>1105</v>
      </c>
      <c r="G8" s="7" t="str">
        <f>_xlfn.XLOOKUP(Order_Details[[#This Row],[Order ID]], List_of_orders[Order ID], List_of_orders[State])</f>
        <v>Maharashtra</v>
      </c>
      <c r="H8" s="10">
        <f>_xlfn.XLOOKUP(Order_Details[[#This Row],[Order ID]], List_of_orders[Order ID], List_of_orders[Order Date (Clean)])</f>
        <v>43191</v>
      </c>
      <c r="I8" s="7" t="str">
        <f>_xlfn.XLOOKUP(Order_Details[[#This Row],[Order ID]], List_of_orders[Order ID], List_of_orders[CustomerName])</f>
        <v>Pearl</v>
      </c>
      <c r="J8" s="7" t="str">
        <f>_xlfn.XLOOKUP(Order_Details[[#This Row],[Order ID]], List_of_orders[Order ID], List_of_orders[City])</f>
        <v>Pune</v>
      </c>
      <c r="K8" s="8" t="str">
        <f>TEXT(Order_Details[[#This Row],[Order Date]], "YY-MMM")</f>
        <v>18-Apr</v>
      </c>
      <c r="L8" s="11">
        <f>Order_Details[[#This Row],[Profit]]/Order_Details[[#This Row],[Amount]]</f>
        <v>0.43981658387466566</v>
      </c>
      <c r="M8" s="8">
        <f>YEAR(Order_Details[[#This Row],[Order Date]])</f>
        <v>2018</v>
      </c>
      <c r="N8" s="8">
        <f>ROUNDUP(MONTH(Order_Details[[#This Row],[Order Date]])/3, 0)</f>
        <v>2</v>
      </c>
    </row>
    <row r="9" spans="1:14">
      <c r="A9" s="1" t="s">
        <v>14</v>
      </c>
      <c r="B9" s="1">
        <v>561</v>
      </c>
      <c r="C9" s="1">
        <v>212</v>
      </c>
      <c r="D9" s="1">
        <v>3</v>
      </c>
      <c r="E9" s="1" t="s">
        <v>1076</v>
      </c>
      <c r="F9" s="1" t="s">
        <v>1106</v>
      </c>
      <c r="G9" s="7" t="str">
        <f>_xlfn.XLOOKUP(Order_Details[[#This Row],[Order ID]], List_of_orders[Order ID], List_of_orders[State])</f>
        <v>Maharashtra</v>
      </c>
      <c r="H9" s="10">
        <f>_xlfn.XLOOKUP(Order_Details[[#This Row],[Order ID]], List_of_orders[Order ID], List_of_orders[Order Date (Clean)])</f>
        <v>43191</v>
      </c>
      <c r="I9" s="7" t="str">
        <f>_xlfn.XLOOKUP(Order_Details[[#This Row],[Order ID]], List_of_orders[Order ID], List_of_orders[CustomerName])</f>
        <v>Pearl</v>
      </c>
      <c r="J9" s="7" t="str">
        <f>_xlfn.XLOOKUP(Order_Details[[#This Row],[Order ID]], List_of_orders[Order ID], List_of_orders[City])</f>
        <v>Pune</v>
      </c>
      <c r="K9" s="8" t="str">
        <f>TEXT(Order_Details[[#This Row],[Order Date]], "YY-MMM")</f>
        <v>18-Apr</v>
      </c>
      <c r="L9" s="11">
        <f>Order_Details[[#This Row],[Profit]]/Order_Details[[#This Row],[Amount]]</f>
        <v>0.37789661319073081</v>
      </c>
      <c r="M9" s="8">
        <f>YEAR(Order_Details[[#This Row],[Order Date]])</f>
        <v>2018</v>
      </c>
      <c r="N9" s="8">
        <f>ROUNDUP(MONTH(Order_Details[[#This Row],[Order Date]])/3, 0)</f>
        <v>2</v>
      </c>
    </row>
    <row r="10" spans="1:14">
      <c r="A10" s="1" t="s">
        <v>14</v>
      </c>
      <c r="B10" s="1">
        <v>119</v>
      </c>
      <c r="C10" s="1">
        <v>-5</v>
      </c>
      <c r="D10" s="1">
        <v>8</v>
      </c>
      <c r="E10" s="1" t="s">
        <v>1076</v>
      </c>
      <c r="F10" s="1" t="s">
        <v>1106</v>
      </c>
      <c r="G10" s="7" t="str">
        <f>_xlfn.XLOOKUP(Order_Details[[#This Row],[Order ID]], List_of_orders[Order ID], List_of_orders[State])</f>
        <v>Maharashtra</v>
      </c>
      <c r="H10" s="10">
        <f>_xlfn.XLOOKUP(Order_Details[[#This Row],[Order ID]], List_of_orders[Order ID], List_of_orders[Order Date (Clean)])</f>
        <v>43191</v>
      </c>
      <c r="I10" s="7" t="str">
        <f>_xlfn.XLOOKUP(Order_Details[[#This Row],[Order ID]], List_of_orders[Order ID], List_of_orders[CustomerName])</f>
        <v>Pearl</v>
      </c>
      <c r="J10" s="7" t="str">
        <f>_xlfn.XLOOKUP(Order_Details[[#This Row],[Order ID]], List_of_orders[Order ID], List_of_orders[City])</f>
        <v>Pune</v>
      </c>
      <c r="K10" s="8" t="str">
        <f>TEXT(Order_Details[[#This Row],[Order Date]], "YY-MMM")</f>
        <v>18-Apr</v>
      </c>
      <c r="L10" s="11">
        <f>Order_Details[[#This Row],[Profit]]/Order_Details[[#This Row],[Amount]]</f>
        <v>-4.2016806722689079E-2</v>
      </c>
      <c r="M10" s="8">
        <f>YEAR(Order_Details[[#This Row],[Order Date]])</f>
        <v>2018</v>
      </c>
      <c r="N10" s="8">
        <f>ROUNDUP(MONTH(Order_Details[[#This Row],[Order Date]])/3, 0)</f>
        <v>2</v>
      </c>
    </row>
    <row r="11" spans="1:14">
      <c r="A11" s="1" t="s">
        <v>18</v>
      </c>
      <c r="B11" s="1">
        <v>1355</v>
      </c>
      <c r="C11" s="1">
        <v>-60</v>
      </c>
      <c r="D11" s="1">
        <v>5</v>
      </c>
      <c r="E11" s="1" t="s">
        <v>1076</v>
      </c>
      <c r="F11" s="1" t="s">
        <v>1107</v>
      </c>
      <c r="G11" s="7" t="str">
        <f>_xlfn.XLOOKUP(Order_Details[[#This Row],[Order ID]], List_of_orders[Order ID], List_of_orders[State])</f>
        <v>Madhya Pradesh</v>
      </c>
      <c r="H11" s="10">
        <f>_xlfn.XLOOKUP(Order_Details[[#This Row],[Order ID]], List_of_orders[Order ID], List_of_orders[Order Date (Clean)])</f>
        <v>43193</v>
      </c>
      <c r="I11" s="7" t="str">
        <f>_xlfn.XLOOKUP(Order_Details[[#This Row],[Order ID]], List_of_orders[Order ID], List_of_orders[CustomerName])</f>
        <v>Jahan</v>
      </c>
      <c r="J11" s="7" t="str">
        <f>_xlfn.XLOOKUP(Order_Details[[#This Row],[Order ID]], List_of_orders[Order ID], List_of_orders[City])</f>
        <v>Bhopal</v>
      </c>
      <c r="K11" s="8" t="str">
        <f>TEXT(Order_Details[[#This Row],[Order Date]], "YY-MMM")</f>
        <v>18-Apr</v>
      </c>
      <c r="L11" s="11">
        <f>Order_Details[[#This Row],[Profit]]/Order_Details[[#This Row],[Amount]]</f>
        <v>-4.4280442804428041E-2</v>
      </c>
      <c r="M11" s="8">
        <f>YEAR(Order_Details[[#This Row],[Order Date]])</f>
        <v>2018</v>
      </c>
      <c r="N11" s="8">
        <f>ROUNDUP(MONTH(Order_Details[[#This Row],[Order Date]])/3, 0)</f>
        <v>2</v>
      </c>
    </row>
    <row r="12" spans="1:14">
      <c r="A12" s="1" t="s">
        <v>18</v>
      </c>
      <c r="B12" s="1">
        <v>24</v>
      </c>
      <c r="C12" s="1">
        <v>-30</v>
      </c>
      <c r="D12" s="1">
        <v>1</v>
      </c>
      <c r="E12" s="1" t="s">
        <v>1075</v>
      </c>
      <c r="F12" s="1" t="s">
        <v>1108</v>
      </c>
      <c r="G12" s="7" t="str">
        <f>_xlfn.XLOOKUP(Order_Details[[#This Row],[Order ID]], List_of_orders[Order ID], List_of_orders[State])</f>
        <v>Madhya Pradesh</v>
      </c>
      <c r="H12" s="10">
        <f>_xlfn.XLOOKUP(Order_Details[[#This Row],[Order ID]], List_of_orders[Order ID], List_of_orders[Order Date (Clean)])</f>
        <v>43193</v>
      </c>
      <c r="I12" s="7" t="str">
        <f>_xlfn.XLOOKUP(Order_Details[[#This Row],[Order ID]], List_of_orders[Order ID], List_of_orders[CustomerName])</f>
        <v>Jahan</v>
      </c>
      <c r="J12" s="7" t="str">
        <f>_xlfn.XLOOKUP(Order_Details[[#This Row],[Order ID]], List_of_orders[Order ID], List_of_orders[City])</f>
        <v>Bhopal</v>
      </c>
      <c r="K12" s="8" t="str">
        <f>TEXT(Order_Details[[#This Row],[Order Date]], "YY-MMM")</f>
        <v>18-Apr</v>
      </c>
      <c r="L12" s="11">
        <f>Order_Details[[#This Row],[Profit]]/Order_Details[[#This Row],[Amount]]</f>
        <v>-1.25</v>
      </c>
      <c r="M12" s="8">
        <f>YEAR(Order_Details[[#This Row],[Order Date]])</f>
        <v>2018</v>
      </c>
      <c r="N12" s="8">
        <f>ROUNDUP(MONTH(Order_Details[[#This Row],[Order Date]])/3, 0)</f>
        <v>2</v>
      </c>
    </row>
    <row r="13" spans="1:14">
      <c r="A13" s="1" t="s">
        <v>18</v>
      </c>
      <c r="B13" s="1">
        <v>193</v>
      </c>
      <c r="C13" s="1">
        <v>-166</v>
      </c>
      <c r="D13" s="1">
        <v>3</v>
      </c>
      <c r="E13" s="1" t="s">
        <v>1076</v>
      </c>
      <c r="F13" s="1" t="s">
        <v>1106</v>
      </c>
      <c r="G13" s="7" t="str">
        <f>_xlfn.XLOOKUP(Order_Details[[#This Row],[Order ID]], List_of_orders[Order ID], List_of_orders[State])</f>
        <v>Madhya Pradesh</v>
      </c>
      <c r="H13" s="10">
        <f>_xlfn.XLOOKUP(Order_Details[[#This Row],[Order ID]], List_of_orders[Order ID], List_of_orders[Order Date (Clean)])</f>
        <v>43193</v>
      </c>
      <c r="I13" s="7" t="str">
        <f>_xlfn.XLOOKUP(Order_Details[[#This Row],[Order ID]], List_of_orders[Order ID], List_of_orders[CustomerName])</f>
        <v>Jahan</v>
      </c>
      <c r="J13" s="7" t="str">
        <f>_xlfn.XLOOKUP(Order_Details[[#This Row],[Order ID]], List_of_orders[Order ID], List_of_orders[City])</f>
        <v>Bhopal</v>
      </c>
      <c r="K13" s="8" t="str">
        <f>TEXT(Order_Details[[#This Row],[Order Date]], "YY-MMM")</f>
        <v>18-Apr</v>
      </c>
      <c r="L13" s="11">
        <f>Order_Details[[#This Row],[Profit]]/Order_Details[[#This Row],[Amount]]</f>
        <v>-0.86010362694300513</v>
      </c>
      <c r="M13" s="8">
        <f>YEAR(Order_Details[[#This Row],[Order Date]])</f>
        <v>2018</v>
      </c>
      <c r="N13" s="8">
        <f>ROUNDUP(MONTH(Order_Details[[#This Row],[Order Date]])/3, 0)</f>
        <v>2</v>
      </c>
    </row>
    <row r="14" spans="1:14">
      <c r="A14" s="1" t="s">
        <v>18</v>
      </c>
      <c r="B14" s="1">
        <v>180</v>
      </c>
      <c r="C14" s="1">
        <v>5</v>
      </c>
      <c r="D14" s="1">
        <v>3</v>
      </c>
      <c r="E14" s="1" t="s">
        <v>1076</v>
      </c>
      <c r="F14" s="1" t="s">
        <v>1107</v>
      </c>
      <c r="G14" s="7" t="str">
        <f>_xlfn.XLOOKUP(Order_Details[[#This Row],[Order ID]], List_of_orders[Order ID], List_of_orders[State])</f>
        <v>Madhya Pradesh</v>
      </c>
      <c r="H14" s="10">
        <f>_xlfn.XLOOKUP(Order_Details[[#This Row],[Order ID]], List_of_orders[Order ID], List_of_orders[Order Date (Clean)])</f>
        <v>43193</v>
      </c>
      <c r="I14" s="7" t="str">
        <f>_xlfn.XLOOKUP(Order_Details[[#This Row],[Order ID]], List_of_orders[Order ID], List_of_orders[CustomerName])</f>
        <v>Jahan</v>
      </c>
      <c r="J14" s="7" t="str">
        <f>_xlfn.XLOOKUP(Order_Details[[#This Row],[Order ID]], List_of_orders[Order ID], List_of_orders[City])</f>
        <v>Bhopal</v>
      </c>
      <c r="K14" s="8" t="str">
        <f>TEXT(Order_Details[[#This Row],[Order Date]], "YY-MMM")</f>
        <v>18-Apr</v>
      </c>
      <c r="L14" s="11">
        <f>Order_Details[[#This Row],[Profit]]/Order_Details[[#This Row],[Amount]]</f>
        <v>2.7777777777777776E-2</v>
      </c>
      <c r="M14" s="8">
        <f>YEAR(Order_Details[[#This Row],[Order Date]])</f>
        <v>2018</v>
      </c>
      <c r="N14" s="8">
        <f>ROUNDUP(MONTH(Order_Details[[#This Row],[Order Date]])/3, 0)</f>
        <v>2</v>
      </c>
    </row>
    <row r="15" spans="1:14">
      <c r="A15" s="1" t="s">
        <v>18</v>
      </c>
      <c r="B15" s="1">
        <v>116</v>
      </c>
      <c r="C15" s="1">
        <v>16</v>
      </c>
      <c r="D15" s="1">
        <v>4</v>
      </c>
      <c r="E15" s="1" t="s">
        <v>1076</v>
      </c>
      <c r="F15" s="1" t="s">
        <v>1102</v>
      </c>
      <c r="G15" s="7" t="str">
        <f>_xlfn.XLOOKUP(Order_Details[[#This Row],[Order ID]], List_of_orders[Order ID], List_of_orders[State])</f>
        <v>Madhya Pradesh</v>
      </c>
      <c r="H15" s="10">
        <f>_xlfn.XLOOKUP(Order_Details[[#This Row],[Order ID]], List_of_orders[Order ID], List_of_orders[Order Date (Clean)])</f>
        <v>43193</v>
      </c>
      <c r="I15" s="7" t="str">
        <f>_xlfn.XLOOKUP(Order_Details[[#This Row],[Order ID]], List_of_orders[Order ID], List_of_orders[CustomerName])</f>
        <v>Jahan</v>
      </c>
      <c r="J15" s="7" t="str">
        <f>_xlfn.XLOOKUP(Order_Details[[#This Row],[Order ID]], List_of_orders[Order ID], List_of_orders[City])</f>
        <v>Bhopal</v>
      </c>
      <c r="K15" s="8" t="str">
        <f>TEXT(Order_Details[[#This Row],[Order Date]], "YY-MMM")</f>
        <v>18-Apr</v>
      </c>
      <c r="L15" s="11">
        <f>Order_Details[[#This Row],[Profit]]/Order_Details[[#This Row],[Amount]]</f>
        <v>0.13793103448275862</v>
      </c>
      <c r="M15" s="8">
        <f>YEAR(Order_Details[[#This Row],[Order Date]])</f>
        <v>2018</v>
      </c>
      <c r="N15" s="8">
        <f>ROUNDUP(MONTH(Order_Details[[#This Row],[Order Date]])/3, 0)</f>
        <v>2</v>
      </c>
    </row>
    <row r="16" spans="1:14">
      <c r="A16" s="1" t="s">
        <v>18</v>
      </c>
      <c r="B16" s="1">
        <v>107</v>
      </c>
      <c r="C16" s="1">
        <v>36</v>
      </c>
      <c r="D16" s="1">
        <v>6</v>
      </c>
      <c r="E16" s="1" t="s">
        <v>1076</v>
      </c>
      <c r="F16" s="1" t="s">
        <v>1102</v>
      </c>
      <c r="G16" s="7" t="str">
        <f>_xlfn.XLOOKUP(Order_Details[[#This Row],[Order ID]], List_of_orders[Order ID], List_of_orders[State])</f>
        <v>Madhya Pradesh</v>
      </c>
      <c r="H16" s="10">
        <f>_xlfn.XLOOKUP(Order_Details[[#This Row],[Order ID]], List_of_orders[Order ID], List_of_orders[Order Date (Clean)])</f>
        <v>43193</v>
      </c>
      <c r="I16" s="7" t="str">
        <f>_xlfn.XLOOKUP(Order_Details[[#This Row],[Order ID]], List_of_orders[Order ID], List_of_orders[CustomerName])</f>
        <v>Jahan</v>
      </c>
      <c r="J16" s="7" t="str">
        <f>_xlfn.XLOOKUP(Order_Details[[#This Row],[Order ID]], List_of_orders[Order ID], List_of_orders[City])</f>
        <v>Bhopal</v>
      </c>
      <c r="K16" s="8" t="str">
        <f>TEXT(Order_Details[[#This Row],[Order Date]], "YY-MMM")</f>
        <v>18-Apr</v>
      </c>
      <c r="L16" s="11">
        <f>Order_Details[[#This Row],[Profit]]/Order_Details[[#This Row],[Amount]]</f>
        <v>0.3364485981308411</v>
      </c>
      <c r="M16" s="8">
        <f>YEAR(Order_Details[[#This Row],[Order Date]])</f>
        <v>2018</v>
      </c>
      <c r="N16" s="8">
        <f>ROUNDUP(MONTH(Order_Details[[#This Row],[Order Date]])/3, 0)</f>
        <v>2</v>
      </c>
    </row>
    <row r="17" spans="1:14">
      <c r="A17" s="1" t="s">
        <v>18</v>
      </c>
      <c r="B17" s="1">
        <v>12</v>
      </c>
      <c r="C17" s="1">
        <v>1</v>
      </c>
      <c r="D17" s="1">
        <v>2</v>
      </c>
      <c r="E17" s="1" t="s">
        <v>1076</v>
      </c>
      <c r="F17" s="1" t="s">
        <v>1103</v>
      </c>
      <c r="G17" s="7" t="str">
        <f>_xlfn.XLOOKUP(Order_Details[[#This Row],[Order ID]], List_of_orders[Order ID], List_of_orders[State])</f>
        <v>Madhya Pradesh</v>
      </c>
      <c r="H17" s="10">
        <f>_xlfn.XLOOKUP(Order_Details[[#This Row],[Order ID]], List_of_orders[Order ID], List_of_orders[Order Date (Clean)])</f>
        <v>43193</v>
      </c>
      <c r="I17" s="7" t="str">
        <f>_xlfn.XLOOKUP(Order_Details[[#This Row],[Order ID]], List_of_orders[Order ID], List_of_orders[CustomerName])</f>
        <v>Jahan</v>
      </c>
      <c r="J17" s="7" t="str">
        <f>_xlfn.XLOOKUP(Order_Details[[#This Row],[Order ID]], List_of_orders[Order ID], List_of_orders[City])</f>
        <v>Bhopal</v>
      </c>
      <c r="K17" s="8" t="str">
        <f>TEXT(Order_Details[[#This Row],[Order Date]], "YY-MMM")</f>
        <v>18-Apr</v>
      </c>
      <c r="L17" s="11">
        <f>Order_Details[[#This Row],[Profit]]/Order_Details[[#This Row],[Amount]]</f>
        <v>8.3333333333333329E-2</v>
      </c>
      <c r="M17" s="8">
        <f>YEAR(Order_Details[[#This Row],[Order Date]])</f>
        <v>2018</v>
      </c>
      <c r="N17" s="8">
        <f>ROUNDUP(MONTH(Order_Details[[#This Row],[Order Date]])/3, 0)</f>
        <v>2</v>
      </c>
    </row>
    <row r="18" spans="1:14">
      <c r="A18" s="1" t="s">
        <v>18</v>
      </c>
      <c r="B18" s="1">
        <v>38</v>
      </c>
      <c r="C18" s="1">
        <v>18</v>
      </c>
      <c r="D18" s="1">
        <v>1</v>
      </c>
      <c r="E18" s="1" t="s">
        <v>1076</v>
      </c>
      <c r="F18" s="1" t="s">
        <v>1109</v>
      </c>
      <c r="G18" s="7" t="str">
        <f>_xlfn.XLOOKUP(Order_Details[[#This Row],[Order ID]], List_of_orders[Order ID], List_of_orders[State])</f>
        <v>Madhya Pradesh</v>
      </c>
      <c r="H18" s="10">
        <f>_xlfn.XLOOKUP(Order_Details[[#This Row],[Order ID]], List_of_orders[Order ID], List_of_orders[Order Date (Clean)])</f>
        <v>43193</v>
      </c>
      <c r="I18" s="7" t="str">
        <f>_xlfn.XLOOKUP(Order_Details[[#This Row],[Order ID]], List_of_orders[Order ID], List_of_orders[CustomerName])</f>
        <v>Jahan</v>
      </c>
      <c r="J18" s="7" t="str">
        <f>_xlfn.XLOOKUP(Order_Details[[#This Row],[Order ID]], List_of_orders[Order ID], List_of_orders[City])</f>
        <v>Bhopal</v>
      </c>
      <c r="K18" s="8" t="str">
        <f>TEXT(Order_Details[[#This Row],[Order Date]], "YY-MMM")</f>
        <v>18-Apr</v>
      </c>
      <c r="L18" s="11">
        <f>Order_Details[[#This Row],[Profit]]/Order_Details[[#This Row],[Amount]]</f>
        <v>0.47368421052631576</v>
      </c>
      <c r="M18" s="8">
        <f>YEAR(Order_Details[[#This Row],[Order Date]])</f>
        <v>2018</v>
      </c>
      <c r="N18" s="8">
        <f>ROUNDUP(MONTH(Order_Details[[#This Row],[Order Date]])/3, 0)</f>
        <v>2</v>
      </c>
    </row>
    <row r="19" spans="1:14">
      <c r="A19" s="1" t="s">
        <v>22</v>
      </c>
      <c r="B19" s="1">
        <v>65</v>
      </c>
      <c r="C19" s="1">
        <v>17</v>
      </c>
      <c r="D19" s="1">
        <v>2</v>
      </c>
      <c r="E19" s="1" t="s">
        <v>1076</v>
      </c>
      <c r="F19" s="1" t="s">
        <v>1110</v>
      </c>
      <c r="G19" s="7" t="str">
        <f>_xlfn.XLOOKUP(Order_Details[[#This Row],[Order ID]], List_of_orders[Order ID], List_of_orders[State])</f>
        <v>Rajasthan</v>
      </c>
      <c r="H19" s="10">
        <f>_xlfn.XLOOKUP(Order_Details[[#This Row],[Order ID]], List_of_orders[Order ID], List_of_orders[Order Date (Clean)])</f>
        <v>43193</v>
      </c>
      <c r="I19" s="7" t="str">
        <f>_xlfn.XLOOKUP(Order_Details[[#This Row],[Order ID]], List_of_orders[Order ID], List_of_orders[CustomerName])</f>
        <v>Divsha</v>
      </c>
      <c r="J19" s="7" t="str">
        <f>_xlfn.XLOOKUP(Order_Details[[#This Row],[Order ID]], List_of_orders[Order ID], List_of_orders[City])</f>
        <v>Jaipur</v>
      </c>
      <c r="K19" s="8" t="str">
        <f>TEXT(Order_Details[[#This Row],[Order Date]], "YY-MMM")</f>
        <v>18-Apr</v>
      </c>
      <c r="L19" s="11">
        <f>Order_Details[[#This Row],[Profit]]/Order_Details[[#This Row],[Amount]]</f>
        <v>0.26153846153846155</v>
      </c>
      <c r="M19" s="8">
        <f>YEAR(Order_Details[[#This Row],[Order Date]])</f>
        <v>2018</v>
      </c>
      <c r="N19" s="8">
        <f>ROUNDUP(MONTH(Order_Details[[#This Row],[Order Date]])/3, 0)</f>
        <v>2</v>
      </c>
    </row>
    <row r="20" spans="1:14">
      <c r="A20" s="1" t="s">
        <v>22</v>
      </c>
      <c r="B20" s="1">
        <v>157</v>
      </c>
      <c r="C20" s="1">
        <v>5</v>
      </c>
      <c r="D20" s="1">
        <v>9</v>
      </c>
      <c r="E20" s="1" t="s">
        <v>1076</v>
      </c>
      <c r="F20" s="1" t="s">
        <v>1106</v>
      </c>
      <c r="G20" s="7" t="str">
        <f>_xlfn.XLOOKUP(Order_Details[[#This Row],[Order ID]], List_of_orders[Order ID], List_of_orders[State])</f>
        <v>Rajasthan</v>
      </c>
      <c r="H20" s="10">
        <f>_xlfn.XLOOKUP(Order_Details[[#This Row],[Order ID]], List_of_orders[Order ID], List_of_orders[Order Date (Clean)])</f>
        <v>43193</v>
      </c>
      <c r="I20" s="7" t="str">
        <f>_xlfn.XLOOKUP(Order_Details[[#This Row],[Order ID]], List_of_orders[Order ID], List_of_orders[CustomerName])</f>
        <v>Divsha</v>
      </c>
      <c r="J20" s="7" t="str">
        <f>_xlfn.XLOOKUP(Order_Details[[#This Row],[Order ID]], List_of_orders[Order ID], List_of_orders[City])</f>
        <v>Jaipur</v>
      </c>
      <c r="K20" s="8" t="str">
        <f>TEXT(Order_Details[[#This Row],[Order Date]], "YY-MMM")</f>
        <v>18-Apr</v>
      </c>
      <c r="L20" s="11">
        <f>Order_Details[[#This Row],[Profit]]/Order_Details[[#This Row],[Amount]]</f>
        <v>3.1847133757961783E-2</v>
      </c>
      <c r="M20" s="8">
        <f>YEAR(Order_Details[[#This Row],[Order Date]])</f>
        <v>2018</v>
      </c>
      <c r="N20" s="8">
        <f>ROUNDUP(MONTH(Order_Details[[#This Row],[Order Date]])/3, 0)</f>
        <v>2</v>
      </c>
    </row>
    <row r="21" spans="1:14">
      <c r="A21" s="1" t="s">
        <v>26</v>
      </c>
      <c r="B21" s="1">
        <v>75</v>
      </c>
      <c r="C21" s="1">
        <v>0</v>
      </c>
      <c r="D21" s="1">
        <v>7</v>
      </c>
      <c r="E21" s="1" t="s">
        <v>1076</v>
      </c>
      <c r="F21" s="1" t="s">
        <v>1106</v>
      </c>
      <c r="G21" s="7" t="str">
        <f>_xlfn.XLOOKUP(Order_Details[[#This Row],[Order ID]], List_of_orders[Order ID], List_of_orders[State])</f>
        <v>West Bengal</v>
      </c>
      <c r="H21" s="10">
        <f>_xlfn.XLOOKUP(Order_Details[[#This Row],[Order ID]], List_of_orders[Order ID], List_of_orders[Order Date (Clean)])</f>
        <v>43195</v>
      </c>
      <c r="I21" s="7" t="str">
        <f>_xlfn.XLOOKUP(Order_Details[[#This Row],[Order ID]], List_of_orders[Order ID], List_of_orders[CustomerName])</f>
        <v>Kasheen</v>
      </c>
      <c r="J21" s="7" t="str">
        <f>_xlfn.XLOOKUP(Order_Details[[#This Row],[Order ID]], List_of_orders[Order ID], List_of_orders[City])</f>
        <v>Kolkata</v>
      </c>
      <c r="K21" s="8" t="str">
        <f>TEXT(Order_Details[[#This Row],[Order Date]], "YY-MMM")</f>
        <v>18-Apr</v>
      </c>
      <c r="L21" s="11">
        <f>Order_Details[[#This Row],[Profit]]/Order_Details[[#This Row],[Amount]]</f>
        <v>0</v>
      </c>
      <c r="M21" s="8">
        <f>YEAR(Order_Details[[#This Row],[Order Date]])</f>
        <v>2018</v>
      </c>
      <c r="N21" s="8">
        <f>ROUNDUP(MONTH(Order_Details[[#This Row],[Order Date]])/3, 0)</f>
        <v>2</v>
      </c>
    </row>
    <row r="22" spans="1:14">
      <c r="A22" s="1" t="s">
        <v>30</v>
      </c>
      <c r="B22" s="1">
        <v>87</v>
      </c>
      <c r="C22" s="1">
        <v>4</v>
      </c>
      <c r="D22" s="1">
        <v>2</v>
      </c>
      <c r="E22" s="1" t="s">
        <v>1076</v>
      </c>
      <c r="F22" s="1" t="s">
        <v>1111</v>
      </c>
      <c r="G22" s="7" t="str">
        <f>_xlfn.XLOOKUP(Order_Details[[#This Row],[Order ID]], List_of_orders[Order ID], List_of_orders[State])</f>
        <v>Karnataka</v>
      </c>
      <c r="H22" s="10">
        <f>_xlfn.XLOOKUP(Order_Details[[#This Row],[Order ID]], List_of_orders[Order ID], List_of_orders[Order Date (Clean)])</f>
        <v>43196</v>
      </c>
      <c r="I22" s="7" t="str">
        <f>_xlfn.XLOOKUP(Order_Details[[#This Row],[Order ID]], List_of_orders[Order ID], List_of_orders[CustomerName])</f>
        <v>Hazel</v>
      </c>
      <c r="J22" s="7" t="str">
        <f>_xlfn.XLOOKUP(Order_Details[[#This Row],[Order ID]], List_of_orders[Order ID], List_of_orders[City])</f>
        <v>Bangalore</v>
      </c>
      <c r="K22" s="8" t="str">
        <f>TEXT(Order_Details[[#This Row],[Order Date]], "YY-MMM")</f>
        <v>18-Apr</v>
      </c>
      <c r="L22" s="11">
        <f>Order_Details[[#This Row],[Profit]]/Order_Details[[#This Row],[Amount]]</f>
        <v>4.5977011494252873E-2</v>
      </c>
      <c r="M22" s="8">
        <f>YEAR(Order_Details[[#This Row],[Order Date]])</f>
        <v>2018</v>
      </c>
      <c r="N22" s="8">
        <f>ROUNDUP(MONTH(Order_Details[[#This Row],[Order Date]])/3, 0)</f>
        <v>2</v>
      </c>
    </row>
    <row r="23" spans="1:14">
      <c r="A23" s="1" t="s">
        <v>34</v>
      </c>
      <c r="B23" s="1">
        <v>50</v>
      </c>
      <c r="C23" s="1">
        <v>15</v>
      </c>
      <c r="D23" s="1">
        <v>4</v>
      </c>
      <c r="E23" s="1" t="s">
        <v>1076</v>
      </c>
      <c r="F23" s="1" t="s">
        <v>1112</v>
      </c>
      <c r="G23" s="7" t="str">
        <f>_xlfn.XLOOKUP(Order_Details[[#This Row],[Order ID]], List_of_orders[Order ID], List_of_orders[State])</f>
        <v>Jammu and Kashmir</v>
      </c>
      <c r="H23" s="10">
        <f>_xlfn.XLOOKUP(Order_Details[[#This Row],[Order ID]], List_of_orders[Order ID], List_of_orders[Order Date (Clean)])</f>
        <v>43196</v>
      </c>
      <c r="I23" s="7" t="str">
        <f>_xlfn.XLOOKUP(Order_Details[[#This Row],[Order ID]], List_of_orders[Order ID], List_of_orders[CustomerName])</f>
        <v>Sonakshi</v>
      </c>
      <c r="J23" s="7" t="str">
        <f>_xlfn.XLOOKUP(Order_Details[[#This Row],[Order ID]], List_of_orders[Order ID], List_of_orders[City])</f>
        <v>Kashmir</v>
      </c>
      <c r="K23" s="8" t="str">
        <f>TEXT(Order_Details[[#This Row],[Order Date]], "YY-MMM")</f>
        <v>18-Apr</v>
      </c>
      <c r="L23" s="11">
        <f>Order_Details[[#This Row],[Profit]]/Order_Details[[#This Row],[Amount]]</f>
        <v>0.3</v>
      </c>
      <c r="M23" s="8">
        <f>YEAR(Order_Details[[#This Row],[Order Date]])</f>
        <v>2018</v>
      </c>
      <c r="N23" s="8">
        <f>ROUNDUP(MONTH(Order_Details[[#This Row],[Order Date]])/3, 0)</f>
        <v>2</v>
      </c>
    </row>
    <row r="24" spans="1:14">
      <c r="A24" s="1" t="s">
        <v>38</v>
      </c>
      <c r="B24" s="1">
        <v>1364</v>
      </c>
      <c r="C24" s="1">
        <v>-1864</v>
      </c>
      <c r="D24" s="1">
        <v>5</v>
      </c>
      <c r="E24" s="1" t="s">
        <v>1075</v>
      </c>
      <c r="F24" s="1" t="s">
        <v>1113</v>
      </c>
      <c r="G24" s="7" t="str">
        <f>_xlfn.XLOOKUP(Order_Details[[#This Row],[Order ID]], List_of_orders[Order ID], List_of_orders[State])</f>
        <v>Tamil Nadu</v>
      </c>
      <c r="H24" s="10">
        <f>_xlfn.XLOOKUP(Order_Details[[#This Row],[Order ID]], List_of_orders[Order ID], List_of_orders[Order Date (Clean)])</f>
        <v>43198</v>
      </c>
      <c r="I24" s="7" t="str">
        <f>_xlfn.XLOOKUP(Order_Details[[#This Row],[Order ID]], List_of_orders[Order ID], List_of_orders[CustomerName])</f>
        <v>Aarushi</v>
      </c>
      <c r="J24" s="7" t="str">
        <f>_xlfn.XLOOKUP(Order_Details[[#This Row],[Order ID]], List_of_orders[Order ID], List_of_orders[City])</f>
        <v>Chennai</v>
      </c>
      <c r="K24" s="8" t="str">
        <f>TEXT(Order_Details[[#This Row],[Order Date]], "YY-MMM")</f>
        <v>18-Apr</v>
      </c>
      <c r="L24" s="11">
        <f>Order_Details[[#This Row],[Profit]]/Order_Details[[#This Row],[Amount]]</f>
        <v>-1.3665689149560116</v>
      </c>
      <c r="M24" s="8">
        <f>YEAR(Order_Details[[#This Row],[Order Date]])</f>
        <v>2018</v>
      </c>
      <c r="N24" s="8">
        <f>ROUNDUP(MONTH(Order_Details[[#This Row],[Order Date]])/3, 0)</f>
        <v>2</v>
      </c>
    </row>
    <row r="25" spans="1:14">
      <c r="A25" s="1" t="s">
        <v>38</v>
      </c>
      <c r="B25" s="1">
        <v>476</v>
      </c>
      <c r="C25" s="1">
        <v>0</v>
      </c>
      <c r="D25" s="1">
        <v>3</v>
      </c>
      <c r="E25" s="1" t="s">
        <v>1075</v>
      </c>
      <c r="F25" s="1" t="s">
        <v>1108</v>
      </c>
      <c r="G25" s="7" t="str">
        <f>_xlfn.XLOOKUP(Order_Details[[#This Row],[Order ID]], List_of_orders[Order ID], List_of_orders[State])</f>
        <v>Tamil Nadu</v>
      </c>
      <c r="H25" s="10">
        <f>_xlfn.XLOOKUP(Order_Details[[#This Row],[Order ID]], List_of_orders[Order ID], List_of_orders[Order Date (Clean)])</f>
        <v>43198</v>
      </c>
      <c r="I25" s="7" t="str">
        <f>_xlfn.XLOOKUP(Order_Details[[#This Row],[Order ID]], List_of_orders[Order ID], List_of_orders[CustomerName])</f>
        <v>Aarushi</v>
      </c>
      <c r="J25" s="7" t="str">
        <f>_xlfn.XLOOKUP(Order_Details[[#This Row],[Order ID]], List_of_orders[Order ID], List_of_orders[City])</f>
        <v>Chennai</v>
      </c>
      <c r="K25" s="8" t="str">
        <f>TEXT(Order_Details[[#This Row],[Order Date]], "YY-MMM")</f>
        <v>18-Apr</v>
      </c>
      <c r="L25" s="11">
        <f>Order_Details[[#This Row],[Profit]]/Order_Details[[#This Row],[Amount]]</f>
        <v>0</v>
      </c>
      <c r="M25" s="8">
        <f>YEAR(Order_Details[[#This Row],[Order Date]])</f>
        <v>2018</v>
      </c>
      <c r="N25" s="8">
        <f>ROUNDUP(MONTH(Order_Details[[#This Row],[Order Date]])/3, 0)</f>
        <v>2</v>
      </c>
    </row>
    <row r="26" spans="1:14">
      <c r="A26" s="1" t="s">
        <v>38</v>
      </c>
      <c r="B26" s="1">
        <v>257</v>
      </c>
      <c r="C26" s="1">
        <v>23</v>
      </c>
      <c r="D26" s="1">
        <v>5</v>
      </c>
      <c r="E26" s="1" t="s">
        <v>1076</v>
      </c>
      <c r="F26" s="1" t="s">
        <v>1103</v>
      </c>
      <c r="G26" s="7" t="str">
        <f>_xlfn.XLOOKUP(Order_Details[[#This Row],[Order ID]], List_of_orders[Order ID], List_of_orders[State])</f>
        <v>Tamil Nadu</v>
      </c>
      <c r="H26" s="10">
        <f>_xlfn.XLOOKUP(Order_Details[[#This Row],[Order ID]], List_of_orders[Order ID], List_of_orders[Order Date (Clean)])</f>
        <v>43198</v>
      </c>
      <c r="I26" s="7" t="str">
        <f>_xlfn.XLOOKUP(Order_Details[[#This Row],[Order ID]], List_of_orders[Order ID], List_of_orders[CustomerName])</f>
        <v>Aarushi</v>
      </c>
      <c r="J26" s="7" t="str">
        <f>_xlfn.XLOOKUP(Order_Details[[#This Row],[Order ID]], List_of_orders[Order ID], List_of_orders[City])</f>
        <v>Chennai</v>
      </c>
      <c r="K26" s="8" t="str">
        <f>TEXT(Order_Details[[#This Row],[Order Date]], "YY-MMM")</f>
        <v>18-Apr</v>
      </c>
      <c r="L26" s="11">
        <f>Order_Details[[#This Row],[Profit]]/Order_Details[[#This Row],[Amount]]</f>
        <v>8.9494163424124515E-2</v>
      </c>
      <c r="M26" s="8">
        <f>YEAR(Order_Details[[#This Row],[Order Date]])</f>
        <v>2018</v>
      </c>
      <c r="N26" s="8">
        <f>ROUNDUP(MONTH(Order_Details[[#This Row],[Order Date]])/3, 0)</f>
        <v>2</v>
      </c>
    </row>
    <row r="27" spans="1:14">
      <c r="A27" s="1" t="s">
        <v>38</v>
      </c>
      <c r="B27" s="1">
        <v>856</v>
      </c>
      <c r="C27" s="1">
        <v>385</v>
      </c>
      <c r="D27" s="1">
        <v>6</v>
      </c>
      <c r="E27" s="1" t="s">
        <v>1077</v>
      </c>
      <c r="F27" s="1" t="s">
        <v>1114</v>
      </c>
      <c r="G27" s="7" t="str">
        <f>_xlfn.XLOOKUP(Order_Details[[#This Row],[Order ID]], List_of_orders[Order ID], List_of_orders[State])</f>
        <v>Tamil Nadu</v>
      </c>
      <c r="H27" s="10">
        <f>_xlfn.XLOOKUP(Order_Details[[#This Row],[Order ID]], List_of_orders[Order ID], List_of_orders[Order Date (Clean)])</f>
        <v>43198</v>
      </c>
      <c r="I27" s="7" t="str">
        <f>_xlfn.XLOOKUP(Order_Details[[#This Row],[Order ID]], List_of_orders[Order ID], List_of_orders[CustomerName])</f>
        <v>Aarushi</v>
      </c>
      <c r="J27" s="7" t="str">
        <f>_xlfn.XLOOKUP(Order_Details[[#This Row],[Order ID]], List_of_orders[Order ID], List_of_orders[City])</f>
        <v>Chennai</v>
      </c>
      <c r="K27" s="8" t="str">
        <f>TEXT(Order_Details[[#This Row],[Order Date]], "YY-MMM")</f>
        <v>18-Apr</v>
      </c>
      <c r="L27" s="11">
        <f>Order_Details[[#This Row],[Profit]]/Order_Details[[#This Row],[Amount]]</f>
        <v>0.44976635514018692</v>
      </c>
      <c r="M27" s="8">
        <f>YEAR(Order_Details[[#This Row],[Order Date]])</f>
        <v>2018</v>
      </c>
      <c r="N27" s="8">
        <f>ROUNDUP(MONTH(Order_Details[[#This Row],[Order Date]])/3, 0)</f>
        <v>2</v>
      </c>
    </row>
    <row r="28" spans="1:14">
      <c r="A28" s="1" t="s">
        <v>42</v>
      </c>
      <c r="B28" s="1">
        <v>485</v>
      </c>
      <c r="C28" s="1">
        <v>29</v>
      </c>
      <c r="D28" s="1">
        <v>4</v>
      </c>
      <c r="E28" s="1" t="s">
        <v>1077</v>
      </c>
      <c r="F28" s="1" t="s">
        <v>1104</v>
      </c>
      <c r="G28" s="7" t="str">
        <f>_xlfn.XLOOKUP(Order_Details[[#This Row],[Order ID]], List_of_orders[Order ID], List_of_orders[State])</f>
        <v>Uttar Pradesh</v>
      </c>
      <c r="H28" s="10">
        <f>_xlfn.XLOOKUP(Order_Details[[#This Row],[Order ID]], List_of_orders[Order ID], List_of_orders[Order Date (Clean)])</f>
        <v>43199</v>
      </c>
      <c r="I28" s="7" t="str">
        <f>_xlfn.XLOOKUP(Order_Details[[#This Row],[Order ID]], List_of_orders[Order ID], List_of_orders[CustomerName])</f>
        <v>Jitesh</v>
      </c>
      <c r="J28" s="7" t="str">
        <f>_xlfn.XLOOKUP(Order_Details[[#This Row],[Order ID]], List_of_orders[Order ID], List_of_orders[City])</f>
        <v>Lucknow</v>
      </c>
      <c r="K28" s="8" t="str">
        <f>TEXT(Order_Details[[#This Row],[Order Date]], "YY-MMM")</f>
        <v>18-Apr</v>
      </c>
      <c r="L28" s="11">
        <f>Order_Details[[#This Row],[Profit]]/Order_Details[[#This Row],[Amount]]</f>
        <v>5.9793814432989693E-2</v>
      </c>
      <c r="M28" s="8">
        <f>YEAR(Order_Details[[#This Row],[Order Date]])</f>
        <v>2018</v>
      </c>
      <c r="N28" s="8">
        <f>ROUNDUP(MONTH(Order_Details[[#This Row],[Order Date]])/3, 0)</f>
        <v>2</v>
      </c>
    </row>
    <row r="29" spans="1:14">
      <c r="A29" s="1" t="s">
        <v>42</v>
      </c>
      <c r="B29" s="1">
        <v>25</v>
      </c>
      <c r="C29" s="1">
        <v>-5</v>
      </c>
      <c r="D29" s="1">
        <v>4</v>
      </c>
      <c r="E29" s="1" t="s">
        <v>1076</v>
      </c>
      <c r="F29" s="1" t="s">
        <v>1106</v>
      </c>
      <c r="G29" s="7" t="str">
        <f>_xlfn.XLOOKUP(Order_Details[[#This Row],[Order ID]], List_of_orders[Order ID], List_of_orders[State])</f>
        <v>Uttar Pradesh</v>
      </c>
      <c r="H29" s="10">
        <f>_xlfn.XLOOKUP(Order_Details[[#This Row],[Order ID]], List_of_orders[Order ID], List_of_orders[Order Date (Clean)])</f>
        <v>43199</v>
      </c>
      <c r="I29" s="7" t="str">
        <f>_xlfn.XLOOKUP(Order_Details[[#This Row],[Order ID]], List_of_orders[Order ID], List_of_orders[CustomerName])</f>
        <v>Jitesh</v>
      </c>
      <c r="J29" s="7" t="str">
        <f>_xlfn.XLOOKUP(Order_Details[[#This Row],[Order ID]], List_of_orders[Order ID], List_of_orders[City])</f>
        <v>Lucknow</v>
      </c>
      <c r="K29" s="8" t="str">
        <f>TEXT(Order_Details[[#This Row],[Order Date]], "YY-MMM")</f>
        <v>18-Apr</v>
      </c>
      <c r="L29" s="11">
        <f>Order_Details[[#This Row],[Profit]]/Order_Details[[#This Row],[Amount]]</f>
        <v>-0.2</v>
      </c>
      <c r="M29" s="8">
        <f>YEAR(Order_Details[[#This Row],[Order Date]])</f>
        <v>2018</v>
      </c>
      <c r="N29" s="8">
        <f>ROUNDUP(MONTH(Order_Details[[#This Row],[Order Date]])/3, 0)</f>
        <v>2</v>
      </c>
    </row>
    <row r="30" spans="1:14">
      <c r="A30" s="1" t="s">
        <v>46</v>
      </c>
      <c r="B30" s="1">
        <v>1076</v>
      </c>
      <c r="C30" s="1">
        <v>-38</v>
      </c>
      <c r="D30" s="1">
        <v>4</v>
      </c>
      <c r="E30" s="1" t="s">
        <v>1077</v>
      </c>
      <c r="F30" s="1" t="s">
        <v>1114</v>
      </c>
      <c r="G30" s="7" t="str">
        <f>_xlfn.XLOOKUP(Order_Details[[#This Row],[Order ID]], List_of_orders[Order ID], List_of_orders[State])</f>
        <v>Bihar</v>
      </c>
      <c r="H30" s="10">
        <f>_xlfn.XLOOKUP(Order_Details[[#This Row],[Order ID]], List_of_orders[Order ID], List_of_orders[Order Date (Clean)])</f>
        <v>43199</v>
      </c>
      <c r="I30" s="7" t="str">
        <f>_xlfn.XLOOKUP(Order_Details[[#This Row],[Order ID]], List_of_orders[Order ID], List_of_orders[CustomerName])</f>
        <v>Yogesh</v>
      </c>
      <c r="J30" s="7" t="str">
        <f>_xlfn.XLOOKUP(Order_Details[[#This Row],[Order ID]], List_of_orders[Order ID], List_of_orders[City])</f>
        <v>Patna</v>
      </c>
      <c r="K30" s="8" t="str">
        <f>TEXT(Order_Details[[#This Row],[Order Date]], "YY-MMM")</f>
        <v>18-Apr</v>
      </c>
      <c r="L30" s="11">
        <f>Order_Details[[#This Row],[Profit]]/Order_Details[[#This Row],[Amount]]</f>
        <v>-3.5315985130111527E-2</v>
      </c>
      <c r="M30" s="8">
        <f>YEAR(Order_Details[[#This Row],[Order Date]])</f>
        <v>2018</v>
      </c>
      <c r="N30" s="8">
        <f>ROUNDUP(MONTH(Order_Details[[#This Row],[Order Date]])/3, 0)</f>
        <v>2</v>
      </c>
    </row>
    <row r="31" spans="1:14">
      <c r="A31" s="1" t="s">
        <v>46</v>
      </c>
      <c r="B31" s="1">
        <v>107</v>
      </c>
      <c r="C31" s="1">
        <v>-54</v>
      </c>
      <c r="D31" s="1">
        <v>4</v>
      </c>
      <c r="E31" s="1" t="s">
        <v>1076</v>
      </c>
      <c r="F31" s="1" t="s">
        <v>1102</v>
      </c>
      <c r="G31" s="7" t="str">
        <f>_xlfn.XLOOKUP(Order_Details[[#This Row],[Order ID]], List_of_orders[Order ID], List_of_orders[State])</f>
        <v>Bihar</v>
      </c>
      <c r="H31" s="10">
        <f>_xlfn.XLOOKUP(Order_Details[[#This Row],[Order ID]], List_of_orders[Order ID], List_of_orders[Order Date (Clean)])</f>
        <v>43199</v>
      </c>
      <c r="I31" s="7" t="str">
        <f>_xlfn.XLOOKUP(Order_Details[[#This Row],[Order ID]], List_of_orders[Order ID], List_of_orders[CustomerName])</f>
        <v>Yogesh</v>
      </c>
      <c r="J31" s="7" t="str">
        <f>_xlfn.XLOOKUP(Order_Details[[#This Row],[Order ID]], List_of_orders[Order ID], List_of_orders[City])</f>
        <v>Patna</v>
      </c>
      <c r="K31" s="8" t="str">
        <f>TEXT(Order_Details[[#This Row],[Order Date]], "YY-MMM")</f>
        <v>18-Apr</v>
      </c>
      <c r="L31" s="11">
        <f>Order_Details[[#This Row],[Profit]]/Order_Details[[#This Row],[Amount]]</f>
        <v>-0.50467289719626163</v>
      </c>
      <c r="M31" s="8">
        <f>YEAR(Order_Details[[#This Row],[Order Date]])</f>
        <v>2018</v>
      </c>
      <c r="N31" s="8">
        <f>ROUNDUP(MONTH(Order_Details[[#This Row],[Order Date]])/3, 0)</f>
        <v>2</v>
      </c>
    </row>
    <row r="32" spans="1:14">
      <c r="A32" s="1" t="s">
        <v>46</v>
      </c>
      <c r="B32" s="1">
        <v>68</v>
      </c>
      <c r="C32" s="1">
        <v>-55</v>
      </c>
      <c r="D32" s="1">
        <v>5</v>
      </c>
      <c r="E32" s="1" t="s">
        <v>1077</v>
      </c>
      <c r="F32" s="1" t="s">
        <v>1115</v>
      </c>
      <c r="G32" s="7" t="str">
        <f>_xlfn.XLOOKUP(Order_Details[[#This Row],[Order ID]], List_of_orders[Order ID], List_of_orders[State])</f>
        <v>Bihar</v>
      </c>
      <c r="H32" s="10">
        <f>_xlfn.XLOOKUP(Order_Details[[#This Row],[Order ID]], List_of_orders[Order ID], List_of_orders[Order Date (Clean)])</f>
        <v>43199</v>
      </c>
      <c r="I32" s="7" t="str">
        <f>_xlfn.XLOOKUP(Order_Details[[#This Row],[Order ID]], List_of_orders[Order ID], List_of_orders[CustomerName])</f>
        <v>Yogesh</v>
      </c>
      <c r="J32" s="7" t="str">
        <f>_xlfn.XLOOKUP(Order_Details[[#This Row],[Order ID]], List_of_orders[Order ID], List_of_orders[City])</f>
        <v>Patna</v>
      </c>
      <c r="K32" s="8" t="str">
        <f>TEXT(Order_Details[[#This Row],[Order Date]], "YY-MMM")</f>
        <v>18-Apr</v>
      </c>
      <c r="L32" s="11">
        <f>Order_Details[[#This Row],[Profit]]/Order_Details[[#This Row],[Amount]]</f>
        <v>-0.80882352941176472</v>
      </c>
      <c r="M32" s="8">
        <f>YEAR(Order_Details[[#This Row],[Order Date]])</f>
        <v>2018</v>
      </c>
      <c r="N32" s="8">
        <f>ROUNDUP(MONTH(Order_Details[[#This Row],[Order Date]])/3, 0)</f>
        <v>2</v>
      </c>
    </row>
    <row r="33" spans="1:14">
      <c r="A33" s="1" t="s">
        <v>46</v>
      </c>
      <c r="B33" s="1">
        <v>781</v>
      </c>
      <c r="C33" s="1">
        <v>-594</v>
      </c>
      <c r="D33" s="1">
        <v>6</v>
      </c>
      <c r="E33" s="1" t="s">
        <v>1077</v>
      </c>
      <c r="F33" s="1" t="s">
        <v>1114</v>
      </c>
      <c r="G33" s="7" t="str">
        <f>_xlfn.XLOOKUP(Order_Details[[#This Row],[Order ID]], List_of_orders[Order ID], List_of_orders[State])</f>
        <v>Bihar</v>
      </c>
      <c r="H33" s="10">
        <f>_xlfn.XLOOKUP(Order_Details[[#This Row],[Order ID]], List_of_orders[Order ID], List_of_orders[Order Date (Clean)])</f>
        <v>43199</v>
      </c>
      <c r="I33" s="7" t="str">
        <f>_xlfn.XLOOKUP(Order_Details[[#This Row],[Order ID]], List_of_orders[Order ID], List_of_orders[CustomerName])</f>
        <v>Yogesh</v>
      </c>
      <c r="J33" s="7" t="str">
        <f>_xlfn.XLOOKUP(Order_Details[[#This Row],[Order ID]], List_of_orders[Order ID], List_of_orders[City])</f>
        <v>Patna</v>
      </c>
      <c r="K33" s="8" t="str">
        <f>TEXT(Order_Details[[#This Row],[Order Date]], "YY-MMM")</f>
        <v>18-Apr</v>
      </c>
      <c r="L33" s="11">
        <f>Order_Details[[#This Row],[Profit]]/Order_Details[[#This Row],[Amount]]</f>
        <v>-0.76056338028169013</v>
      </c>
      <c r="M33" s="8">
        <f>YEAR(Order_Details[[#This Row],[Order Date]])</f>
        <v>2018</v>
      </c>
      <c r="N33" s="8">
        <f>ROUNDUP(MONTH(Order_Details[[#This Row],[Order Date]])/3, 0)</f>
        <v>2</v>
      </c>
    </row>
    <row r="34" spans="1:14">
      <c r="A34" s="1" t="s">
        <v>46</v>
      </c>
      <c r="B34" s="1">
        <v>43</v>
      </c>
      <c r="C34" s="1">
        <v>0</v>
      </c>
      <c r="D34" s="1">
        <v>3</v>
      </c>
      <c r="E34" s="1" t="s">
        <v>1076</v>
      </c>
      <c r="F34" s="1" t="s">
        <v>1106</v>
      </c>
      <c r="G34" s="7" t="str">
        <f>_xlfn.XLOOKUP(Order_Details[[#This Row],[Order ID]], List_of_orders[Order ID], List_of_orders[State])</f>
        <v>Bihar</v>
      </c>
      <c r="H34" s="10">
        <f>_xlfn.XLOOKUP(Order_Details[[#This Row],[Order ID]], List_of_orders[Order ID], List_of_orders[Order Date (Clean)])</f>
        <v>43199</v>
      </c>
      <c r="I34" s="7" t="str">
        <f>_xlfn.XLOOKUP(Order_Details[[#This Row],[Order ID]], List_of_orders[Order ID], List_of_orders[CustomerName])</f>
        <v>Yogesh</v>
      </c>
      <c r="J34" s="7" t="str">
        <f>_xlfn.XLOOKUP(Order_Details[[#This Row],[Order ID]], List_of_orders[Order ID], List_of_orders[City])</f>
        <v>Patna</v>
      </c>
      <c r="K34" s="8" t="str">
        <f>TEXT(Order_Details[[#This Row],[Order Date]], "YY-MMM")</f>
        <v>18-Apr</v>
      </c>
      <c r="L34" s="11">
        <f>Order_Details[[#This Row],[Profit]]/Order_Details[[#This Row],[Amount]]</f>
        <v>0</v>
      </c>
      <c r="M34" s="8">
        <f>YEAR(Order_Details[[#This Row],[Order Date]])</f>
        <v>2018</v>
      </c>
      <c r="N34" s="8">
        <f>ROUNDUP(MONTH(Order_Details[[#This Row],[Order Date]])/3, 0)</f>
        <v>2</v>
      </c>
    </row>
    <row r="35" spans="1:14">
      <c r="A35" s="1" t="s">
        <v>46</v>
      </c>
      <c r="B35" s="1">
        <v>30</v>
      </c>
      <c r="C35" s="1">
        <v>-5</v>
      </c>
      <c r="D35" s="1">
        <v>2</v>
      </c>
      <c r="E35" s="1" t="s">
        <v>1075</v>
      </c>
      <c r="F35" s="1" t="s">
        <v>1116</v>
      </c>
      <c r="G35" s="7" t="str">
        <f>_xlfn.XLOOKUP(Order_Details[[#This Row],[Order ID]], List_of_orders[Order ID], List_of_orders[State])</f>
        <v>Bihar</v>
      </c>
      <c r="H35" s="10">
        <f>_xlfn.XLOOKUP(Order_Details[[#This Row],[Order ID]], List_of_orders[Order ID], List_of_orders[Order Date (Clean)])</f>
        <v>43199</v>
      </c>
      <c r="I35" s="7" t="str">
        <f>_xlfn.XLOOKUP(Order_Details[[#This Row],[Order ID]], List_of_orders[Order ID], List_of_orders[CustomerName])</f>
        <v>Yogesh</v>
      </c>
      <c r="J35" s="7" t="str">
        <f>_xlfn.XLOOKUP(Order_Details[[#This Row],[Order ID]], List_of_orders[Order ID], List_of_orders[City])</f>
        <v>Patna</v>
      </c>
      <c r="K35" s="8" t="str">
        <f>TEXT(Order_Details[[#This Row],[Order Date]], "YY-MMM")</f>
        <v>18-Apr</v>
      </c>
      <c r="L35" s="11">
        <f>Order_Details[[#This Row],[Profit]]/Order_Details[[#This Row],[Amount]]</f>
        <v>-0.16666666666666666</v>
      </c>
      <c r="M35" s="8">
        <f>YEAR(Order_Details[[#This Row],[Order Date]])</f>
        <v>2018</v>
      </c>
      <c r="N35" s="8">
        <f>ROUNDUP(MONTH(Order_Details[[#This Row],[Order Date]])/3, 0)</f>
        <v>2</v>
      </c>
    </row>
    <row r="36" spans="1:14">
      <c r="A36" s="1" t="s">
        <v>50</v>
      </c>
      <c r="B36" s="1">
        <v>160</v>
      </c>
      <c r="C36" s="1">
        <v>-59</v>
      </c>
      <c r="D36" s="1">
        <v>2</v>
      </c>
      <c r="E36" s="1" t="s">
        <v>1076</v>
      </c>
      <c r="F36" s="1" t="s">
        <v>1106</v>
      </c>
      <c r="G36" s="7" t="str">
        <f>_xlfn.XLOOKUP(Order_Details[[#This Row],[Order ID]], List_of_orders[Order ID], List_of_orders[State])</f>
        <v xml:space="preserve">Kerala </v>
      </c>
      <c r="H36" s="10">
        <f>_xlfn.XLOOKUP(Order_Details[[#This Row],[Order ID]], List_of_orders[Order ID], List_of_orders[Order Date (Clean)])</f>
        <v>43201</v>
      </c>
      <c r="I36" s="7" t="str">
        <f>_xlfn.XLOOKUP(Order_Details[[#This Row],[Order ID]], List_of_orders[Order ID], List_of_orders[CustomerName])</f>
        <v>Anita</v>
      </c>
      <c r="J36" s="7" t="str">
        <f>_xlfn.XLOOKUP(Order_Details[[#This Row],[Order ID]], List_of_orders[Order ID], List_of_orders[City])</f>
        <v>Thiruvananthapuram</v>
      </c>
      <c r="K36" s="8" t="str">
        <f>TEXT(Order_Details[[#This Row],[Order Date]], "YY-MMM")</f>
        <v>18-Apr</v>
      </c>
      <c r="L36" s="11">
        <f>Order_Details[[#This Row],[Profit]]/Order_Details[[#This Row],[Amount]]</f>
        <v>-0.36875000000000002</v>
      </c>
      <c r="M36" s="8">
        <f>YEAR(Order_Details[[#This Row],[Order Date]])</f>
        <v>2018</v>
      </c>
      <c r="N36" s="8">
        <f>ROUNDUP(MONTH(Order_Details[[#This Row],[Order Date]])/3, 0)</f>
        <v>2</v>
      </c>
    </row>
    <row r="37" spans="1:14">
      <c r="A37" s="1" t="s">
        <v>54</v>
      </c>
      <c r="B37" s="1">
        <v>259</v>
      </c>
      <c r="C37" s="1">
        <v>-55</v>
      </c>
      <c r="D37" s="1">
        <v>2</v>
      </c>
      <c r="E37" s="1" t="s">
        <v>1075</v>
      </c>
      <c r="F37" s="1" t="s">
        <v>1108</v>
      </c>
      <c r="G37" s="7" t="str">
        <f>_xlfn.XLOOKUP(Order_Details[[#This Row],[Order ID]], List_of_orders[Order ID], List_of_orders[State])</f>
        <v>Punjab</v>
      </c>
      <c r="H37" s="10">
        <f>_xlfn.XLOOKUP(Order_Details[[#This Row],[Order ID]], List_of_orders[Order ID], List_of_orders[Order Date (Clean)])</f>
        <v>43202</v>
      </c>
      <c r="I37" s="7" t="str">
        <f>_xlfn.XLOOKUP(Order_Details[[#This Row],[Order ID]], List_of_orders[Order ID], List_of_orders[CustomerName])</f>
        <v>Shrichand</v>
      </c>
      <c r="J37" s="7" t="str">
        <f>_xlfn.XLOOKUP(Order_Details[[#This Row],[Order ID]], List_of_orders[Order ID], List_of_orders[City])</f>
        <v>Chandigarh</v>
      </c>
      <c r="K37" s="8" t="str">
        <f>TEXT(Order_Details[[#This Row],[Order Date]], "YY-MMM")</f>
        <v>18-Apr</v>
      </c>
      <c r="L37" s="11">
        <f>Order_Details[[#This Row],[Profit]]/Order_Details[[#This Row],[Amount]]</f>
        <v>-0.21235521235521235</v>
      </c>
      <c r="M37" s="8">
        <f>YEAR(Order_Details[[#This Row],[Order Date]])</f>
        <v>2018</v>
      </c>
      <c r="N37" s="8">
        <f>ROUNDUP(MONTH(Order_Details[[#This Row],[Order Date]])/3, 0)</f>
        <v>2</v>
      </c>
    </row>
    <row r="38" spans="1:14">
      <c r="A38" s="1" t="s">
        <v>58</v>
      </c>
      <c r="B38" s="1">
        <v>1603</v>
      </c>
      <c r="C38" s="1">
        <v>0</v>
      </c>
      <c r="D38" s="1">
        <v>9</v>
      </c>
      <c r="E38" s="1" t="s">
        <v>1076</v>
      </c>
      <c r="F38" s="1" t="s">
        <v>1106</v>
      </c>
      <c r="G38" s="7" t="str">
        <f>_xlfn.XLOOKUP(Order_Details[[#This Row],[Order ID]], List_of_orders[Order ID], List_of_orders[State])</f>
        <v>Haryana</v>
      </c>
      <c r="H38" s="10">
        <f>_xlfn.XLOOKUP(Order_Details[[#This Row],[Order ID]], List_of_orders[Order ID], List_of_orders[Order Date (Clean)])</f>
        <v>43202</v>
      </c>
      <c r="I38" s="7" t="str">
        <f>_xlfn.XLOOKUP(Order_Details[[#This Row],[Order ID]], List_of_orders[Order ID], List_of_orders[CustomerName])</f>
        <v>Mukesh</v>
      </c>
      <c r="J38" s="7" t="str">
        <f>_xlfn.XLOOKUP(Order_Details[[#This Row],[Order ID]], List_of_orders[Order ID], List_of_orders[City])</f>
        <v>Chandigarh</v>
      </c>
      <c r="K38" s="8" t="str">
        <f>TEXT(Order_Details[[#This Row],[Order Date]], "YY-MMM")</f>
        <v>18-Apr</v>
      </c>
      <c r="L38" s="11">
        <f>Order_Details[[#This Row],[Profit]]/Order_Details[[#This Row],[Amount]]</f>
        <v>0</v>
      </c>
      <c r="M38" s="8">
        <f>YEAR(Order_Details[[#This Row],[Order Date]])</f>
        <v>2018</v>
      </c>
      <c r="N38" s="8">
        <f>ROUNDUP(MONTH(Order_Details[[#This Row],[Order Date]])/3, 0)</f>
        <v>2</v>
      </c>
    </row>
    <row r="39" spans="1:14">
      <c r="A39" s="1" t="s">
        <v>61</v>
      </c>
      <c r="B39" s="1">
        <v>494</v>
      </c>
      <c r="C39" s="1">
        <v>54</v>
      </c>
      <c r="D39" s="1">
        <v>4</v>
      </c>
      <c r="E39" s="1" t="s">
        <v>1075</v>
      </c>
      <c r="F39" s="1" t="s">
        <v>1101</v>
      </c>
      <c r="G39" s="7" t="str">
        <f>_xlfn.XLOOKUP(Order_Details[[#This Row],[Order ID]], List_of_orders[Order ID], List_of_orders[State])</f>
        <v>Himachal Pradesh</v>
      </c>
      <c r="H39" s="10">
        <f>_xlfn.XLOOKUP(Order_Details[[#This Row],[Order ID]], List_of_orders[Order ID], List_of_orders[Order Date (Clean)])</f>
        <v>43203</v>
      </c>
      <c r="I39" s="7" t="str">
        <f>_xlfn.XLOOKUP(Order_Details[[#This Row],[Order ID]], List_of_orders[Order ID], List_of_orders[CustomerName])</f>
        <v>Vandana</v>
      </c>
      <c r="J39" s="7" t="str">
        <f>_xlfn.XLOOKUP(Order_Details[[#This Row],[Order ID]], List_of_orders[Order ID], List_of_orders[City])</f>
        <v>Simla</v>
      </c>
      <c r="K39" s="8" t="str">
        <f>TEXT(Order_Details[[#This Row],[Order Date]], "YY-MMM")</f>
        <v>18-Apr</v>
      </c>
      <c r="L39" s="11">
        <f>Order_Details[[#This Row],[Profit]]/Order_Details[[#This Row],[Amount]]</f>
        <v>0.10931174089068826</v>
      </c>
      <c r="M39" s="8">
        <f>YEAR(Order_Details[[#This Row],[Order Date]])</f>
        <v>2018</v>
      </c>
      <c r="N39" s="8">
        <f>ROUNDUP(MONTH(Order_Details[[#This Row],[Order Date]])/3, 0)</f>
        <v>2</v>
      </c>
    </row>
    <row r="40" spans="1:14">
      <c r="A40" s="1" t="s">
        <v>61</v>
      </c>
      <c r="B40" s="1">
        <v>98</v>
      </c>
      <c r="C40" s="1">
        <v>-12</v>
      </c>
      <c r="D40" s="1">
        <v>2</v>
      </c>
      <c r="E40" s="1" t="s">
        <v>1077</v>
      </c>
      <c r="F40" s="1" t="s">
        <v>1104</v>
      </c>
      <c r="G40" s="7" t="str">
        <f>_xlfn.XLOOKUP(Order_Details[[#This Row],[Order ID]], List_of_orders[Order ID], List_of_orders[State])</f>
        <v>Himachal Pradesh</v>
      </c>
      <c r="H40" s="10">
        <f>_xlfn.XLOOKUP(Order_Details[[#This Row],[Order ID]], List_of_orders[Order ID], List_of_orders[Order Date (Clean)])</f>
        <v>43203</v>
      </c>
      <c r="I40" s="7" t="str">
        <f>_xlfn.XLOOKUP(Order_Details[[#This Row],[Order ID]], List_of_orders[Order ID], List_of_orders[CustomerName])</f>
        <v>Vandana</v>
      </c>
      <c r="J40" s="7" t="str">
        <f>_xlfn.XLOOKUP(Order_Details[[#This Row],[Order ID]], List_of_orders[Order ID], List_of_orders[City])</f>
        <v>Simla</v>
      </c>
      <c r="K40" s="8" t="str">
        <f>TEXT(Order_Details[[#This Row],[Order Date]], "YY-MMM")</f>
        <v>18-Apr</v>
      </c>
      <c r="L40" s="11">
        <f>Order_Details[[#This Row],[Profit]]/Order_Details[[#This Row],[Amount]]</f>
        <v>-0.12244897959183673</v>
      </c>
      <c r="M40" s="8">
        <f>YEAR(Order_Details[[#This Row],[Order Date]])</f>
        <v>2018</v>
      </c>
      <c r="N40" s="8">
        <f>ROUNDUP(MONTH(Order_Details[[#This Row],[Order Date]])/3, 0)</f>
        <v>2</v>
      </c>
    </row>
    <row r="41" spans="1:14">
      <c r="A41" s="1" t="s">
        <v>66</v>
      </c>
      <c r="B41" s="1">
        <v>68</v>
      </c>
      <c r="C41" s="1">
        <v>20</v>
      </c>
      <c r="D41" s="1">
        <v>5</v>
      </c>
      <c r="E41" s="1" t="s">
        <v>1076</v>
      </c>
      <c r="F41" s="1" t="s">
        <v>1103</v>
      </c>
      <c r="G41" s="7" t="str">
        <f>_xlfn.XLOOKUP(Order_Details[[#This Row],[Order ID]], List_of_orders[Order ID], List_of_orders[State])</f>
        <v>Sikkim</v>
      </c>
      <c r="H41" s="10">
        <f>_xlfn.XLOOKUP(Order_Details[[#This Row],[Order ID]], List_of_orders[Order ID], List_of_orders[Order Date (Clean)])</f>
        <v>43205</v>
      </c>
      <c r="I41" s="7" t="str">
        <f>_xlfn.XLOOKUP(Order_Details[[#This Row],[Order ID]], List_of_orders[Order ID], List_of_orders[CustomerName])</f>
        <v>Bhavna</v>
      </c>
      <c r="J41" s="7" t="str">
        <f>_xlfn.XLOOKUP(Order_Details[[#This Row],[Order ID]], List_of_orders[Order ID], List_of_orders[City])</f>
        <v>Gangtok</v>
      </c>
      <c r="K41" s="8" t="str">
        <f>TEXT(Order_Details[[#This Row],[Order Date]], "YY-MMM")</f>
        <v>18-Apr</v>
      </c>
      <c r="L41" s="11">
        <f>Order_Details[[#This Row],[Profit]]/Order_Details[[#This Row],[Amount]]</f>
        <v>0.29411764705882354</v>
      </c>
      <c r="M41" s="8">
        <f>YEAR(Order_Details[[#This Row],[Order Date]])</f>
        <v>2018</v>
      </c>
      <c r="N41" s="8">
        <f>ROUNDUP(MONTH(Order_Details[[#This Row],[Order Date]])/3, 0)</f>
        <v>2</v>
      </c>
    </row>
    <row r="42" spans="1:14">
      <c r="A42" s="1" t="s">
        <v>71</v>
      </c>
      <c r="B42" s="1">
        <v>42</v>
      </c>
      <c r="C42" s="1">
        <v>12</v>
      </c>
      <c r="D42" s="1">
        <v>5</v>
      </c>
      <c r="E42" s="1" t="s">
        <v>1076</v>
      </c>
      <c r="F42" s="1" t="s">
        <v>1103</v>
      </c>
      <c r="G42" s="7" t="str">
        <f>_xlfn.XLOOKUP(Order_Details[[#This Row],[Order ID]], List_of_orders[Order ID], List_of_orders[State])</f>
        <v>Goa</v>
      </c>
      <c r="H42" s="10">
        <f>_xlfn.XLOOKUP(Order_Details[[#This Row],[Order ID]], List_of_orders[Order ID], List_of_orders[Order Date (Clean)])</f>
        <v>43205</v>
      </c>
      <c r="I42" s="7" t="str">
        <f>_xlfn.XLOOKUP(Order_Details[[#This Row],[Order ID]], List_of_orders[Order ID], List_of_orders[CustomerName])</f>
        <v>Kanak</v>
      </c>
      <c r="J42" s="7" t="str">
        <f>_xlfn.XLOOKUP(Order_Details[[#This Row],[Order ID]], List_of_orders[Order ID], List_of_orders[City])</f>
        <v>Goa</v>
      </c>
      <c r="K42" s="8" t="str">
        <f>TEXT(Order_Details[[#This Row],[Order Date]], "YY-MMM")</f>
        <v>18-Apr</v>
      </c>
      <c r="L42" s="11">
        <f>Order_Details[[#This Row],[Profit]]/Order_Details[[#This Row],[Amount]]</f>
        <v>0.2857142857142857</v>
      </c>
      <c r="M42" s="8">
        <f>YEAR(Order_Details[[#This Row],[Order Date]])</f>
        <v>2018</v>
      </c>
      <c r="N42" s="8">
        <f>ROUNDUP(MONTH(Order_Details[[#This Row],[Order Date]])/3, 0)</f>
        <v>2</v>
      </c>
    </row>
    <row r="43" spans="1:14">
      <c r="A43" s="1" t="s">
        <v>71</v>
      </c>
      <c r="B43" s="1">
        <v>116</v>
      </c>
      <c r="C43" s="1">
        <v>-56</v>
      </c>
      <c r="D43" s="1">
        <v>5</v>
      </c>
      <c r="E43" s="1" t="s">
        <v>1076</v>
      </c>
      <c r="F43" s="1" t="s">
        <v>1102</v>
      </c>
      <c r="G43" s="7" t="str">
        <f>_xlfn.XLOOKUP(Order_Details[[#This Row],[Order ID]], List_of_orders[Order ID], List_of_orders[State])</f>
        <v>Goa</v>
      </c>
      <c r="H43" s="10">
        <f>_xlfn.XLOOKUP(Order_Details[[#This Row],[Order ID]], List_of_orders[Order ID], List_of_orders[Order Date (Clean)])</f>
        <v>43205</v>
      </c>
      <c r="I43" s="7" t="str">
        <f>_xlfn.XLOOKUP(Order_Details[[#This Row],[Order ID]], List_of_orders[Order ID], List_of_orders[CustomerName])</f>
        <v>Kanak</v>
      </c>
      <c r="J43" s="7" t="str">
        <f>_xlfn.XLOOKUP(Order_Details[[#This Row],[Order ID]], List_of_orders[Order ID], List_of_orders[City])</f>
        <v>Goa</v>
      </c>
      <c r="K43" s="8" t="str">
        <f>TEXT(Order_Details[[#This Row],[Order Date]], "YY-MMM")</f>
        <v>18-Apr</v>
      </c>
      <c r="L43" s="11">
        <f>Order_Details[[#This Row],[Profit]]/Order_Details[[#This Row],[Amount]]</f>
        <v>-0.48275862068965519</v>
      </c>
      <c r="M43" s="8">
        <f>YEAR(Order_Details[[#This Row],[Order Date]])</f>
        <v>2018</v>
      </c>
      <c r="N43" s="8">
        <f>ROUNDUP(MONTH(Order_Details[[#This Row],[Order Date]])/3, 0)</f>
        <v>2</v>
      </c>
    </row>
    <row r="44" spans="1:14">
      <c r="A44" s="1" t="s">
        <v>71</v>
      </c>
      <c r="B44" s="1">
        <v>22</v>
      </c>
      <c r="C44" s="1">
        <v>-2</v>
      </c>
      <c r="D44" s="1">
        <v>3</v>
      </c>
      <c r="E44" s="1" t="s">
        <v>1076</v>
      </c>
      <c r="F44" s="1" t="s">
        <v>1103</v>
      </c>
      <c r="G44" s="7" t="str">
        <f>_xlfn.XLOOKUP(Order_Details[[#This Row],[Order ID]], List_of_orders[Order ID], List_of_orders[State])</f>
        <v>Goa</v>
      </c>
      <c r="H44" s="10">
        <f>_xlfn.XLOOKUP(Order_Details[[#This Row],[Order ID]], List_of_orders[Order ID], List_of_orders[Order Date (Clean)])</f>
        <v>43205</v>
      </c>
      <c r="I44" s="7" t="str">
        <f>_xlfn.XLOOKUP(Order_Details[[#This Row],[Order ID]], List_of_orders[Order ID], List_of_orders[CustomerName])</f>
        <v>Kanak</v>
      </c>
      <c r="J44" s="7" t="str">
        <f>_xlfn.XLOOKUP(Order_Details[[#This Row],[Order ID]], List_of_orders[Order ID], List_of_orders[City])</f>
        <v>Goa</v>
      </c>
      <c r="K44" s="8" t="str">
        <f>TEXT(Order_Details[[#This Row],[Order Date]], "YY-MMM")</f>
        <v>18-Apr</v>
      </c>
      <c r="L44" s="11">
        <f>Order_Details[[#This Row],[Profit]]/Order_Details[[#This Row],[Amount]]</f>
        <v>-9.0909090909090912E-2</v>
      </c>
      <c r="M44" s="8">
        <f>YEAR(Order_Details[[#This Row],[Order Date]])</f>
        <v>2018</v>
      </c>
      <c r="N44" s="8">
        <f>ROUNDUP(MONTH(Order_Details[[#This Row],[Order Date]])/3, 0)</f>
        <v>2</v>
      </c>
    </row>
    <row r="45" spans="1:14">
      <c r="A45" s="1" t="s">
        <v>71</v>
      </c>
      <c r="B45" s="1">
        <v>14</v>
      </c>
      <c r="C45" s="1">
        <v>-2</v>
      </c>
      <c r="D45" s="1">
        <v>3</v>
      </c>
      <c r="E45" s="1" t="s">
        <v>1076</v>
      </c>
      <c r="F45" s="1" t="s">
        <v>1103</v>
      </c>
      <c r="G45" s="7" t="str">
        <f>_xlfn.XLOOKUP(Order_Details[[#This Row],[Order ID]], List_of_orders[Order ID], List_of_orders[State])</f>
        <v>Goa</v>
      </c>
      <c r="H45" s="10">
        <f>_xlfn.XLOOKUP(Order_Details[[#This Row],[Order ID]], List_of_orders[Order ID], List_of_orders[Order Date (Clean)])</f>
        <v>43205</v>
      </c>
      <c r="I45" s="7" t="str">
        <f>_xlfn.XLOOKUP(Order_Details[[#This Row],[Order ID]], List_of_orders[Order ID], List_of_orders[CustomerName])</f>
        <v>Kanak</v>
      </c>
      <c r="J45" s="7" t="str">
        <f>_xlfn.XLOOKUP(Order_Details[[#This Row],[Order ID]], List_of_orders[Order ID], List_of_orders[City])</f>
        <v>Goa</v>
      </c>
      <c r="K45" s="8" t="str">
        <f>TEXT(Order_Details[[#This Row],[Order Date]], "YY-MMM")</f>
        <v>18-Apr</v>
      </c>
      <c r="L45" s="11">
        <f>Order_Details[[#This Row],[Profit]]/Order_Details[[#This Row],[Amount]]</f>
        <v>-0.14285714285714285</v>
      </c>
      <c r="M45" s="8">
        <f>YEAR(Order_Details[[#This Row],[Order Date]])</f>
        <v>2018</v>
      </c>
      <c r="N45" s="8">
        <f>ROUNDUP(MONTH(Order_Details[[#This Row],[Order Date]])/3, 0)</f>
        <v>2</v>
      </c>
    </row>
    <row r="46" spans="1:14">
      <c r="A46" s="1" t="s">
        <v>74</v>
      </c>
      <c r="B46" s="1">
        <v>305</v>
      </c>
      <c r="C46" s="1">
        <v>-270</v>
      </c>
      <c r="D46" s="1">
        <v>5</v>
      </c>
      <c r="E46" s="1" t="s">
        <v>1077</v>
      </c>
      <c r="F46" s="1" t="s">
        <v>1104</v>
      </c>
      <c r="G46" s="7" t="str">
        <f>_xlfn.XLOOKUP(Order_Details[[#This Row],[Order ID]], List_of_orders[Order ID], List_of_orders[State])</f>
        <v>Nagaland</v>
      </c>
      <c r="H46" s="10">
        <f>_xlfn.XLOOKUP(Order_Details[[#This Row],[Order ID]], List_of_orders[Order ID], List_of_orders[Order Date (Clean)])</f>
        <v>43207</v>
      </c>
      <c r="I46" s="7" t="str">
        <f>_xlfn.XLOOKUP(Order_Details[[#This Row],[Order ID]], List_of_orders[Order ID], List_of_orders[CustomerName])</f>
        <v>Sagar</v>
      </c>
      <c r="J46" s="7" t="str">
        <f>_xlfn.XLOOKUP(Order_Details[[#This Row],[Order ID]], List_of_orders[Order ID], List_of_orders[City])</f>
        <v>Kohima</v>
      </c>
      <c r="K46" s="8" t="str">
        <f>TEXT(Order_Details[[#This Row],[Order Date]], "YY-MMM")</f>
        <v>18-Apr</v>
      </c>
      <c r="L46" s="11">
        <f>Order_Details[[#This Row],[Profit]]/Order_Details[[#This Row],[Amount]]</f>
        <v>-0.88524590163934425</v>
      </c>
      <c r="M46" s="8">
        <f>YEAR(Order_Details[[#This Row],[Order Date]])</f>
        <v>2018</v>
      </c>
      <c r="N46" s="8">
        <f>ROUNDUP(MONTH(Order_Details[[#This Row],[Order Date]])/3, 0)</f>
        <v>2</v>
      </c>
    </row>
    <row r="47" spans="1:14">
      <c r="A47" s="1" t="s">
        <v>79</v>
      </c>
      <c r="B47" s="1">
        <v>362</v>
      </c>
      <c r="C47" s="1">
        <v>127</v>
      </c>
      <c r="D47" s="1">
        <v>1</v>
      </c>
      <c r="E47" s="1" t="s">
        <v>1075</v>
      </c>
      <c r="F47" s="1" t="s">
        <v>1101</v>
      </c>
      <c r="G47" s="7" t="str">
        <f>_xlfn.XLOOKUP(Order_Details[[#This Row],[Order ID]], List_of_orders[Order ID], List_of_orders[State])</f>
        <v>Andhra Pradesh</v>
      </c>
      <c r="H47" s="10">
        <f>_xlfn.XLOOKUP(Order_Details[[#This Row],[Order ID]], List_of_orders[Order ID], List_of_orders[Order Date (Clean)])</f>
        <v>43208</v>
      </c>
      <c r="I47" s="7" t="str">
        <f>_xlfn.XLOOKUP(Order_Details[[#This Row],[Order ID]], List_of_orders[Order ID], List_of_orders[CustomerName])</f>
        <v>Manju</v>
      </c>
      <c r="J47" s="7" t="str">
        <f>_xlfn.XLOOKUP(Order_Details[[#This Row],[Order ID]], List_of_orders[Order ID], List_of_orders[City])</f>
        <v>Hyderabad</v>
      </c>
      <c r="K47" s="8" t="str">
        <f>TEXT(Order_Details[[#This Row],[Order Date]], "YY-MMM")</f>
        <v>18-Apr</v>
      </c>
      <c r="L47" s="11">
        <f>Order_Details[[#This Row],[Profit]]/Order_Details[[#This Row],[Amount]]</f>
        <v>0.35082872928176795</v>
      </c>
      <c r="M47" s="8">
        <f>YEAR(Order_Details[[#This Row],[Order Date]])</f>
        <v>2018</v>
      </c>
      <c r="N47" s="8">
        <f>ROUNDUP(MONTH(Order_Details[[#This Row],[Order Date]])/3, 0)</f>
        <v>2</v>
      </c>
    </row>
    <row r="48" spans="1:14">
      <c r="A48" s="1" t="s">
        <v>79</v>
      </c>
      <c r="B48" s="1">
        <v>12</v>
      </c>
      <c r="C48" s="1">
        <v>0</v>
      </c>
      <c r="D48" s="1">
        <v>2</v>
      </c>
      <c r="E48" s="1" t="s">
        <v>1076</v>
      </c>
      <c r="F48" s="1" t="s">
        <v>1103</v>
      </c>
      <c r="G48" s="7" t="str">
        <f>_xlfn.XLOOKUP(Order_Details[[#This Row],[Order ID]], List_of_orders[Order ID], List_of_orders[State])</f>
        <v>Andhra Pradesh</v>
      </c>
      <c r="H48" s="10">
        <f>_xlfn.XLOOKUP(Order_Details[[#This Row],[Order ID]], List_of_orders[Order ID], List_of_orders[Order Date (Clean)])</f>
        <v>43208</v>
      </c>
      <c r="I48" s="7" t="str">
        <f>_xlfn.XLOOKUP(Order_Details[[#This Row],[Order ID]], List_of_orders[Order ID], List_of_orders[CustomerName])</f>
        <v>Manju</v>
      </c>
      <c r="J48" s="7" t="str">
        <f>_xlfn.XLOOKUP(Order_Details[[#This Row],[Order ID]], List_of_orders[Order ID], List_of_orders[City])</f>
        <v>Hyderabad</v>
      </c>
      <c r="K48" s="8" t="str">
        <f>TEXT(Order_Details[[#This Row],[Order Date]], "YY-MMM")</f>
        <v>18-Apr</v>
      </c>
      <c r="L48" s="11">
        <f>Order_Details[[#This Row],[Profit]]/Order_Details[[#This Row],[Amount]]</f>
        <v>0</v>
      </c>
      <c r="M48" s="8">
        <f>YEAR(Order_Details[[#This Row],[Order Date]])</f>
        <v>2018</v>
      </c>
      <c r="N48" s="8">
        <f>ROUNDUP(MONTH(Order_Details[[#This Row],[Order Date]])/3, 0)</f>
        <v>2</v>
      </c>
    </row>
    <row r="49" spans="1:14">
      <c r="A49" s="1" t="s">
        <v>84</v>
      </c>
      <c r="B49" s="1">
        <v>353</v>
      </c>
      <c r="C49" s="1">
        <v>90</v>
      </c>
      <c r="D49" s="1">
        <v>8</v>
      </c>
      <c r="E49" s="1" t="s">
        <v>1076</v>
      </c>
      <c r="F49" s="1" t="s">
        <v>1106</v>
      </c>
      <c r="G49" s="7" t="str">
        <f>_xlfn.XLOOKUP(Order_Details[[#This Row],[Order ID]], List_of_orders[Order ID], List_of_orders[State])</f>
        <v>Gujarat</v>
      </c>
      <c r="H49" s="10">
        <f>_xlfn.XLOOKUP(Order_Details[[#This Row],[Order ID]], List_of_orders[Order ID], List_of_orders[Order Date (Clean)])</f>
        <v>43208</v>
      </c>
      <c r="I49" s="7" t="str">
        <f>_xlfn.XLOOKUP(Order_Details[[#This Row],[Order ID]], List_of_orders[Order ID], List_of_orders[CustomerName])</f>
        <v>Ramesh</v>
      </c>
      <c r="J49" s="7" t="str">
        <f>_xlfn.XLOOKUP(Order_Details[[#This Row],[Order ID]], List_of_orders[Order ID], List_of_orders[City])</f>
        <v>Ahmedabad</v>
      </c>
      <c r="K49" s="8" t="str">
        <f>TEXT(Order_Details[[#This Row],[Order Date]], "YY-MMM")</f>
        <v>18-Apr</v>
      </c>
      <c r="L49" s="11">
        <f>Order_Details[[#This Row],[Profit]]/Order_Details[[#This Row],[Amount]]</f>
        <v>0.25495750708215298</v>
      </c>
      <c r="M49" s="8">
        <f>YEAR(Order_Details[[#This Row],[Order Date]])</f>
        <v>2018</v>
      </c>
      <c r="N49" s="8">
        <f>ROUNDUP(MONTH(Order_Details[[#This Row],[Order Date]])/3, 0)</f>
        <v>2</v>
      </c>
    </row>
    <row r="50" spans="1:14">
      <c r="A50" s="1" t="s">
        <v>86</v>
      </c>
      <c r="B50" s="1">
        <v>193</v>
      </c>
      <c r="C50" s="1">
        <v>46</v>
      </c>
      <c r="D50" s="1">
        <v>1</v>
      </c>
      <c r="E50" s="1" t="s">
        <v>1077</v>
      </c>
      <c r="F50" s="1" t="s">
        <v>1114</v>
      </c>
      <c r="G50" s="7" t="str">
        <f>_xlfn.XLOOKUP(Order_Details[[#This Row],[Order ID]], List_of_orders[Order ID], List_of_orders[State])</f>
        <v>Maharashtra</v>
      </c>
      <c r="H50" s="10">
        <f>_xlfn.XLOOKUP(Order_Details[[#This Row],[Order ID]], List_of_orders[Order ID], List_of_orders[Order Date (Clean)])</f>
        <v>43210</v>
      </c>
      <c r="I50" s="7" t="str">
        <f>_xlfn.XLOOKUP(Order_Details[[#This Row],[Order ID]], List_of_orders[Order ID], List_of_orders[CustomerName])</f>
        <v>Sarita</v>
      </c>
      <c r="J50" s="7" t="str">
        <f>_xlfn.XLOOKUP(Order_Details[[#This Row],[Order ID]], List_of_orders[Order ID], List_of_orders[City])</f>
        <v>Pune</v>
      </c>
      <c r="K50" s="8" t="str">
        <f>TEXT(Order_Details[[#This Row],[Order Date]], "YY-MMM")</f>
        <v>18-Apr</v>
      </c>
      <c r="L50" s="11">
        <f>Order_Details[[#This Row],[Profit]]/Order_Details[[#This Row],[Amount]]</f>
        <v>0.23834196891191708</v>
      </c>
      <c r="M50" s="8">
        <f>YEAR(Order_Details[[#This Row],[Order Date]])</f>
        <v>2018</v>
      </c>
      <c r="N50" s="8">
        <f>ROUNDUP(MONTH(Order_Details[[#This Row],[Order Date]])/3, 0)</f>
        <v>2</v>
      </c>
    </row>
    <row r="51" spans="1:14">
      <c r="A51" s="1" t="s">
        <v>89</v>
      </c>
      <c r="B51" s="1">
        <v>233</v>
      </c>
      <c r="C51" s="1">
        <v>-10</v>
      </c>
      <c r="D51" s="1">
        <v>5</v>
      </c>
      <c r="E51" s="1" t="s">
        <v>1077</v>
      </c>
      <c r="F51" s="1" t="s">
        <v>1104</v>
      </c>
      <c r="G51" s="7" t="str">
        <f>_xlfn.XLOOKUP(Order_Details[[#This Row],[Order ID]], List_of_orders[Order ID], List_of_orders[State])</f>
        <v>Madhya Pradesh</v>
      </c>
      <c r="H51" s="10">
        <f>_xlfn.XLOOKUP(Order_Details[[#This Row],[Order ID]], List_of_orders[Order ID], List_of_orders[Order Date (Clean)])</f>
        <v>43210</v>
      </c>
      <c r="I51" s="7" t="str">
        <f>_xlfn.XLOOKUP(Order_Details[[#This Row],[Order ID]], List_of_orders[Order ID], List_of_orders[CustomerName])</f>
        <v>Deepak</v>
      </c>
      <c r="J51" s="7" t="str">
        <f>_xlfn.XLOOKUP(Order_Details[[#This Row],[Order ID]], List_of_orders[Order ID], List_of_orders[City])</f>
        <v>Bhopal</v>
      </c>
      <c r="K51" s="8" t="str">
        <f>TEXT(Order_Details[[#This Row],[Order Date]], "YY-MMM")</f>
        <v>18-Apr</v>
      </c>
      <c r="L51" s="11">
        <f>Order_Details[[#This Row],[Profit]]/Order_Details[[#This Row],[Amount]]</f>
        <v>-4.2918454935622317E-2</v>
      </c>
      <c r="M51" s="8">
        <f>YEAR(Order_Details[[#This Row],[Order Date]])</f>
        <v>2018</v>
      </c>
      <c r="N51" s="8">
        <f>ROUNDUP(MONTH(Order_Details[[#This Row],[Order Date]])/3, 0)</f>
        <v>2</v>
      </c>
    </row>
    <row r="52" spans="1:14">
      <c r="A52" s="1" t="s">
        <v>89</v>
      </c>
      <c r="B52" s="1">
        <v>228</v>
      </c>
      <c r="C52" s="1">
        <v>63</v>
      </c>
      <c r="D52" s="1">
        <v>3</v>
      </c>
      <c r="E52" s="1" t="s">
        <v>1077</v>
      </c>
      <c r="F52" s="1" t="s">
        <v>1104</v>
      </c>
      <c r="G52" s="7" t="str">
        <f>_xlfn.XLOOKUP(Order_Details[[#This Row],[Order ID]], List_of_orders[Order ID], List_of_orders[State])</f>
        <v>Madhya Pradesh</v>
      </c>
      <c r="H52" s="10">
        <f>_xlfn.XLOOKUP(Order_Details[[#This Row],[Order ID]], List_of_orders[Order ID], List_of_orders[Order Date (Clean)])</f>
        <v>43210</v>
      </c>
      <c r="I52" s="7" t="str">
        <f>_xlfn.XLOOKUP(Order_Details[[#This Row],[Order ID]], List_of_orders[Order ID], List_of_orders[CustomerName])</f>
        <v>Deepak</v>
      </c>
      <c r="J52" s="7" t="str">
        <f>_xlfn.XLOOKUP(Order_Details[[#This Row],[Order ID]], List_of_orders[Order ID], List_of_orders[City])</f>
        <v>Bhopal</v>
      </c>
      <c r="K52" s="8" t="str">
        <f>TEXT(Order_Details[[#This Row],[Order Date]], "YY-MMM")</f>
        <v>18-Apr</v>
      </c>
      <c r="L52" s="11">
        <f>Order_Details[[#This Row],[Profit]]/Order_Details[[#This Row],[Amount]]</f>
        <v>0.27631578947368424</v>
      </c>
      <c r="M52" s="8">
        <f>YEAR(Order_Details[[#This Row],[Order Date]])</f>
        <v>2018</v>
      </c>
      <c r="N52" s="8">
        <f>ROUNDUP(MONTH(Order_Details[[#This Row],[Order Date]])/3, 0)</f>
        <v>2</v>
      </c>
    </row>
    <row r="53" spans="1:14">
      <c r="A53" s="1" t="s">
        <v>89</v>
      </c>
      <c r="B53" s="1">
        <v>333</v>
      </c>
      <c r="C53" s="1">
        <v>-15</v>
      </c>
      <c r="D53" s="1">
        <v>3</v>
      </c>
      <c r="E53" s="1" t="s">
        <v>1077</v>
      </c>
      <c r="F53" s="1" t="s">
        <v>1105</v>
      </c>
      <c r="G53" s="7" t="str">
        <f>_xlfn.XLOOKUP(Order_Details[[#This Row],[Order ID]], List_of_orders[Order ID], List_of_orders[State])</f>
        <v>Madhya Pradesh</v>
      </c>
      <c r="H53" s="10">
        <f>_xlfn.XLOOKUP(Order_Details[[#This Row],[Order ID]], List_of_orders[Order ID], List_of_orders[Order Date (Clean)])</f>
        <v>43210</v>
      </c>
      <c r="I53" s="7" t="str">
        <f>_xlfn.XLOOKUP(Order_Details[[#This Row],[Order ID]], List_of_orders[Order ID], List_of_orders[CustomerName])</f>
        <v>Deepak</v>
      </c>
      <c r="J53" s="7" t="str">
        <f>_xlfn.XLOOKUP(Order_Details[[#This Row],[Order ID]], List_of_orders[Order ID], List_of_orders[City])</f>
        <v>Bhopal</v>
      </c>
      <c r="K53" s="8" t="str">
        <f>TEXT(Order_Details[[#This Row],[Order Date]], "YY-MMM")</f>
        <v>18-Apr</v>
      </c>
      <c r="L53" s="11">
        <f>Order_Details[[#This Row],[Profit]]/Order_Details[[#This Row],[Amount]]</f>
        <v>-4.5045045045045043E-2</v>
      </c>
      <c r="M53" s="8">
        <f>YEAR(Order_Details[[#This Row],[Order Date]])</f>
        <v>2018</v>
      </c>
      <c r="N53" s="8">
        <f>ROUNDUP(MONTH(Order_Details[[#This Row],[Order Date]])/3, 0)</f>
        <v>2</v>
      </c>
    </row>
    <row r="54" spans="1:14">
      <c r="A54" s="1" t="s">
        <v>91</v>
      </c>
      <c r="B54" s="1">
        <v>534</v>
      </c>
      <c r="C54" s="1">
        <v>0</v>
      </c>
      <c r="D54" s="1">
        <v>3</v>
      </c>
      <c r="E54" s="1" t="s">
        <v>1076</v>
      </c>
      <c r="F54" s="1" t="s">
        <v>1106</v>
      </c>
      <c r="G54" s="7" t="str">
        <f>_xlfn.XLOOKUP(Order_Details[[#This Row],[Order ID]], List_of_orders[Order ID], List_of_orders[State])</f>
        <v>Rajasthan</v>
      </c>
      <c r="H54" s="10">
        <f>_xlfn.XLOOKUP(Order_Details[[#This Row],[Order ID]], List_of_orders[Order ID], List_of_orders[Order Date (Clean)])</f>
        <v>43212</v>
      </c>
      <c r="I54" s="7" t="str">
        <f>_xlfn.XLOOKUP(Order_Details[[#This Row],[Order ID]], List_of_orders[Order ID], List_of_orders[CustomerName])</f>
        <v>Monisha</v>
      </c>
      <c r="J54" s="7" t="str">
        <f>_xlfn.XLOOKUP(Order_Details[[#This Row],[Order ID]], List_of_orders[Order ID], List_of_orders[City])</f>
        <v>Jaipur</v>
      </c>
      <c r="K54" s="8" t="str">
        <f>TEXT(Order_Details[[#This Row],[Order Date]], "YY-MMM")</f>
        <v>18-Apr</v>
      </c>
      <c r="L54" s="11">
        <f>Order_Details[[#This Row],[Profit]]/Order_Details[[#This Row],[Amount]]</f>
        <v>0</v>
      </c>
      <c r="M54" s="8">
        <f>YEAR(Order_Details[[#This Row],[Order Date]])</f>
        <v>2018</v>
      </c>
      <c r="N54" s="8">
        <f>ROUNDUP(MONTH(Order_Details[[#This Row],[Order Date]])/3, 0)</f>
        <v>2</v>
      </c>
    </row>
    <row r="55" spans="1:14">
      <c r="A55" s="1" t="s">
        <v>94</v>
      </c>
      <c r="B55" s="1">
        <v>53</v>
      </c>
      <c r="C55" s="1">
        <v>1</v>
      </c>
      <c r="D55" s="1">
        <v>4</v>
      </c>
      <c r="E55" s="1" t="s">
        <v>1076</v>
      </c>
      <c r="F55" s="1" t="s">
        <v>1102</v>
      </c>
      <c r="G55" s="7" t="str">
        <f>_xlfn.XLOOKUP(Order_Details[[#This Row],[Order ID]], List_of_orders[Order ID], List_of_orders[State])</f>
        <v>West Bengal</v>
      </c>
      <c r="H55" s="10">
        <f>_xlfn.XLOOKUP(Order_Details[[#This Row],[Order ID]], List_of_orders[Order ID], List_of_orders[Order Date (Clean)])</f>
        <v>43212</v>
      </c>
      <c r="I55" s="7" t="str">
        <f>_xlfn.XLOOKUP(Order_Details[[#This Row],[Order ID]], List_of_orders[Order ID], List_of_orders[CustomerName])</f>
        <v>Atharv</v>
      </c>
      <c r="J55" s="7" t="str">
        <f>_xlfn.XLOOKUP(Order_Details[[#This Row],[Order ID]], List_of_orders[Order ID], List_of_orders[City])</f>
        <v>Kolkata</v>
      </c>
      <c r="K55" s="8" t="str">
        <f>TEXT(Order_Details[[#This Row],[Order Date]], "YY-MMM")</f>
        <v>18-Apr</v>
      </c>
      <c r="L55" s="11">
        <f>Order_Details[[#This Row],[Profit]]/Order_Details[[#This Row],[Amount]]</f>
        <v>1.8867924528301886E-2</v>
      </c>
      <c r="M55" s="8">
        <f>YEAR(Order_Details[[#This Row],[Order Date]])</f>
        <v>2018</v>
      </c>
      <c r="N55" s="8">
        <f>ROUNDUP(MONTH(Order_Details[[#This Row],[Order Date]])/3, 0)</f>
        <v>2</v>
      </c>
    </row>
    <row r="56" spans="1:14">
      <c r="A56" s="1" t="s">
        <v>94</v>
      </c>
      <c r="B56" s="1">
        <v>158</v>
      </c>
      <c r="C56" s="1">
        <v>69</v>
      </c>
      <c r="D56" s="1">
        <v>3</v>
      </c>
      <c r="E56" s="1" t="s">
        <v>1076</v>
      </c>
      <c r="F56" s="1" t="s">
        <v>1102</v>
      </c>
      <c r="G56" s="7" t="str">
        <f>_xlfn.XLOOKUP(Order_Details[[#This Row],[Order ID]], List_of_orders[Order ID], List_of_orders[State])</f>
        <v>West Bengal</v>
      </c>
      <c r="H56" s="10">
        <f>_xlfn.XLOOKUP(Order_Details[[#This Row],[Order ID]], List_of_orders[Order ID], List_of_orders[Order Date (Clean)])</f>
        <v>43212</v>
      </c>
      <c r="I56" s="7" t="str">
        <f>_xlfn.XLOOKUP(Order_Details[[#This Row],[Order ID]], List_of_orders[Order ID], List_of_orders[CustomerName])</f>
        <v>Atharv</v>
      </c>
      <c r="J56" s="7" t="str">
        <f>_xlfn.XLOOKUP(Order_Details[[#This Row],[Order ID]], List_of_orders[Order ID], List_of_orders[City])</f>
        <v>Kolkata</v>
      </c>
      <c r="K56" s="8" t="str">
        <f>TEXT(Order_Details[[#This Row],[Order Date]], "YY-MMM")</f>
        <v>18-Apr</v>
      </c>
      <c r="L56" s="11">
        <f>Order_Details[[#This Row],[Profit]]/Order_Details[[#This Row],[Amount]]</f>
        <v>0.43670886075949367</v>
      </c>
      <c r="M56" s="8">
        <f>YEAR(Order_Details[[#This Row],[Order Date]])</f>
        <v>2018</v>
      </c>
      <c r="N56" s="8">
        <f>ROUNDUP(MONTH(Order_Details[[#This Row],[Order Date]])/3, 0)</f>
        <v>2</v>
      </c>
    </row>
    <row r="57" spans="1:14">
      <c r="A57" s="1" t="s">
        <v>94</v>
      </c>
      <c r="B57" s="1">
        <v>149</v>
      </c>
      <c r="C57" s="1">
        <v>-87</v>
      </c>
      <c r="D57" s="1">
        <v>4</v>
      </c>
      <c r="E57" s="1" t="s">
        <v>1076</v>
      </c>
      <c r="F57" s="1" t="s">
        <v>1106</v>
      </c>
      <c r="G57" s="7" t="str">
        <f>_xlfn.XLOOKUP(Order_Details[[#This Row],[Order ID]], List_of_orders[Order ID], List_of_orders[State])</f>
        <v>West Bengal</v>
      </c>
      <c r="H57" s="10">
        <f>_xlfn.XLOOKUP(Order_Details[[#This Row],[Order ID]], List_of_orders[Order ID], List_of_orders[Order Date (Clean)])</f>
        <v>43212</v>
      </c>
      <c r="I57" s="7" t="str">
        <f>_xlfn.XLOOKUP(Order_Details[[#This Row],[Order ID]], List_of_orders[Order ID], List_of_orders[CustomerName])</f>
        <v>Atharv</v>
      </c>
      <c r="J57" s="7" t="str">
        <f>_xlfn.XLOOKUP(Order_Details[[#This Row],[Order ID]], List_of_orders[Order ID], List_of_orders[City])</f>
        <v>Kolkata</v>
      </c>
      <c r="K57" s="8" t="str">
        <f>TEXT(Order_Details[[#This Row],[Order Date]], "YY-MMM")</f>
        <v>18-Apr</v>
      </c>
      <c r="L57" s="11">
        <f>Order_Details[[#This Row],[Profit]]/Order_Details[[#This Row],[Amount]]</f>
        <v>-0.58389261744966447</v>
      </c>
      <c r="M57" s="8">
        <f>YEAR(Order_Details[[#This Row],[Order Date]])</f>
        <v>2018</v>
      </c>
      <c r="N57" s="8">
        <f>ROUNDUP(MONTH(Order_Details[[#This Row],[Order Date]])/3, 0)</f>
        <v>2</v>
      </c>
    </row>
    <row r="58" spans="1:14">
      <c r="A58" s="1" t="s">
        <v>94</v>
      </c>
      <c r="B58" s="1">
        <v>105</v>
      </c>
      <c r="C58" s="1">
        <v>20</v>
      </c>
      <c r="D58" s="1">
        <v>2</v>
      </c>
      <c r="E58" s="1" t="s">
        <v>1076</v>
      </c>
      <c r="F58" s="1" t="s">
        <v>1102</v>
      </c>
      <c r="G58" s="7" t="str">
        <f>_xlfn.XLOOKUP(Order_Details[[#This Row],[Order ID]], List_of_orders[Order ID], List_of_orders[State])</f>
        <v>West Bengal</v>
      </c>
      <c r="H58" s="10">
        <f>_xlfn.XLOOKUP(Order_Details[[#This Row],[Order ID]], List_of_orders[Order ID], List_of_orders[Order Date (Clean)])</f>
        <v>43212</v>
      </c>
      <c r="I58" s="7" t="str">
        <f>_xlfn.XLOOKUP(Order_Details[[#This Row],[Order ID]], List_of_orders[Order ID], List_of_orders[CustomerName])</f>
        <v>Atharv</v>
      </c>
      <c r="J58" s="7" t="str">
        <f>_xlfn.XLOOKUP(Order_Details[[#This Row],[Order ID]], List_of_orders[Order ID], List_of_orders[City])</f>
        <v>Kolkata</v>
      </c>
      <c r="K58" s="8" t="str">
        <f>TEXT(Order_Details[[#This Row],[Order Date]], "YY-MMM")</f>
        <v>18-Apr</v>
      </c>
      <c r="L58" s="11">
        <f>Order_Details[[#This Row],[Profit]]/Order_Details[[#This Row],[Amount]]</f>
        <v>0.19047619047619047</v>
      </c>
      <c r="M58" s="8">
        <f>YEAR(Order_Details[[#This Row],[Order Date]])</f>
        <v>2018</v>
      </c>
      <c r="N58" s="8">
        <f>ROUNDUP(MONTH(Order_Details[[#This Row],[Order Date]])/3, 0)</f>
        <v>2</v>
      </c>
    </row>
    <row r="59" spans="1:14">
      <c r="A59" s="1" t="s">
        <v>96</v>
      </c>
      <c r="B59" s="1">
        <v>26</v>
      </c>
      <c r="C59" s="1">
        <v>12</v>
      </c>
      <c r="D59" s="1">
        <v>3</v>
      </c>
      <c r="E59" s="1" t="s">
        <v>1076</v>
      </c>
      <c r="F59" s="1" t="s">
        <v>1103</v>
      </c>
      <c r="G59" s="7" t="str">
        <f>_xlfn.XLOOKUP(Order_Details[[#This Row],[Order ID]], List_of_orders[Order ID], List_of_orders[State])</f>
        <v>Karnataka</v>
      </c>
      <c r="H59" s="10">
        <f>_xlfn.XLOOKUP(Order_Details[[#This Row],[Order ID]], List_of_orders[Order ID], List_of_orders[Order Date (Clean)])</f>
        <v>43212</v>
      </c>
      <c r="I59" s="7" t="str">
        <f>_xlfn.XLOOKUP(Order_Details[[#This Row],[Order ID]], List_of_orders[Order ID], List_of_orders[CustomerName])</f>
        <v>Vini</v>
      </c>
      <c r="J59" s="7" t="str">
        <f>_xlfn.XLOOKUP(Order_Details[[#This Row],[Order ID]], List_of_orders[Order ID], List_of_orders[City])</f>
        <v>Bangalore</v>
      </c>
      <c r="K59" s="8" t="str">
        <f>TEXT(Order_Details[[#This Row],[Order Date]], "YY-MMM")</f>
        <v>18-Apr</v>
      </c>
      <c r="L59" s="11">
        <f>Order_Details[[#This Row],[Profit]]/Order_Details[[#This Row],[Amount]]</f>
        <v>0.46153846153846156</v>
      </c>
      <c r="M59" s="8">
        <f>YEAR(Order_Details[[#This Row],[Order Date]])</f>
        <v>2018</v>
      </c>
      <c r="N59" s="8">
        <f>ROUNDUP(MONTH(Order_Details[[#This Row],[Order Date]])/3, 0)</f>
        <v>2</v>
      </c>
    </row>
    <row r="60" spans="1:14">
      <c r="A60" s="1" t="s">
        <v>98</v>
      </c>
      <c r="B60" s="1">
        <v>97</v>
      </c>
      <c r="C60" s="1">
        <v>29</v>
      </c>
      <c r="D60" s="1">
        <v>2</v>
      </c>
      <c r="E60" s="1" t="s">
        <v>1076</v>
      </c>
      <c r="F60" s="1" t="s">
        <v>1103</v>
      </c>
      <c r="G60" s="7" t="str">
        <f>_xlfn.XLOOKUP(Order_Details[[#This Row],[Order ID]], List_of_orders[Order ID], List_of_orders[State])</f>
        <v>Jammu and Kashmir</v>
      </c>
      <c r="H60" s="10">
        <f>_xlfn.XLOOKUP(Order_Details[[#This Row],[Order ID]], List_of_orders[Order ID], List_of_orders[Order Date (Clean)])</f>
        <v>43213</v>
      </c>
      <c r="I60" s="7" t="str">
        <f>_xlfn.XLOOKUP(Order_Details[[#This Row],[Order ID]], List_of_orders[Order ID], List_of_orders[CustomerName])</f>
        <v>Pinky</v>
      </c>
      <c r="J60" s="7" t="str">
        <f>_xlfn.XLOOKUP(Order_Details[[#This Row],[Order ID]], List_of_orders[Order ID], List_of_orders[City])</f>
        <v>Kashmir</v>
      </c>
      <c r="K60" s="8" t="str">
        <f>TEXT(Order_Details[[#This Row],[Order Date]], "YY-MMM")</f>
        <v>18-Apr</v>
      </c>
      <c r="L60" s="11">
        <f>Order_Details[[#This Row],[Profit]]/Order_Details[[#This Row],[Amount]]</f>
        <v>0.29896907216494845</v>
      </c>
      <c r="M60" s="8">
        <f>YEAR(Order_Details[[#This Row],[Order Date]])</f>
        <v>2018</v>
      </c>
      <c r="N60" s="8">
        <f>ROUNDUP(MONTH(Order_Details[[#This Row],[Order Date]])/3, 0)</f>
        <v>2</v>
      </c>
    </row>
    <row r="61" spans="1:14">
      <c r="A61" s="1" t="s">
        <v>98</v>
      </c>
      <c r="B61" s="1">
        <v>59</v>
      </c>
      <c r="C61" s="1">
        <v>30</v>
      </c>
      <c r="D61" s="1">
        <v>3</v>
      </c>
      <c r="E61" s="1" t="s">
        <v>1076</v>
      </c>
      <c r="F61" s="1" t="s">
        <v>1112</v>
      </c>
      <c r="G61" s="7" t="str">
        <f>_xlfn.XLOOKUP(Order_Details[[#This Row],[Order ID]], List_of_orders[Order ID], List_of_orders[State])</f>
        <v>Jammu and Kashmir</v>
      </c>
      <c r="H61" s="10">
        <f>_xlfn.XLOOKUP(Order_Details[[#This Row],[Order ID]], List_of_orders[Order ID], List_of_orders[Order Date (Clean)])</f>
        <v>43213</v>
      </c>
      <c r="I61" s="7" t="str">
        <f>_xlfn.XLOOKUP(Order_Details[[#This Row],[Order ID]], List_of_orders[Order ID], List_of_orders[CustomerName])</f>
        <v>Pinky</v>
      </c>
      <c r="J61" s="7" t="str">
        <f>_xlfn.XLOOKUP(Order_Details[[#This Row],[Order ID]], List_of_orders[Order ID], List_of_orders[City])</f>
        <v>Kashmir</v>
      </c>
      <c r="K61" s="8" t="str">
        <f>TEXT(Order_Details[[#This Row],[Order Date]], "YY-MMM")</f>
        <v>18-Apr</v>
      </c>
      <c r="L61" s="11">
        <f>Order_Details[[#This Row],[Profit]]/Order_Details[[#This Row],[Amount]]</f>
        <v>0.50847457627118642</v>
      </c>
      <c r="M61" s="8">
        <f>YEAR(Order_Details[[#This Row],[Order Date]])</f>
        <v>2018</v>
      </c>
      <c r="N61" s="8">
        <f>ROUNDUP(MONTH(Order_Details[[#This Row],[Order Date]])/3, 0)</f>
        <v>2</v>
      </c>
    </row>
    <row r="62" spans="1:14">
      <c r="A62" s="1" t="s">
        <v>98</v>
      </c>
      <c r="B62" s="1">
        <v>635</v>
      </c>
      <c r="C62" s="1">
        <v>-349</v>
      </c>
      <c r="D62" s="1">
        <v>5</v>
      </c>
      <c r="E62" s="1" t="s">
        <v>1076</v>
      </c>
      <c r="F62" s="1" t="s">
        <v>1106</v>
      </c>
      <c r="G62" s="7" t="str">
        <f>_xlfn.XLOOKUP(Order_Details[[#This Row],[Order ID]], List_of_orders[Order ID], List_of_orders[State])</f>
        <v>Jammu and Kashmir</v>
      </c>
      <c r="H62" s="10">
        <f>_xlfn.XLOOKUP(Order_Details[[#This Row],[Order ID]], List_of_orders[Order ID], List_of_orders[Order Date (Clean)])</f>
        <v>43213</v>
      </c>
      <c r="I62" s="7" t="str">
        <f>_xlfn.XLOOKUP(Order_Details[[#This Row],[Order ID]], List_of_orders[Order ID], List_of_orders[CustomerName])</f>
        <v>Pinky</v>
      </c>
      <c r="J62" s="7" t="str">
        <f>_xlfn.XLOOKUP(Order_Details[[#This Row],[Order ID]], List_of_orders[Order ID], List_of_orders[City])</f>
        <v>Kashmir</v>
      </c>
      <c r="K62" s="8" t="str">
        <f>TEXT(Order_Details[[#This Row],[Order Date]], "YY-MMM")</f>
        <v>18-Apr</v>
      </c>
      <c r="L62" s="11">
        <f>Order_Details[[#This Row],[Profit]]/Order_Details[[#This Row],[Amount]]</f>
        <v>-0.5496062992125984</v>
      </c>
      <c r="M62" s="8">
        <f>YEAR(Order_Details[[#This Row],[Order Date]])</f>
        <v>2018</v>
      </c>
      <c r="N62" s="8">
        <f>ROUNDUP(MONTH(Order_Details[[#This Row],[Order Date]])/3, 0)</f>
        <v>2</v>
      </c>
    </row>
    <row r="63" spans="1:14">
      <c r="A63" s="1" t="s">
        <v>101</v>
      </c>
      <c r="B63" s="1">
        <v>46</v>
      </c>
      <c r="C63" s="1">
        <v>-14</v>
      </c>
      <c r="D63" s="1">
        <v>1</v>
      </c>
      <c r="E63" s="1" t="s">
        <v>1077</v>
      </c>
      <c r="F63" s="1" t="s">
        <v>1105</v>
      </c>
      <c r="G63" s="7" t="str">
        <f>_xlfn.XLOOKUP(Order_Details[[#This Row],[Order ID]], List_of_orders[Order ID], List_of_orders[State])</f>
        <v>Maharashtra</v>
      </c>
      <c r="H63" s="10">
        <f>_xlfn.XLOOKUP(Order_Details[[#This Row],[Order ID]], List_of_orders[Order ID], List_of_orders[Order Date (Clean)])</f>
        <v>43213</v>
      </c>
      <c r="I63" s="7" t="str">
        <f>_xlfn.XLOOKUP(Order_Details[[#This Row],[Order ID]], List_of_orders[Order ID], List_of_orders[CustomerName])</f>
        <v>Bhishm</v>
      </c>
      <c r="J63" s="7" t="str">
        <f>_xlfn.XLOOKUP(Order_Details[[#This Row],[Order ID]], List_of_orders[Order ID], List_of_orders[City])</f>
        <v>Mumbai</v>
      </c>
      <c r="K63" s="8" t="str">
        <f>TEXT(Order_Details[[#This Row],[Order Date]], "YY-MMM")</f>
        <v>18-Apr</v>
      </c>
      <c r="L63" s="11">
        <f>Order_Details[[#This Row],[Profit]]/Order_Details[[#This Row],[Amount]]</f>
        <v>-0.30434782608695654</v>
      </c>
      <c r="M63" s="8">
        <f>YEAR(Order_Details[[#This Row],[Order Date]])</f>
        <v>2018</v>
      </c>
      <c r="N63" s="8">
        <f>ROUNDUP(MONTH(Order_Details[[#This Row],[Order Date]])/3, 0)</f>
        <v>2</v>
      </c>
    </row>
    <row r="64" spans="1:14">
      <c r="A64" s="1" t="s">
        <v>101</v>
      </c>
      <c r="B64" s="1">
        <v>1103</v>
      </c>
      <c r="C64" s="1">
        <v>-276</v>
      </c>
      <c r="D64" s="1">
        <v>3</v>
      </c>
      <c r="E64" s="1" t="s">
        <v>1075</v>
      </c>
      <c r="F64" s="1" t="s">
        <v>1108</v>
      </c>
      <c r="G64" s="7" t="str">
        <f>_xlfn.XLOOKUP(Order_Details[[#This Row],[Order ID]], List_of_orders[Order ID], List_of_orders[State])</f>
        <v>Maharashtra</v>
      </c>
      <c r="H64" s="10">
        <f>_xlfn.XLOOKUP(Order_Details[[#This Row],[Order ID]], List_of_orders[Order ID], List_of_orders[Order Date (Clean)])</f>
        <v>43213</v>
      </c>
      <c r="I64" s="7" t="str">
        <f>_xlfn.XLOOKUP(Order_Details[[#This Row],[Order ID]], List_of_orders[Order ID], List_of_orders[CustomerName])</f>
        <v>Bhishm</v>
      </c>
      <c r="J64" s="7" t="str">
        <f>_xlfn.XLOOKUP(Order_Details[[#This Row],[Order ID]], List_of_orders[Order ID], List_of_orders[City])</f>
        <v>Mumbai</v>
      </c>
      <c r="K64" s="8" t="str">
        <f>TEXT(Order_Details[[#This Row],[Order Date]], "YY-MMM")</f>
        <v>18-Apr</v>
      </c>
      <c r="L64" s="11">
        <f>Order_Details[[#This Row],[Profit]]/Order_Details[[#This Row],[Amount]]</f>
        <v>-0.25022665457842247</v>
      </c>
      <c r="M64" s="8">
        <f>YEAR(Order_Details[[#This Row],[Order Date]])</f>
        <v>2018</v>
      </c>
      <c r="N64" s="8">
        <f>ROUNDUP(MONTH(Order_Details[[#This Row],[Order Date]])/3, 0)</f>
        <v>2</v>
      </c>
    </row>
    <row r="65" spans="1:14">
      <c r="A65" s="1" t="s">
        <v>104</v>
      </c>
      <c r="B65" s="1">
        <v>55</v>
      </c>
      <c r="C65" s="1">
        <v>-39</v>
      </c>
      <c r="D65" s="1">
        <v>4</v>
      </c>
      <c r="E65" s="1" t="s">
        <v>1076</v>
      </c>
      <c r="F65" s="1" t="s">
        <v>1102</v>
      </c>
      <c r="G65" s="7" t="str">
        <f>_xlfn.XLOOKUP(Order_Details[[#This Row],[Order ID]], List_of_orders[Order ID], List_of_orders[State])</f>
        <v>Madhya Pradesh</v>
      </c>
      <c r="H65" s="10">
        <f>_xlfn.XLOOKUP(Order_Details[[#This Row],[Order ID]], List_of_orders[Order ID], List_of_orders[Order Date (Clean)])</f>
        <v>43213</v>
      </c>
      <c r="I65" s="7" t="str">
        <f>_xlfn.XLOOKUP(Order_Details[[#This Row],[Order ID]], List_of_orders[Order ID], List_of_orders[CustomerName])</f>
        <v>Hitika</v>
      </c>
      <c r="J65" s="7" t="str">
        <f>_xlfn.XLOOKUP(Order_Details[[#This Row],[Order ID]], List_of_orders[Order ID], List_of_orders[City])</f>
        <v>Indore</v>
      </c>
      <c r="K65" s="8" t="str">
        <f>TEXT(Order_Details[[#This Row],[Order Date]], "YY-MMM")</f>
        <v>18-Apr</v>
      </c>
      <c r="L65" s="11">
        <f>Order_Details[[#This Row],[Profit]]/Order_Details[[#This Row],[Amount]]</f>
        <v>-0.70909090909090911</v>
      </c>
      <c r="M65" s="8">
        <f>YEAR(Order_Details[[#This Row],[Order Date]])</f>
        <v>2018</v>
      </c>
      <c r="N65" s="8">
        <f>ROUNDUP(MONTH(Order_Details[[#This Row],[Order Date]])/3, 0)</f>
        <v>2</v>
      </c>
    </row>
    <row r="66" spans="1:14">
      <c r="A66" s="1" t="s">
        <v>107</v>
      </c>
      <c r="B66" s="1">
        <v>45</v>
      </c>
      <c r="C66" s="1">
        <v>13</v>
      </c>
      <c r="D66" s="1">
        <v>4</v>
      </c>
      <c r="E66" s="1" t="s">
        <v>1076</v>
      </c>
      <c r="F66" s="1" t="s">
        <v>1117</v>
      </c>
      <c r="G66" s="7" t="str">
        <f>_xlfn.XLOOKUP(Order_Details[[#This Row],[Order ID]], List_of_orders[Order ID], List_of_orders[State])</f>
        <v>Bihar</v>
      </c>
      <c r="H66" s="10">
        <f>_xlfn.XLOOKUP(Order_Details[[#This Row],[Order ID]], List_of_orders[Order ID], List_of_orders[Order Date (Clean)])</f>
        <v>43214</v>
      </c>
      <c r="I66" s="7" t="str">
        <f>_xlfn.XLOOKUP(Order_Details[[#This Row],[Order ID]], List_of_orders[Order ID], List_of_orders[CustomerName])</f>
        <v>Pooja</v>
      </c>
      <c r="J66" s="7" t="str">
        <f>_xlfn.XLOOKUP(Order_Details[[#This Row],[Order ID]], List_of_orders[Order ID], List_of_orders[City])</f>
        <v>Patna</v>
      </c>
      <c r="K66" s="8" t="str">
        <f>TEXT(Order_Details[[#This Row],[Order Date]], "YY-MMM")</f>
        <v>18-Apr</v>
      </c>
      <c r="L66" s="11">
        <f>Order_Details[[#This Row],[Profit]]/Order_Details[[#This Row],[Amount]]</f>
        <v>0.28888888888888886</v>
      </c>
      <c r="M66" s="8">
        <f>YEAR(Order_Details[[#This Row],[Order Date]])</f>
        <v>2018</v>
      </c>
      <c r="N66" s="8">
        <f>ROUNDUP(MONTH(Order_Details[[#This Row],[Order Date]])/3, 0)</f>
        <v>2</v>
      </c>
    </row>
    <row r="67" spans="1:14">
      <c r="A67" s="1" t="s">
        <v>107</v>
      </c>
      <c r="B67" s="1">
        <v>24</v>
      </c>
      <c r="C67" s="1">
        <v>-9</v>
      </c>
      <c r="D67" s="1">
        <v>4</v>
      </c>
      <c r="E67" s="1" t="s">
        <v>1076</v>
      </c>
      <c r="F67" s="1" t="s">
        <v>1106</v>
      </c>
      <c r="G67" s="7" t="str">
        <f>_xlfn.XLOOKUP(Order_Details[[#This Row],[Order ID]], List_of_orders[Order ID], List_of_orders[State])</f>
        <v>Bihar</v>
      </c>
      <c r="H67" s="10">
        <f>_xlfn.XLOOKUP(Order_Details[[#This Row],[Order ID]], List_of_orders[Order ID], List_of_orders[Order Date (Clean)])</f>
        <v>43214</v>
      </c>
      <c r="I67" s="7" t="str">
        <f>_xlfn.XLOOKUP(Order_Details[[#This Row],[Order ID]], List_of_orders[Order ID], List_of_orders[CustomerName])</f>
        <v>Pooja</v>
      </c>
      <c r="J67" s="7" t="str">
        <f>_xlfn.XLOOKUP(Order_Details[[#This Row],[Order ID]], List_of_orders[Order ID], List_of_orders[City])</f>
        <v>Patna</v>
      </c>
      <c r="K67" s="8" t="str">
        <f>TEXT(Order_Details[[#This Row],[Order Date]], "YY-MMM")</f>
        <v>18-Apr</v>
      </c>
      <c r="L67" s="11">
        <f>Order_Details[[#This Row],[Profit]]/Order_Details[[#This Row],[Amount]]</f>
        <v>-0.375</v>
      </c>
      <c r="M67" s="8">
        <f>YEAR(Order_Details[[#This Row],[Order Date]])</f>
        <v>2018</v>
      </c>
      <c r="N67" s="8">
        <f>ROUNDUP(MONTH(Order_Details[[#This Row],[Order Date]])/3, 0)</f>
        <v>2</v>
      </c>
    </row>
    <row r="68" spans="1:14">
      <c r="A68" s="1" t="s">
        <v>107</v>
      </c>
      <c r="B68" s="1">
        <v>35</v>
      </c>
      <c r="C68" s="1">
        <v>-8</v>
      </c>
      <c r="D68" s="1">
        <v>2</v>
      </c>
      <c r="E68" s="1" t="s">
        <v>1075</v>
      </c>
      <c r="F68" s="1" t="s">
        <v>1116</v>
      </c>
      <c r="G68" s="7" t="str">
        <f>_xlfn.XLOOKUP(Order_Details[[#This Row],[Order ID]], List_of_orders[Order ID], List_of_orders[State])</f>
        <v>Bihar</v>
      </c>
      <c r="H68" s="10">
        <f>_xlfn.XLOOKUP(Order_Details[[#This Row],[Order ID]], List_of_orders[Order ID], List_of_orders[Order Date (Clean)])</f>
        <v>43214</v>
      </c>
      <c r="I68" s="7" t="str">
        <f>_xlfn.XLOOKUP(Order_Details[[#This Row],[Order ID]], List_of_orders[Order ID], List_of_orders[CustomerName])</f>
        <v>Pooja</v>
      </c>
      <c r="J68" s="7" t="str">
        <f>_xlfn.XLOOKUP(Order_Details[[#This Row],[Order ID]], List_of_orders[Order ID], List_of_orders[City])</f>
        <v>Patna</v>
      </c>
      <c r="K68" s="8" t="str">
        <f>TEXT(Order_Details[[#This Row],[Order Date]], "YY-MMM")</f>
        <v>18-Apr</v>
      </c>
      <c r="L68" s="11">
        <f>Order_Details[[#This Row],[Profit]]/Order_Details[[#This Row],[Amount]]</f>
        <v>-0.22857142857142856</v>
      </c>
      <c r="M68" s="8">
        <f>YEAR(Order_Details[[#This Row],[Order Date]])</f>
        <v>2018</v>
      </c>
      <c r="N68" s="8">
        <f>ROUNDUP(MONTH(Order_Details[[#This Row],[Order Date]])/3, 0)</f>
        <v>2</v>
      </c>
    </row>
    <row r="69" spans="1:14">
      <c r="A69" s="1" t="s">
        <v>110</v>
      </c>
      <c r="B69" s="1">
        <v>1560</v>
      </c>
      <c r="C69" s="1">
        <v>421</v>
      </c>
      <c r="D69" s="1">
        <v>3</v>
      </c>
      <c r="E69" s="1" t="s">
        <v>1076</v>
      </c>
      <c r="F69" s="1" t="s">
        <v>1107</v>
      </c>
      <c r="G69" s="7" t="str">
        <f>_xlfn.XLOOKUP(Order_Details[[#This Row],[Order ID]], List_of_orders[Order ID], List_of_orders[State])</f>
        <v xml:space="preserve">Kerala </v>
      </c>
      <c r="H69" s="10">
        <f>_xlfn.XLOOKUP(Order_Details[[#This Row],[Order ID]], List_of_orders[Order ID], List_of_orders[Order Date (Clean)])</f>
        <v>43214</v>
      </c>
      <c r="I69" s="7" t="str">
        <f>_xlfn.XLOOKUP(Order_Details[[#This Row],[Order ID]], List_of_orders[Order ID], List_of_orders[CustomerName])</f>
        <v>Hemant</v>
      </c>
      <c r="J69" s="7" t="str">
        <f>_xlfn.XLOOKUP(Order_Details[[#This Row],[Order ID]], List_of_orders[Order ID], List_of_orders[City])</f>
        <v>Thiruvananthapuram</v>
      </c>
      <c r="K69" s="8" t="str">
        <f>TEXT(Order_Details[[#This Row],[Order Date]], "YY-MMM")</f>
        <v>18-Apr</v>
      </c>
      <c r="L69" s="11">
        <f>Order_Details[[#This Row],[Profit]]/Order_Details[[#This Row],[Amount]]</f>
        <v>0.26987179487179486</v>
      </c>
      <c r="M69" s="8">
        <f>YEAR(Order_Details[[#This Row],[Order Date]])</f>
        <v>2018</v>
      </c>
      <c r="N69" s="8">
        <f>ROUNDUP(MONTH(Order_Details[[#This Row],[Order Date]])/3, 0)</f>
        <v>2</v>
      </c>
    </row>
    <row r="70" spans="1:14">
      <c r="A70" s="1" t="s">
        <v>112</v>
      </c>
      <c r="B70" s="1">
        <v>133</v>
      </c>
      <c r="C70" s="1">
        <v>12</v>
      </c>
      <c r="D70" s="1">
        <v>5</v>
      </c>
      <c r="E70" s="1" t="s">
        <v>1076</v>
      </c>
      <c r="F70" s="1" t="s">
        <v>1102</v>
      </c>
      <c r="G70" s="7" t="str">
        <f>_xlfn.XLOOKUP(Order_Details[[#This Row],[Order ID]], List_of_orders[Order ID], List_of_orders[State])</f>
        <v>Punjab</v>
      </c>
      <c r="H70" s="10">
        <f>_xlfn.XLOOKUP(Order_Details[[#This Row],[Order ID]], List_of_orders[Order ID], List_of_orders[Order Date (Clean)])</f>
        <v>43214</v>
      </c>
      <c r="I70" s="7" t="str">
        <f>_xlfn.XLOOKUP(Order_Details[[#This Row],[Order ID]], List_of_orders[Order ID], List_of_orders[CustomerName])</f>
        <v>Sahil</v>
      </c>
      <c r="J70" s="7" t="str">
        <f>_xlfn.XLOOKUP(Order_Details[[#This Row],[Order ID]], List_of_orders[Order ID], List_of_orders[City])</f>
        <v>Chandigarh</v>
      </c>
      <c r="K70" s="8" t="str">
        <f>TEXT(Order_Details[[#This Row],[Order Date]], "YY-MMM")</f>
        <v>18-Apr</v>
      </c>
      <c r="L70" s="11">
        <f>Order_Details[[#This Row],[Profit]]/Order_Details[[#This Row],[Amount]]</f>
        <v>9.0225563909774431E-2</v>
      </c>
      <c r="M70" s="8">
        <f>YEAR(Order_Details[[#This Row],[Order Date]])</f>
        <v>2018</v>
      </c>
      <c r="N70" s="8">
        <f>ROUNDUP(MONTH(Order_Details[[#This Row],[Order Date]])/3, 0)</f>
        <v>2</v>
      </c>
    </row>
    <row r="71" spans="1:14">
      <c r="A71" s="1" t="s">
        <v>112</v>
      </c>
      <c r="B71" s="1">
        <v>114</v>
      </c>
      <c r="C71" s="1">
        <v>-39</v>
      </c>
      <c r="D71" s="1">
        <v>5</v>
      </c>
      <c r="E71" s="1" t="s">
        <v>1076</v>
      </c>
      <c r="F71" s="1" t="s">
        <v>1109</v>
      </c>
      <c r="G71" s="7" t="str">
        <f>_xlfn.XLOOKUP(Order_Details[[#This Row],[Order ID]], List_of_orders[Order ID], List_of_orders[State])</f>
        <v>Punjab</v>
      </c>
      <c r="H71" s="10">
        <f>_xlfn.XLOOKUP(Order_Details[[#This Row],[Order ID]], List_of_orders[Order ID], List_of_orders[Order Date (Clean)])</f>
        <v>43214</v>
      </c>
      <c r="I71" s="7" t="str">
        <f>_xlfn.XLOOKUP(Order_Details[[#This Row],[Order ID]], List_of_orders[Order ID], List_of_orders[CustomerName])</f>
        <v>Sahil</v>
      </c>
      <c r="J71" s="7" t="str">
        <f>_xlfn.XLOOKUP(Order_Details[[#This Row],[Order ID]], List_of_orders[Order ID], List_of_orders[City])</f>
        <v>Chandigarh</v>
      </c>
      <c r="K71" s="8" t="str">
        <f>TEXT(Order_Details[[#This Row],[Order Date]], "YY-MMM")</f>
        <v>18-Apr</v>
      </c>
      <c r="L71" s="11">
        <f>Order_Details[[#This Row],[Profit]]/Order_Details[[#This Row],[Amount]]</f>
        <v>-0.34210526315789475</v>
      </c>
      <c r="M71" s="8">
        <f>YEAR(Order_Details[[#This Row],[Order Date]])</f>
        <v>2018</v>
      </c>
      <c r="N71" s="8">
        <f>ROUNDUP(MONTH(Order_Details[[#This Row],[Order Date]])/3, 0)</f>
        <v>2</v>
      </c>
    </row>
    <row r="72" spans="1:14">
      <c r="A72" s="1" t="s">
        <v>112</v>
      </c>
      <c r="B72" s="1">
        <v>143</v>
      </c>
      <c r="C72" s="1">
        <v>-129</v>
      </c>
      <c r="D72" s="1">
        <v>2</v>
      </c>
      <c r="E72" s="1" t="s">
        <v>1077</v>
      </c>
      <c r="F72" s="1" t="s">
        <v>1105</v>
      </c>
      <c r="G72" s="7" t="str">
        <f>_xlfn.XLOOKUP(Order_Details[[#This Row],[Order ID]], List_of_orders[Order ID], List_of_orders[State])</f>
        <v>Punjab</v>
      </c>
      <c r="H72" s="10">
        <f>_xlfn.XLOOKUP(Order_Details[[#This Row],[Order ID]], List_of_orders[Order ID], List_of_orders[Order Date (Clean)])</f>
        <v>43214</v>
      </c>
      <c r="I72" s="7" t="str">
        <f>_xlfn.XLOOKUP(Order_Details[[#This Row],[Order ID]], List_of_orders[Order ID], List_of_orders[CustomerName])</f>
        <v>Sahil</v>
      </c>
      <c r="J72" s="7" t="str">
        <f>_xlfn.XLOOKUP(Order_Details[[#This Row],[Order ID]], List_of_orders[Order ID], List_of_orders[City])</f>
        <v>Chandigarh</v>
      </c>
      <c r="K72" s="8" t="str">
        <f>TEXT(Order_Details[[#This Row],[Order Date]], "YY-MMM")</f>
        <v>18-Apr</v>
      </c>
      <c r="L72" s="11">
        <f>Order_Details[[#This Row],[Profit]]/Order_Details[[#This Row],[Amount]]</f>
        <v>-0.90209790209790208</v>
      </c>
      <c r="M72" s="8">
        <f>YEAR(Order_Details[[#This Row],[Order Date]])</f>
        <v>2018</v>
      </c>
      <c r="N72" s="8">
        <f>ROUNDUP(MONTH(Order_Details[[#This Row],[Order Date]])/3, 0)</f>
        <v>2</v>
      </c>
    </row>
    <row r="73" spans="1:14">
      <c r="A73" s="1" t="s">
        <v>112</v>
      </c>
      <c r="B73" s="1">
        <v>40</v>
      </c>
      <c r="C73" s="1">
        <v>-7</v>
      </c>
      <c r="D73" s="1">
        <v>3</v>
      </c>
      <c r="E73" s="1" t="s">
        <v>1076</v>
      </c>
      <c r="F73" s="1" t="s">
        <v>1102</v>
      </c>
      <c r="G73" s="7" t="str">
        <f>_xlfn.XLOOKUP(Order_Details[[#This Row],[Order ID]], List_of_orders[Order ID], List_of_orders[State])</f>
        <v>Punjab</v>
      </c>
      <c r="H73" s="10">
        <f>_xlfn.XLOOKUP(Order_Details[[#This Row],[Order ID]], List_of_orders[Order ID], List_of_orders[Order Date (Clean)])</f>
        <v>43214</v>
      </c>
      <c r="I73" s="7" t="str">
        <f>_xlfn.XLOOKUP(Order_Details[[#This Row],[Order ID]], List_of_orders[Order ID], List_of_orders[CustomerName])</f>
        <v>Sahil</v>
      </c>
      <c r="J73" s="7" t="str">
        <f>_xlfn.XLOOKUP(Order_Details[[#This Row],[Order ID]], List_of_orders[Order ID], List_of_orders[City])</f>
        <v>Chandigarh</v>
      </c>
      <c r="K73" s="8" t="str">
        <f>TEXT(Order_Details[[#This Row],[Order Date]], "YY-MMM")</f>
        <v>18-Apr</v>
      </c>
      <c r="L73" s="11">
        <f>Order_Details[[#This Row],[Profit]]/Order_Details[[#This Row],[Amount]]</f>
        <v>-0.17499999999999999</v>
      </c>
      <c r="M73" s="8">
        <f>YEAR(Order_Details[[#This Row],[Order Date]])</f>
        <v>2018</v>
      </c>
      <c r="N73" s="8">
        <f>ROUNDUP(MONTH(Order_Details[[#This Row],[Order Date]])/3, 0)</f>
        <v>2</v>
      </c>
    </row>
    <row r="74" spans="1:14">
      <c r="A74" s="1" t="s">
        <v>112</v>
      </c>
      <c r="B74" s="1">
        <v>34</v>
      </c>
      <c r="C74" s="1">
        <v>-22</v>
      </c>
      <c r="D74" s="1">
        <v>4</v>
      </c>
      <c r="E74" s="1" t="s">
        <v>1076</v>
      </c>
      <c r="F74" s="1" t="s">
        <v>1110</v>
      </c>
      <c r="G74" s="7" t="str">
        <f>_xlfn.XLOOKUP(Order_Details[[#This Row],[Order ID]], List_of_orders[Order ID], List_of_orders[State])</f>
        <v>Punjab</v>
      </c>
      <c r="H74" s="10">
        <f>_xlfn.XLOOKUP(Order_Details[[#This Row],[Order ID]], List_of_orders[Order ID], List_of_orders[Order Date (Clean)])</f>
        <v>43214</v>
      </c>
      <c r="I74" s="7" t="str">
        <f>_xlfn.XLOOKUP(Order_Details[[#This Row],[Order ID]], List_of_orders[Order ID], List_of_orders[CustomerName])</f>
        <v>Sahil</v>
      </c>
      <c r="J74" s="7" t="str">
        <f>_xlfn.XLOOKUP(Order_Details[[#This Row],[Order ID]], List_of_orders[Order ID], List_of_orders[City])</f>
        <v>Chandigarh</v>
      </c>
      <c r="K74" s="8" t="str">
        <f>TEXT(Order_Details[[#This Row],[Order Date]], "YY-MMM")</f>
        <v>18-Apr</v>
      </c>
      <c r="L74" s="11">
        <f>Order_Details[[#This Row],[Profit]]/Order_Details[[#This Row],[Amount]]</f>
        <v>-0.6470588235294118</v>
      </c>
      <c r="M74" s="8">
        <f>YEAR(Order_Details[[#This Row],[Order Date]])</f>
        <v>2018</v>
      </c>
      <c r="N74" s="8">
        <f>ROUNDUP(MONTH(Order_Details[[#This Row],[Order Date]])/3, 0)</f>
        <v>2</v>
      </c>
    </row>
    <row r="75" spans="1:14">
      <c r="A75" s="1" t="s">
        <v>112</v>
      </c>
      <c r="B75" s="1">
        <v>42</v>
      </c>
      <c r="C75" s="1">
        <v>-26</v>
      </c>
      <c r="D75" s="1">
        <v>2</v>
      </c>
      <c r="E75" s="1" t="s">
        <v>1076</v>
      </c>
      <c r="F75" s="1" t="s">
        <v>1109</v>
      </c>
      <c r="G75" s="7" t="str">
        <f>_xlfn.XLOOKUP(Order_Details[[#This Row],[Order ID]], List_of_orders[Order ID], List_of_orders[State])</f>
        <v>Punjab</v>
      </c>
      <c r="H75" s="10">
        <f>_xlfn.XLOOKUP(Order_Details[[#This Row],[Order ID]], List_of_orders[Order ID], List_of_orders[Order Date (Clean)])</f>
        <v>43214</v>
      </c>
      <c r="I75" s="7" t="str">
        <f>_xlfn.XLOOKUP(Order_Details[[#This Row],[Order ID]], List_of_orders[Order ID], List_of_orders[CustomerName])</f>
        <v>Sahil</v>
      </c>
      <c r="J75" s="7" t="str">
        <f>_xlfn.XLOOKUP(Order_Details[[#This Row],[Order ID]], List_of_orders[Order ID], List_of_orders[City])</f>
        <v>Chandigarh</v>
      </c>
      <c r="K75" s="8" t="str">
        <f>TEXT(Order_Details[[#This Row],[Order Date]], "YY-MMM")</f>
        <v>18-Apr</v>
      </c>
      <c r="L75" s="11">
        <f>Order_Details[[#This Row],[Profit]]/Order_Details[[#This Row],[Amount]]</f>
        <v>-0.61904761904761907</v>
      </c>
      <c r="M75" s="8">
        <f>YEAR(Order_Details[[#This Row],[Order Date]])</f>
        <v>2018</v>
      </c>
      <c r="N75" s="8">
        <f>ROUNDUP(MONTH(Order_Details[[#This Row],[Order Date]])/3, 0)</f>
        <v>2</v>
      </c>
    </row>
    <row r="76" spans="1:14">
      <c r="A76" s="1" t="s">
        <v>114</v>
      </c>
      <c r="B76" s="1">
        <v>89</v>
      </c>
      <c r="C76" s="1">
        <v>-89</v>
      </c>
      <c r="D76" s="1">
        <v>2</v>
      </c>
      <c r="E76" s="1" t="s">
        <v>1075</v>
      </c>
      <c r="F76" s="1" t="s">
        <v>1116</v>
      </c>
      <c r="G76" s="7" t="str">
        <f>_xlfn.XLOOKUP(Order_Details[[#This Row],[Order ID]], List_of_orders[Order ID], List_of_orders[State])</f>
        <v>Haryana</v>
      </c>
      <c r="H76" s="10">
        <f>_xlfn.XLOOKUP(Order_Details[[#This Row],[Order ID]], List_of_orders[Order ID], List_of_orders[Order Date (Clean)])</f>
        <v>43214</v>
      </c>
      <c r="I76" s="7" t="str">
        <f>_xlfn.XLOOKUP(Order_Details[[#This Row],[Order ID]], List_of_orders[Order ID], List_of_orders[CustomerName])</f>
        <v>Ritu</v>
      </c>
      <c r="J76" s="7" t="str">
        <f>_xlfn.XLOOKUP(Order_Details[[#This Row],[Order ID]], List_of_orders[Order ID], List_of_orders[City])</f>
        <v>Chandigarh</v>
      </c>
      <c r="K76" s="8" t="str">
        <f>TEXT(Order_Details[[#This Row],[Order Date]], "YY-MMM")</f>
        <v>18-Apr</v>
      </c>
      <c r="L76" s="11">
        <f>Order_Details[[#This Row],[Profit]]/Order_Details[[#This Row],[Amount]]</f>
        <v>-1</v>
      </c>
      <c r="M76" s="8">
        <f>YEAR(Order_Details[[#This Row],[Order Date]])</f>
        <v>2018</v>
      </c>
      <c r="N76" s="8">
        <f>ROUNDUP(MONTH(Order_Details[[#This Row],[Order Date]])/3, 0)</f>
        <v>2</v>
      </c>
    </row>
    <row r="77" spans="1:14">
      <c r="A77" s="1" t="s">
        <v>116</v>
      </c>
      <c r="B77" s="1">
        <v>19</v>
      </c>
      <c r="C77" s="1">
        <v>-2</v>
      </c>
      <c r="D77" s="1">
        <v>2</v>
      </c>
      <c r="E77" s="1" t="s">
        <v>1076</v>
      </c>
      <c r="F77" s="1" t="s">
        <v>1112</v>
      </c>
      <c r="G77" s="7" t="str">
        <f>_xlfn.XLOOKUP(Order_Details[[#This Row],[Order ID]], List_of_orders[Order ID], List_of_orders[State])</f>
        <v>Himachal Pradesh</v>
      </c>
      <c r="H77" s="10">
        <f>_xlfn.XLOOKUP(Order_Details[[#This Row],[Order ID]], List_of_orders[Order ID], List_of_orders[Order Date (Clean)])</f>
        <v>43215</v>
      </c>
      <c r="I77" s="7" t="str">
        <f>_xlfn.XLOOKUP(Order_Details[[#This Row],[Order ID]], List_of_orders[Order ID], List_of_orders[CustomerName])</f>
        <v>Manish</v>
      </c>
      <c r="J77" s="7" t="str">
        <f>_xlfn.XLOOKUP(Order_Details[[#This Row],[Order ID]], List_of_orders[Order ID], List_of_orders[City])</f>
        <v>Simla</v>
      </c>
      <c r="K77" s="8" t="str">
        <f>TEXT(Order_Details[[#This Row],[Order Date]], "YY-MMM")</f>
        <v>18-Apr</v>
      </c>
      <c r="L77" s="11">
        <f>Order_Details[[#This Row],[Profit]]/Order_Details[[#This Row],[Amount]]</f>
        <v>-0.10526315789473684</v>
      </c>
      <c r="M77" s="8">
        <f>YEAR(Order_Details[[#This Row],[Order Date]])</f>
        <v>2018</v>
      </c>
      <c r="N77" s="8">
        <f>ROUNDUP(MONTH(Order_Details[[#This Row],[Order Date]])/3, 0)</f>
        <v>2</v>
      </c>
    </row>
    <row r="78" spans="1:14">
      <c r="A78" s="1" t="s">
        <v>119</v>
      </c>
      <c r="B78" s="1">
        <v>249</v>
      </c>
      <c r="C78" s="1">
        <v>-130</v>
      </c>
      <c r="D78" s="1">
        <v>4</v>
      </c>
      <c r="E78" s="1" t="s">
        <v>1077</v>
      </c>
      <c r="F78" s="1" t="s">
        <v>1105</v>
      </c>
      <c r="G78" s="7" t="str">
        <f>_xlfn.XLOOKUP(Order_Details[[#This Row],[Order ID]], List_of_orders[Order ID], List_of_orders[State])</f>
        <v>Sikkim</v>
      </c>
      <c r="H78" s="10">
        <f>_xlfn.XLOOKUP(Order_Details[[#This Row],[Order ID]], List_of_orders[Order ID], List_of_orders[Order Date (Clean)])</f>
        <v>43216</v>
      </c>
      <c r="I78" s="7" t="str">
        <f>_xlfn.XLOOKUP(Order_Details[[#This Row],[Order ID]], List_of_orders[Order ID], List_of_orders[CustomerName])</f>
        <v>Amit</v>
      </c>
      <c r="J78" s="7" t="str">
        <f>_xlfn.XLOOKUP(Order_Details[[#This Row],[Order ID]], List_of_orders[Order ID], List_of_orders[City])</f>
        <v>Gangtok</v>
      </c>
      <c r="K78" s="8" t="str">
        <f>TEXT(Order_Details[[#This Row],[Order Date]], "YY-MMM")</f>
        <v>18-Apr</v>
      </c>
      <c r="L78" s="11">
        <f>Order_Details[[#This Row],[Profit]]/Order_Details[[#This Row],[Amount]]</f>
        <v>-0.52208835341365467</v>
      </c>
      <c r="M78" s="8">
        <f>YEAR(Order_Details[[#This Row],[Order Date]])</f>
        <v>2018</v>
      </c>
      <c r="N78" s="8">
        <f>ROUNDUP(MONTH(Order_Details[[#This Row],[Order Date]])/3, 0)</f>
        <v>2</v>
      </c>
    </row>
    <row r="79" spans="1:14">
      <c r="A79" s="1" t="s">
        <v>119</v>
      </c>
      <c r="B79" s="1">
        <v>711</v>
      </c>
      <c r="C79" s="1">
        <v>-8</v>
      </c>
      <c r="D79" s="1">
        <v>4</v>
      </c>
      <c r="E79" s="1" t="s">
        <v>1076</v>
      </c>
      <c r="F79" s="1" t="s">
        <v>1106</v>
      </c>
      <c r="G79" s="7" t="str">
        <f>_xlfn.XLOOKUP(Order_Details[[#This Row],[Order ID]], List_of_orders[Order ID], List_of_orders[State])</f>
        <v>Sikkim</v>
      </c>
      <c r="H79" s="10">
        <f>_xlfn.XLOOKUP(Order_Details[[#This Row],[Order ID]], List_of_orders[Order ID], List_of_orders[Order Date (Clean)])</f>
        <v>43216</v>
      </c>
      <c r="I79" s="7" t="str">
        <f>_xlfn.XLOOKUP(Order_Details[[#This Row],[Order ID]], List_of_orders[Order ID], List_of_orders[CustomerName])</f>
        <v>Amit</v>
      </c>
      <c r="J79" s="7" t="str">
        <f>_xlfn.XLOOKUP(Order_Details[[#This Row],[Order ID]], List_of_orders[Order ID], List_of_orders[City])</f>
        <v>Gangtok</v>
      </c>
      <c r="K79" s="8" t="str">
        <f>TEXT(Order_Details[[#This Row],[Order Date]], "YY-MMM")</f>
        <v>18-Apr</v>
      </c>
      <c r="L79" s="11">
        <f>Order_Details[[#This Row],[Profit]]/Order_Details[[#This Row],[Amount]]</f>
        <v>-1.1251758087201125E-2</v>
      </c>
      <c r="M79" s="8">
        <f>YEAR(Order_Details[[#This Row],[Order Date]])</f>
        <v>2018</v>
      </c>
      <c r="N79" s="8">
        <f>ROUNDUP(MONTH(Order_Details[[#This Row],[Order Date]])/3, 0)</f>
        <v>2</v>
      </c>
    </row>
    <row r="80" spans="1:14">
      <c r="A80" s="1" t="s">
        <v>119</v>
      </c>
      <c r="B80" s="1">
        <v>496</v>
      </c>
      <c r="C80" s="1">
        <v>-79</v>
      </c>
      <c r="D80" s="1">
        <v>2</v>
      </c>
      <c r="E80" s="1" t="s">
        <v>1076</v>
      </c>
      <c r="F80" s="1" t="s">
        <v>1107</v>
      </c>
      <c r="G80" s="7" t="str">
        <f>_xlfn.XLOOKUP(Order_Details[[#This Row],[Order ID]], List_of_orders[Order ID], List_of_orders[State])</f>
        <v>Sikkim</v>
      </c>
      <c r="H80" s="10">
        <f>_xlfn.XLOOKUP(Order_Details[[#This Row],[Order ID]], List_of_orders[Order ID], List_of_orders[Order Date (Clean)])</f>
        <v>43216</v>
      </c>
      <c r="I80" s="7" t="str">
        <f>_xlfn.XLOOKUP(Order_Details[[#This Row],[Order ID]], List_of_orders[Order ID], List_of_orders[CustomerName])</f>
        <v>Amit</v>
      </c>
      <c r="J80" s="7" t="str">
        <f>_xlfn.XLOOKUP(Order_Details[[#This Row],[Order ID]], List_of_orders[Order ID], List_of_orders[City])</f>
        <v>Gangtok</v>
      </c>
      <c r="K80" s="8" t="str">
        <f>TEXT(Order_Details[[#This Row],[Order Date]], "YY-MMM")</f>
        <v>18-Apr</v>
      </c>
      <c r="L80" s="11">
        <f>Order_Details[[#This Row],[Profit]]/Order_Details[[#This Row],[Amount]]</f>
        <v>-0.15927419354838709</v>
      </c>
      <c r="M80" s="8">
        <f>YEAR(Order_Details[[#This Row],[Order Date]])</f>
        <v>2018</v>
      </c>
      <c r="N80" s="8">
        <f>ROUNDUP(MONTH(Order_Details[[#This Row],[Order Date]])/3, 0)</f>
        <v>2</v>
      </c>
    </row>
    <row r="81" spans="1:14">
      <c r="A81" s="1" t="s">
        <v>122</v>
      </c>
      <c r="B81" s="1">
        <v>389</v>
      </c>
      <c r="C81" s="1">
        <v>-83</v>
      </c>
      <c r="D81" s="1">
        <v>3</v>
      </c>
      <c r="E81" s="1" t="s">
        <v>1075</v>
      </c>
      <c r="F81" s="1" t="s">
        <v>1108</v>
      </c>
      <c r="G81" s="7" t="str">
        <f>_xlfn.XLOOKUP(Order_Details[[#This Row],[Order ID]], List_of_orders[Order ID], List_of_orders[State])</f>
        <v>Goa</v>
      </c>
      <c r="H81" s="10">
        <f>_xlfn.XLOOKUP(Order_Details[[#This Row],[Order ID]], List_of_orders[Order ID], List_of_orders[Order Date (Clean)])</f>
        <v>43216</v>
      </c>
      <c r="I81" s="7" t="str">
        <f>_xlfn.XLOOKUP(Order_Details[[#This Row],[Order ID]], List_of_orders[Order ID], List_of_orders[CustomerName])</f>
        <v>Sanjay</v>
      </c>
      <c r="J81" s="7" t="str">
        <f>_xlfn.XLOOKUP(Order_Details[[#This Row],[Order ID]], List_of_orders[Order ID], List_of_orders[City])</f>
        <v>Goa</v>
      </c>
      <c r="K81" s="8" t="str">
        <f>TEXT(Order_Details[[#This Row],[Order Date]], "YY-MMM")</f>
        <v>18-Apr</v>
      </c>
      <c r="L81" s="11">
        <f>Order_Details[[#This Row],[Profit]]/Order_Details[[#This Row],[Amount]]</f>
        <v>-0.21336760925449871</v>
      </c>
      <c r="M81" s="8">
        <f>YEAR(Order_Details[[#This Row],[Order Date]])</f>
        <v>2018</v>
      </c>
      <c r="N81" s="8">
        <f>ROUNDUP(MONTH(Order_Details[[#This Row],[Order Date]])/3, 0)</f>
        <v>2</v>
      </c>
    </row>
    <row r="82" spans="1:14">
      <c r="A82" s="1" t="s">
        <v>124</v>
      </c>
      <c r="B82" s="1">
        <v>40</v>
      </c>
      <c r="C82" s="1">
        <v>16</v>
      </c>
      <c r="D82" s="1">
        <v>3</v>
      </c>
      <c r="E82" s="1" t="s">
        <v>1076</v>
      </c>
      <c r="F82" s="1" t="s">
        <v>1103</v>
      </c>
      <c r="G82" s="7" t="str">
        <f>_xlfn.XLOOKUP(Order_Details[[#This Row],[Order ID]], List_of_orders[Order ID], List_of_orders[State])</f>
        <v>Nagaland</v>
      </c>
      <c r="H82" s="10">
        <f>_xlfn.XLOOKUP(Order_Details[[#This Row],[Order ID]], List_of_orders[Order ID], List_of_orders[Order Date (Clean)])</f>
        <v>43216</v>
      </c>
      <c r="I82" s="7" t="str">
        <f>_xlfn.XLOOKUP(Order_Details[[#This Row],[Order ID]], List_of_orders[Order ID], List_of_orders[CustomerName])</f>
        <v>Nidhi</v>
      </c>
      <c r="J82" s="7" t="str">
        <f>_xlfn.XLOOKUP(Order_Details[[#This Row],[Order ID]], List_of_orders[Order ID], List_of_orders[City])</f>
        <v>Kohima</v>
      </c>
      <c r="K82" s="8" t="str">
        <f>TEXT(Order_Details[[#This Row],[Order Date]], "YY-MMM")</f>
        <v>18-Apr</v>
      </c>
      <c r="L82" s="11">
        <f>Order_Details[[#This Row],[Profit]]/Order_Details[[#This Row],[Amount]]</f>
        <v>0.4</v>
      </c>
      <c r="M82" s="8">
        <f>YEAR(Order_Details[[#This Row],[Order Date]])</f>
        <v>2018</v>
      </c>
      <c r="N82" s="8">
        <f>ROUNDUP(MONTH(Order_Details[[#This Row],[Order Date]])/3, 0)</f>
        <v>2</v>
      </c>
    </row>
    <row r="83" spans="1:14">
      <c r="A83" s="1" t="s">
        <v>124</v>
      </c>
      <c r="B83" s="1">
        <v>23</v>
      </c>
      <c r="C83" s="1">
        <v>2</v>
      </c>
      <c r="D83" s="1">
        <v>2</v>
      </c>
      <c r="E83" s="1" t="s">
        <v>1076</v>
      </c>
      <c r="F83" s="1" t="s">
        <v>1117</v>
      </c>
      <c r="G83" s="7" t="str">
        <f>_xlfn.XLOOKUP(Order_Details[[#This Row],[Order ID]], List_of_orders[Order ID], List_of_orders[State])</f>
        <v>Nagaland</v>
      </c>
      <c r="H83" s="10">
        <f>_xlfn.XLOOKUP(Order_Details[[#This Row],[Order ID]], List_of_orders[Order ID], List_of_orders[Order Date (Clean)])</f>
        <v>43216</v>
      </c>
      <c r="I83" s="7" t="str">
        <f>_xlfn.XLOOKUP(Order_Details[[#This Row],[Order ID]], List_of_orders[Order ID], List_of_orders[CustomerName])</f>
        <v>Nidhi</v>
      </c>
      <c r="J83" s="7" t="str">
        <f>_xlfn.XLOOKUP(Order_Details[[#This Row],[Order ID]], List_of_orders[Order ID], List_of_orders[City])</f>
        <v>Kohima</v>
      </c>
      <c r="K83" s="8" t="str">
        <f>TEXT(Order_Details[[#This Row],[Order Date]], "YY-MMM")</f>
        <v>18-Apr</v>
      </c>
      <c r="L83" s="11">
        <f>Order_Details[[#This Row],[Profit]]/Order_Details[[#This Row],[Amount]]</f>
        <v>8.6956521739130432E-2</v>
      </c>
      <c r="M83" s="8">
        <f>YEAR(Order_Details[[#This Row],[Order Date]])</f>
        <v>2018</v>
      </c>
      <c r="N83" s="8">
        <f>ROUNDUP(MONTH(Order_Details[[#This Row],[Order Date]])/3, 0)</f>
        <v>2</v>
      </c>
    </row>
    <row r="84" spans="1:14">
      <c r="A84" s="1" t="s">
        <v>124</v>
      </c>
      <c r="B84" s="1">
        <v>382</v>
      </c>
      <c r="C84" s="1">
        <v>30</v>
      </c>
      <c r="D84" s="1">
        <v>3</v>
      </c>
      <c r="E84" s="1" t="s">
        <v>1076</v>
      </c>
      <c r="F84" s="1" t="s">
        <v>1106</v>
      </c>
      <c r="G84" s="7" t="str">
        <f>_xlfn.XLOOKUP(Order_Details[[#This Row],[Order ID]], List_of_orders[Order ID], List_of_orders[State])</f>
        <v>Nagaland</v>
      </c>
      <c r="H84" s="10">
        <f>_xlfn.XLOOKUP(Order_Details[[#This Row],[Order ID]], List_of_orders[Order ID], List_of_orders[Order Date (Clean)])</f>
        <v>43216</v>
      </c>
      <c r="I84" s="7" t="str">
        <f>_xlfn.XLOOKUP(Order_Details[[#This Row],[Order ID]], List_of_orders[Order ID], List_of_orders[CustomerName])</f>
        <v>Nidhi</v>
      </c>
      <c r="J84" s="7" t="str">
        <f>_xlfn.XLOOKUP(Order_Details[[#This Row],[Order ID]], List_of_orders[Order ID], List_of_orders[City])</f>
        <v>Kohima</v>
      </c>
      <c r="K84" s="8" t="str">
        <f>TEXT(Order_Details[[#This Row],[Order Date]], "YY-MMM")</f>
        <v>18-Apr</v>
      </c>
      <c r="L84" s="11">
        <f>Order_Details[[#This Row],[Profit]]/Order_Details[[#This Row],[Amount]]</f>
        <v>7.8534031413612565E-2</v>
      </c>
      <c r="M84" s="8">
        <f>YEAR(Order_Details[[#This Row],[Order Date]])</f>
        <v>2018</v>
      </c>
      <c r="N84" s="8">
        <f>ROUNDUP(MONTH(Order_Details[[#This Row],[Order Date]])/3, 0)</f>
        <v>2</v>
      </c>
    </row>
    <row r="85" spans="1:14">
      <c r="A85" s="1" t="s">
        <v>126</v>
      </c>
      <c r="B85" s="1">
        <v>637</v>
      </c>
      <c r="C85" s="1">
        <v>113</v>
      </c>
      <c r="D85" s="1">
        <v>5</v>
      </c>
      <c r="E85" s="1" t="s">
        <v>1076</v>
      </c>
      <c r="F85" s="1" t="s">
        <v>1106</v>
      </c>
      <c r="G85" s="7" t="str">
        <f>_xlfn.XLOOKUP(Order_Details[[#This Row],[Order ID]], List_of_orders[Order ID], List_of_orders[State])</f>
        <v>Maharashtra</v>
      </c>
      <c r="H85" s="10">
        <f>_xlfn.XLOOKUP(Order_Details[[#This Row],[Order ID]], List_of_orders[Order ID], List_of_orders[Order Date (Clean)])</f>
        <v>43216</v>
      </c>
      <c r="I85" s="7" t="str">
        <f>_xlfn.XLOOKUP(Order_Details[[#This Row],[Order ID]], List_of_orders[Order ID], List_of_orders[CustomerName])</f>
        <v>Nishi</v>
      </c>
      <c r="J85" s="7" t="str">
        <f>_xlfn.XLOOKUP(Order_Details[[#This Row],[Order ID]], List_of_orders[Order ID], List_of_orders[City])</f>
        <v>Mumbai</v>
      </c>
      <c r="K85" s="8" t="str">
        <f>TEXT(Order_Details[[#This Row],[Order Date]], "YY-MMM")</f>
        <v>18-Apr</v>
      </c>
      <c r="L85" s="11">
        <f>Order_Details[[#This Row],[Profit]]/Order_Details[[#This Row],[Amount]]</f>
        <v>0.17739403453689168</v>
      </c>
      <c r="M85" s="8">
        <f>YEAR(Order_Details[[#This Row],[Order Date]])</f>
        <v>2018</v>
      </c>
      <c r="N85" s="8">
        <f>ROUNDUP(MONTH(Order_Details[[#This Row],[Order Date]])/3, 0)</f>
        <v>2</v>
      </c>
    </row>
    <row r="86" spans="1:14">
      <c r="A86" s="1" t="s">
        <v>128</v>
      </c>
      <c r="B86" s="1">
        <v>117</v>
      </c>
      <c r="C86" s="1">
        <v>14</v>
      </c>
      <c r="D86" s="1">
        <v>3</v>
      </c>
      <c r="E86" s="1" t="s">
        <v>1076</v>
      </c>
      <c r="F86" s="1" t="s">
        <v>1111</v>
      </c>
      <c r="G86" s="7" t="str">
        <f>_xlfn.XLOOKUP(Order_Details[[#This Row],[Order ID]], List_of_orders[Order ID], List_of_orders[State])</f>
        <v>Madhya Pradesh</v>
      </c>
      <c r="H86" s="10">
        <f>_xlfn.XLOOKUP(Order_Details[[#This Row],[Order ID]], List_of_orders[Order ID], List_of_orders[Order Date (Clean)])</f>
        <v>43216</v>
      </c>
      <c r="I86" s="7" t="str">
        <f>_xlfn.XLOOKUP(Order_Details[[#This Row],[Order ID]], List_of_orders[Order ID], List_of_orders[CustomerName])</f>
        <v>Ashmi</v>
      </c>
      <c r="J86" s="7" t="str">
        <f>_xlfn.XLOOKUP(Order_Details[[#This Row],[Order ID]], List_of_orders[Order ID], List_of_orders[City])</f>
        <v>Indore</v>
      </c>
      <c r="K86" s="8" t="str">
        <f>TEXT(Order_Details[[#This Row],[Order Date]], "YY-MMM")</f>
        <v>18-Apr</v>
      </c>
      <c r="L86" s="11">
        <f>Order_Details[[#This Row],[Profit]]/Order_Details[[#This Row],[Amount]]</f>
        <v>0.11965811965811966</v>
      </c>
      <c r="M86" s="8">
        <f>YEAR(Order_Details[[#This Row],[Order Date]])</f>
        <v>2018</v>
      </c>
      <c r="N86" s="8">
        <f>ROUNDUP(MONTH(Order_Details[[#This Row],[Order Date]])/3, 0)</f>
        <v>2</v>
      </c>
    </row>
    <row r="87" spans="1:14">
      <c r="A87" s="1" t="s">
        <v>130</v>
      </c>
      <c r="B87" s="1">
        <v>182</v>
      </c>
      <c r="C87" s="1">
        <v>-11</v>
      </c>
      <c r="D87" s="1">
        <v>3</v>
      </c>
      <c r="E87" s="1" t="s">
        <v>1075</v>
      </c>
      <c r="F87" s="1" t="s">
        <v>1101</v>
      </c>
      <c r="G87" s="7" t="str">
        <f>_xlfn.XLOOKUP(Order_Details[[#This Row],[Order ID]], List_of_orders[Order ID], List_of_orders[State])</f>
        <v>Maharashtra</v>
      </c>
      <c r="H87" s="10">
        <f>_xlfn.XLOOKUP(Order_Details[[#This Row],[Order ID]], List_of_orders[Order ID], List_of_orders[Order Date (Clean)])</f>
        <v>43216</v>
      </c>
      <c r="I87" s="7" t="str">
        <f>_xlfn.XLOOKUP(Order_Details[[#This Row],[Order ID]], List_of_orders[Order ID], List_of_orders[CustomerName])</f>
        <v>Parth</v>
      </c>
      <c r="J87" s="7" t="str">
        <f>_xlfn.XLOOKUP(Order_Details[[#This Row],[Order ID]], List_of_orders[Order ID], List_of_orders[City])</f>
        <v>Pune</v>
      </c>
      <c r="K87" s="8" t="str">
        <f>TEXT(Order_Details[[#This Row],[Order Date]], "YY-MMM")</f>
        <v>18-Apr</v>
      </c>
      <c r="L87" s="11">
        <f>Order_Details[[#This Row],[Profit]]/Order_Details[[#This Row],[Amount]]</f>
        <v>-6.043956043956044E-2</v>
      </c>
      <c r="M87" s="8">
        <f>YEAR(Order_Details[[#This Row],[Order Date]])</f>
        <v>2018</v>
      </c>
      <c r="N87" s="8">
        <f>ROUNDUP(MONTH(Order_Details[[#This Row],[Order Date]])/3, 0)</f>
        <v>2</v>
      </c>
    </row>
    <row r="88" spans="1:14">
      <c r="A88" s="1" t="s">
        <v>130</v>
      </c>
      <c r="B88" s="1">
        <v>880</v>
      </c>
      <c r="C88" s="1">
        <v>97</v>
      </c>
      <c r="D88" s="1">
        <v>8</v>
      </c>
      <c r="E88" s="1" t="s">
        <v>1075</v>
      </c>
      <c r="F88" s="1" t="s">
        <v>1116</v>
      </c>
      <c r="G88" s="7" t="str">
        <f>_xlfn.XLOOKUP(Order_Details[[#This Row],[Order ID]], List_of_orders[Order ID], List_of_orders[State])</f>
        <v>Maharashtra</v>
      </c>
      <c r="H88" s="10">
        <f>_xlfn.XLOOKUP(Order_Details[[#This Row],[Order ID]], List_of_orders[Order ID], List_of_orders[Order Date (Clean)])</f>
        <v>43216</v>
      </c>
      <c r="I88" s="7" t="str">
        <f>_xlfn.XLOOKUP(Order_Details[[#This Row],[Order ID]], List_of_orders[Order ID], List_of_orders[CustomerName])</f>
        <v>Parth</v>
      </c>
      <c r="J88" s="7" t="str">
        <f>_xlfn.XLOOKUP(Order_Details[[#This Row],[Order ID]], List_of_orders[Order ID], List_of_orders[City])</f>
        <v>Pune</v>
      </c>
      <c r="K88" s="8" t="str">
        <f>TEXT(Order_Details[[#This Row],[Order Date]], "YY-MMM")</f>
        <v>18-Apr</v>
      </c>
      <c r="L88" s="11">
        <f>Order_Details[[#This Row],[Profit]]/Order_Details[[#This Row],[Amount]]</f>
        <v>0.11022727272727273</v>
      </c>
      <c r="M88" s="8">
        <f>YEAR(Order_Details[[#This Row],[Order Date]])</f>
        <v>2018</v>
      </c>
      <c r="N88" s="8">
        <f>ROUNDUP(MONTH(Order_Details[[#This Row],[Order Date]])/3, 0)</f>
        <v>2</v>
      </c>
    </row>
    <row r="89" spans="1:14">
      <c r="A89" s="1" t="s">
        <v>130</v>
      </c>
      <c r="B89" s="1">
        <v>154</v>
      </c>
      <c r="C89" s="1">
        <v>39</v>
      </c>
      <c r="D89" s="1">
        <v>3</v>
      </c>
      <c r="E89" s="1" t="s">
        <v>1076</v>
      </c>
      <c r="F89" s="1" t="s">
        <v>1103</v>
      </c>
      <c r="G89" s="7" t="str">
        <f>_xlfn.XLOOKUP(Order_Details[[#This Row],[Order ID]], List_of_orders[Order ID], List_of_orders[State])</f>
        <v>Maharashtra</v>
      </c>
      <c r="H89" s="10">
        <f>_xlfn.XLOOKUP(Order_Details[[#This Row],[Order ID]], List_of_orders[Order ID], List_of_orders[Order Date (Clean)])</f>
        <v>43216</v>
      </c>
      <c r="I89" s="7" t="str">
        <f>_xlfn.XLOOKUP(Order_Details[[#This Row],[Order ID]], List_of_orders[Order ID], List_of_orders[CustomerName])</f>
        <v>Parth</v>
      </c>
      <c r="J89" s="7" t="str">
        <f>_xlfn.XLOOKUP(Order_Details[[#This Row],[Order ID]], List_of_orders[Order ID], List_of_orders[City])</f>
        <v>Pune</v>
      </c>
      <c r="K89" s="8" t="str">
        <f>TEXT(Order_Details[[#This Row],[Order Date]], "YY-MMM")</f>
        <v>18-Apr</v>
      </c>
      <c r="L89" s="11">
        <f>Order_Details[[#This Row],[Profit]]/Order_Details[[#This Row],[Amount]]</f>
        <v>0.25324675324675322</v>
      </c>
      <c r="M89" s="8">
        <f>YEAR(Order_Details[[#This Row],[Order Date]])</f>
        <v>2018</v>
      </c>
      <c r="N89" s="8">
        <f>ROUNDUP(MONTH(Order_Details[[#This Row],[Order Date]])/3, 0)</f>
        <v>2</v>
      </c>
    </row>
    <row r="90" spans="1:14">
      <c r="A90" s="1" t="s">
        <v>130</v>
      </c>
      <c r="B90" s="1">
        <v>816</v>
      </c>
      <c r="C90" s="1">
        <v>-96</v>
      </c>
      <c r="D90" s="1">
        <v>3</v>
      </c>
      <c r="E90" s="1" t="s">
        <v>1077</v>
      </c>
      <c r="F90" s="1" t="s">
        <v>1114</v>
      </c>
      <c r="G90" s="7" t="str">
        <f>_xlfn.XLOOKUP(Order_Details[[#This Row],[Order ID]], List_of_orders[Order ID], List_of_orders[State])</f>
        <v>Maharashtra</v>
      </c>
      <c r="H90" s="10">
        <f>_xlfn.XLOOKUP(Order_Details[[#This Row],[Order ID]], List_of_orders[Order ID], List_of_orders[Order Date (Clean)])</f>
        <v>43216</v>
      </c>
      <c r="I90" s="7" t="str">
        <f>_xlfn.XLOOKUP(Order_Details[[#This Row],[Order ID]], List_of_orders[Order ID], List_of_orders[CustomerName])</f>
        <v>Parth</v>
      </c>
      <c r="J90" s="7" t="str">
        <f>_xlfn.XLOOKUP(Order_Details[[#This Row],[Order ID]], List_of_orders[Order ID], List_of_orders[City])</f>
        <v>Pune</v>
      </c>
      <c r="K90" s="8" t="str">
        <f>TEXT(Order_Details[[#This Row],[Order Date]], "YY-MMM")</f>
        <v>18-Apr</v>
      </c>
      <c r="L90" s="11">
        <f>Order_Details[[#This Row],[Profit]]/Order_Details[[#This Row],[Amount]]</f>
        <v>-0.11764705882352941</v>
      </c>
      <c r="M90" s="8">
        <f>YEAR(Order_Details[[#This Row],[Order Date]])</f>
        <v>2018</v>
      </c>
      <c r="N90" s="8">
        <f>ROUNDUP(MONTH(Order_Details[[#This Row],[Order Date]])/3, 0)</f>
        <v>2</v>
      </c>
    </row>
    <row r="91" spans="1:14">
      <c r="A91" s="1" t="s">
        <v>132</v>
      </c>
      <c r="B91" s="1">
        <v>1629</v>
      </c>
      <c r="C91" s="1">
        <v>-153</v>
      </c>
      <c r="D91" s="1">
        <v>3</v>
      </c>
      <c r="E91" s="1" t="s">
        <v>1077</v>
      </c>
      <c r="F91" s="1" t="s">
        <v>1105</v>
      </c>
      <c r="G91" s="7" t="str">
        <f>_xlfn.XLOOKUP(Order_Details[[#This Row],[Order ID]], List_of_orders[Order ID], List_of_orders[State])</f>
        <v>Madhya Pradesh</v>
      </c>
      <c r="H91" s="10">
        <f>_xlfn.XLOOKUP(Order_Details[[#This Row],[Order ID]], List_of_orders[Order ID], List_of_orders[Order Date (Clean)])</f>
        <v>43217</v>
      </c>
      <c r="I91" s="7" t="str">
        <f>_xlfn.XLOOKUP(Order_Details[[#This Row],[Order ID]], List_of_orders[Order ID], List_of_orders[CustomerName])</f>
        <v>Lisha</v>
      </c>
      <c r="J91" s="7" t="str">
        <f>_xlfn.XLOOKUP(Order_Details[[#This Row],[Order ID]], List_of_orders[Order ID], List_of_orders[City])</f>
        <v>Bhopal</v>
      </c>
      <c r="K91" s="8" t="str">
        <f>TEXT(Order_Details[[#This Row],[Order Date]], "YY-MMM")</f>
        <v>18-Apr</v>
      </c>
      <c r="L91" s="11">
        <f>Order_Details[[#This Row],[Profit]]/Order_Details[[#This Row],[Amount]]</f>
        <v>-9.3922651933701654E-2</v>
      </c>
      <c r="M91" s="8">
        <f>YEAR(Order_Details[[#This Row],[Order Date]])</f>
        <v>2018</v>
      </c>
      <c r="N91" s="8">
        <f>ROUNDUP(MONTH(Order_Details[[#This Row],[Order Date]])/3, 0)</f>
        <v>2</v>
      </c>
    </row>
    <row r="92" spans="1:14">
      <c r="A92" s="1" t="s">
        <v>135</v>
      </c>
      <c r="B92" s="1">
        <v>68</v>
      </c>
      <c r="C92" s="1">
        <v>-62</v>
      </c>
      <c r="D92" s="1">
        <v>2</v>
      </c>
      <c r="E92" s="1" t="s">
        <v>1076</v>
      </c>
      <c r="F92" s="1" t="s">
        <v>1107</v>
      </c>
      <c r="G92" s="7" t="str">
        <f>_xlfn.XLOOKUP(Order_Details[[#This Row],[Order ID]], List_of_orders[Order ID], List_of_orders[State])</f>
        <v>Rajasthan</v>
      </c>
      <c r="H92" s="10">
        <f>_xlfn.XLOOKUP(Order_Details[[#This Row],[Order ID]], List_of_orders[Order ID], List_of_orders[Order Date (Clean)])</f>
        <v>43217</v>
      </c>
      <c r="I92" s="7" t="str">
        <f>_xlfn.XLOOKUP(Order_Details[[#This Row],[Order ID]], List_of_orders[Order ID], List_of_orders[CustomerName])</f>
        <v>Paridhi</v>
      </c>
      <c r="J92" s="7" t="str">
        <f>_xlfn.XLOOKUP(Order_Details[[#This Row],[Order ID]], List_of_orders[Order ID], List_of_orders[City])</f>
        <v>Jaipur</v>
      </c>
      <c r="K92" s="8" t="str">
        <f>TEXT(Order_Details[[#This Row],[Order Date]], "YY-MMM")</f>
        <v>18-Apr</v>
      </c>
      <c r="L92" s="11">
        <f>Order_Details[[#This Row],[Profit]]/Order_Details[[#This Row],[Amount]]</f>
        <v>-0.91176470588235292</v>
      </c>
      <c r="M92" s="8">
        <f>YEAR(Order_Details[[#This Row],[Order Date]])</f>
        <v>2018</v>
      </c>
      <c r="N92" s="8">
        <f>ROUNDUP(MONTH(Order_Details[[#This Row],[Order Date]])/3, 0)</f>
        <v>2</v>
      </c>
    </row>
    <row r="93" spans="1:14">
      <c r="A93" s="1" t="s">
        <v>135</v>
      </c>
      <c r="B93" s="1">
        <v>314</v>
      </c>
      <c r="C93" s="1">
        <v>-239</v>
      </c>
      <c r="D93" s="1">
        <v>13</v>
      </c>
      <c r="E93" s="1" t="s">
        <v>1076</v>
      </c>
      <c r="F93" s="1" t="s">
        <v>1103</v>
      </c>
      <c r="G93" s="7" t="str">
        <f>_xlfn.XLOOKUP(Order_Details[[#This Row],[Order ID]], List_of_orders[Order ID], List_of_orders[State])</f>
        <v>Rajasthan</v>
      </c>
      <c r="H93" s="10">
        <f>_xlfn.XLOOKUP(Order_Details[[#This Row],[Order ID]], List_of_orders[Order ID], List_of_orders[Order Date (Clean)])</f>
        <v>43217</v>
      </c>
      <c r="I93" s="7" t="str">
        <f>_xlfn.XLOOKUP(Order_Details[[#This Row],[Order ID]], List_of_orders[Order ID], List_of_orders[CustomerName])</f>
        <v>Paridhi</v>
      </c>
      <c r="J93" s="7" t="str">
        <f>_xlfn.XLOOKUP(Order_Details[[#This Row],[Order ID]], List_of_orders[Order ID], List_of_orders[City])</f>
        <v>Jaipur</v>
      </c>
      <c r="K93" s="8" t="str">
        <f>TEXT(Order_Details[[#This Row],[Order Date]], "YY-MMM")</f>
        <v>18-Apr</v>
      </c>
      <c r="L93" s="11">
        <f>Order_Details[[#This Row],[Profit]]/Order_Details[[#This Row],[Amount]]</f>
        <v>-0.76114649681528668</v>
      </c>
      <c r="M93" s="8">
        <f>YEAR(Order_Details[[#This Row],[Order Date]])</f>
        <v>2018</v>
      </c>
      <c r="N93" s="8">
        <f>ROUNDUP(MONTH(Order_Details[[#This Row],[Order Date]])/3, 0)</f>
        <v>2</v>
      </c>
    </row>
    <row r="94" spans="1:14">
      <c r="A94" s="1" t="s">
        <v>135</v>
      </c>
      <c r="B94" s="1">
        <v>122</v>
      </c>
      <c r="C94" s="1">
        <v>-47</v>
      </c>
      <c r="D94" s="1">
        <v>4</v>
      </c>
      <c r="E94" s="1" t="s">
        <v>1076</v>
      </c>
      <c r="F94" s="1" t="s">
        <v>1106</v>
      </c>
      <c r="G94" s="7" t="str">
        <f>_xlfn.XLOOKUP(Order_Details[[#This Row],[Order ID]], List_of_orders[Order ID], List_of_orders[State])</f>
        <v>Rajasthan</v>
      </c>
      <c r="H94" s="10">
        <f>_xlfn.XLOOKUP(Order_Details[[#This Row],[Order ID]], List_of_orders[Order ID], List_of_orders[Order Date (Clean)])</f>
        <v>43217</v>
      </c>
      <c r="I94" s="7" t="str">
        <f>_xlfn.XLOOKUP(Order_Details[[#This Row],[Order ID]], List_of_orders[Order ID], List_of_orders[CustomerName])</f>
        <v>Paridhi</v>
      </c>
      <c r="J94" s="7" t="str">
        <f>_xlfn.XLOOKUP(Order_Details[[#This Row],[Order ID]], List_of_orders[Order ID], List_of_orders[City])</f>
        <v>Jaipur</v>
      </c>
      <c r="K94" s="8" t="str">
        <f>TEXT(Order_Details[[#This Row],[Order Date]], "YY-MMM")</f>
        <v>18-Apr</v>
      </c>
      <c r="L94" s="11">
        <f>Order_Details[[#This Row],[Profit]]/Order_Details[[#This Row],[Amount]]</f>
        <v>-0.38524590163934425</v>
      </c>
      <c r="M94" s="8">
        <f>YEAR(Order_Details[[#This Row],[Order Date]])</f>
        <v>2018</v>
      </c>
      <c r="N94" s="8">
        <f>ROUNDUP(MONTH(Order_Details[[#This Row],[Order Date]])/3, 0)</f>
        <v>2</v>
      </c>
    </row>
    <row r="95" spans="1:14">
      <c r="A95" s="1" t="s">
        <v>137</v>
      </c>
      <c r="B95" s="1">
        <v>22</v>
      </c>
      <c r="C95" s="1">
        <v>-6</v>
      </c>
      <c r="D95" s="1">
        <v>1</v>
      </c>
      <c r="E95" s="1" t="s">
        <v>1075</v>
      </c>
      <c r="F95" s="1" t="s">
        <v>1116</v>
      </c>
      <c r="G95" s="7" t="str">
        <f>_xlfn.XLOOKUP(Order_Details[[#This Row],[Order ID]], List_of_orders[Order ID], List_of_orders[State])</f>
        <v>West Bengal</v>
      </c>
      <c r="H95" s="10">
        <f>_xlfn.XLOOKUP(Order_Details[[#This Row],[Order ID]], List_of_orders[Order ID], List_of_orders[Order Date (Clean)])</f>
        <v>43217</v>
      </c>
      <c r="I95" s="7" t="str">
        <f>_xlfn.XLOOKUP(Order_Details[[#This Row],[Order ID]], List_of_orders[Order ID], List_of_orders[CustomerName])</f>
        <v>Parishi</v>
      </c>
      <c r="J95" s="7" t="str">
        <f>_xlfn.XLOOKUP(Order_Details[[#This Row],[Order ID]], List_of_orders[Order ID], List_of_orders[City])</f>
        <v>Kolkata</v>
      </c>
      <c r="K95" s="8" t="str">
        <f>TEXT(Order_Details[[#This Row],[Order Date]], "YY-MMM")</f>
        <v>18-Apr</v>
      </c>
      <c r="L95" s="11">
        <f>Order_Details[[#This Row],[Profit]]/Order_Details[[#This Row],[Amount]]</f>
        <v>-0.27272727272727271</v>
      </c>
      <c r="M95" s="8">
        <f>YEAR(Order_Details[[#This Row],[Order Date]])</f>
        <v>2018</v>
      </c>
      <c r="N95" s="8">
        <f>ROUNDUP(MONTH(Order_Details[[#This Row],[Order Date]])/3, 0)</f>
        <v>2</v>
      </c>
    </row>
    <row r="96" spans="1:14">
      <c r="A96" s="1" t="s">
        <v>139</v>
      </c>
      <c r="B96" s="1">
        <v>434</v>
      </c>
      <c r="C96" s="1">
        <v>26</v>
      </c>
      <c r="D96" s="1">
        <v>11</v>
      </c>
      <c r="E96" s="1" t="s">
        <v>1076</v>
      </c>
      <c r="F96" s="1" t="s">
        <v>1111</v>
      </c>
      <c r="G96" s="7" t="str">
        <f>_xlfn.XLOOKUP(Order_Details[[#This Row],[Order ID]], List_of_orders[Order ID], List_of_orders[State])</f>
        <v>Karnataka</v>
      </c>
      <c r="H96" s="10">
        <f>_xlfn.XLOOKUP(Order_Details[[#This Row],[Order ID]], List_of_orders[Order ID], List_of_orders[Order Date (Clean)])</f>
        <v>43218</v>
      </c>
      <c r="I96" s="7" t="str">
        <f>_xlfn.XLOOKUP(Order_Details[[#This Row],[Order ID]], List_of_orders[Order ID], List_of_orders[CustomerName])</f>
        <v>Ajay</v>
      </c>
      <c r="J96" s="7" t="str">
        <f>_xlfn.XLOOKUP(Order_Details[[#This Row],[Order ID]], List_of_orders[Order ID], List_of_orders[City])</f>
        <v>Bangalore</v>
      </c>
      <c r="K96" s="8" t="str">
        <f>TEXT(Order_Details[[#This Row],[Order Date]], "YY-MMM")</f>
        <v>18-Apr</v>
      </c>
      <c r="L96" s="11">
        <f>Order_Details[[#This Row],[Profit]]/Order_Details[[#This Row],[Amount]]</f>
        <v>5.9907834101382486E-2</v>
      </c>
      <c r="M96" s="8">
        <f>YEAR(Order_Details[[#This Row],[Order Date]])</f>
        <v>2018</v>
      </c>
      <c r="N96" s="8">
        <f>ROUNDUP(MONTH(Order_Details[[#This Row],[Order Date]])/3, 0)</f>
        <v>2</v>
      </c>
    </row>
    <row r="97" spans="1:14">
      <c r="A97" s="1" t="s">
        <v>142</v>
      </c>
      <c r="B97" s="1">
        <v>1061</v>
      </c>
      <c r="C97" s="1">
        <v>-36</v>
      </c>
      <c r="D97" s="1">
        <v>8</v>
      </c>
      <c r="E97" s="1" t="s">
        <v>1075</v>
      </c>
      <c r="F97" s="1" t="s">
        <v>1101</v>
      </c>
      <c r="G97" s="7" t="str">
        <f>_xlfn.XLOOKUP(Order_Details[[#This Row],[Order ID]], List_of_orders[Order ID], List_of_orders[State])</f>
        <v>Jammu and Kashmir</v>
      </c>
      <c r="H97" s="10">
        <f>_xlfn.XLOOKUP(Order_Details[[#This Row],[Order ID]], List_of_orders[Order ID], List_of_orders[Order Date (Clean)])</f>
        <v>43219</v>
      </c>
      <c r="I97" s="7" t="str">
        <f>_xlfn.XLOOKUP(Order_Details[[#This Row],[Order ID]], List_of_orders[Order ID], List_of_orders[CustomerName])</f>
        <v>Kirti</v>
      </c>
      <c r="J97" s="7" t="str">
        <f>_xlfn.XLOOKUP(Order_Details[[#This Row],[Order ID]], List_of_orders[Order ID], List_of_orders[City])</f>
        <v>Kashmir</v>
      </c>
      <c r="K97" s="8" t="str">
        <f>TEXT(Order_Details[[#This Row],[Order Date]], "YY-MMM")</f>
        <v>18-Apr</v>
      </c>
      <c r="L97" s="11">
        <f>Order_Details[[#This Row],[Profit]]/Order_Details[[#This Row],[Amount]]</f>
        <v>-3.3930254476908575E-2</v>
      </c>
      <c r="M97" s="8">
        <f>YEAR(Order_Details[[#This Row],[Order Date]])</f>
        <v>2018</v>
      </c>
      <c r="N97" s="8">
        <f>ROUNDUP(MONTH(Order_Details[[#This Row],[Order Date]])/3, 0)</f>
        <v>2</v>
      </c>
    </row>
    <row r="98" spans="1:14">
      <c r="A98" s="1" t="s">
        <v>142</v>
      </c>
      <c r="B98" s="1">
        <v>50</v>
      </c>
      <c r="C98" s="1">
        <v>-44</v>
      </c>
      <c r="D98" s="1">
        <v>2</v>
      </c>
      <c r="E98" s="1" t="s">
        <v>1076</v>
      </c>
      <c r="F98" s="1" t="s">
        <v>1103</v>
      </c>
      <c r="G98" s="7" t="str">
        <f>_xlfn.XLOOKUP(Order_Details[[#This Row],[Order ID]], List_of_orders[Order ID], List_of_orders[State])</f>
        <v>Jammu and Kashmir</v>
      </c>
      <c r="H98" s="10">
        <f>_xlfn.XLOOKUP(Order_Details[[#This Row],[Order ID]], List_of_orders[Order ID], List_of_orders[Order Date (Clean)])</f>
        <v>43219</v>
      </c>
      <c r="I98" s="7" t="str">
        <f>_xlfn.XLOOKUP(Order_Details[[#This Row],[Order ID]], List_of_orders[Order ID], List_of_orders[CustomerName])</f>
        <v>Kirti</v>
      </c>
      <c r="J98" s="7" t="str">
        <f>_xlfn.XLOOKUP(Order_Details[[#This Row],[Order ID]], List_of_orders[Order ID], List_of_orders[City])</f>
        <v>Kashmir</v>
      </c>
      <c r="K98" s="8" t="str">
        <f>TEXT(Order_Details[[#This Row],[Order Date]], "YY-MMM")</f>
        <v>18-Apr</v>
      </c>
      <c r="L98" s="11">
        <f>Order_Details[[#This Row],[Profit]]/Order_Details[[#This Row],[Amount]]</f>
        <v>-0.88</v>
      </c>
      <c r="M98" s="8">
        <f>YEAR(Order_Details[[#This Row],[Order Date]])</f>
        <v>2018</v>
      </c>
      <c r="N98" s="8">
        <f>ROUNDUP(MONTH(Order_Details[[#This Row],[Order Date]])/3, 0)</f>
        <v>2</v>
      </c>
    </row>
    <row r="99" spans="1:14">
      <c r="A99" s="1" t="s">
        <v>142</v>
      </c>
      <c r="B99" s="1">
        <v>37</v>
      </c>
      <c r="C99" s="1">
        <v>-23</v>
      </c>
      <c r="D99" s="1">
        <v>4</v>
      </c>
      <c r="E99" s="1" t="s">
        <v>1076</v>
      </c>
      <c r="F99" s="1" t="s">
        <v>1111</v>
      </c>
      <c r="G99" s="7" t="str">
        <f>_xlfn.XLOOKUP(Order_Details[[#This Row],[Order ID]], List_of_orders[Order ID], List_of_orders[State])</f>
        <v>Jammu and Kashmir</v>
      </c>
      <c r="H99" s="10">
        <f>_xlfn.XLOOKUP(Order_Details[[#This Row],[Order ID]], List_of_orders[Order ID], List_of_orders[Order Date (Clean)])</f>
        <v>43219</v>
      </c>
      <c r="I99" s="7" t="str">
        <f>_xlfn.XLOOKUP(Order_Details[[#This Row],[Order ID]], List_of_orders[Order ID], List_of_orders[CustomerName])</f>
        <v>Kirti</v>
      </c>
      <c r="J99" s="7" t="str">
        <f>_xlfn.XLOOKUP(Order_Details[[#This Row],[Order ID]], List_of_orders[Order ID], List_of_orders[City])</f>
        <v>Kashmir</v>
      </c>
      <c r="K99" s="8" t="str">
        <f>TEXT(Order_Details[[#This Row],[Order Date]], "YY-MMM")</f>
        <v>18-Apr</v>
      </c>
      <c r="L99" s="11">
        <f>Order_Details[[#This Row],[Profit]]/Order_Details[[#This Row],[Amount]]</f>
        <v>-0.6216216216216216</v>
      </c>
      <c r="M99" s="8">
        <f>YEAR(Order_Details[[#This Row],[Order Date]])</f>
        <v>2018</v>
      </c>
      <c r="N99" s="8">
        <f>ROUNDUP(MONTH(Order_Details[[#This Row],[Order Date]])/3, 0)</f>
        <v>2</v>
      </c>
    </row>
    <row r="100" spans="1:14">
      <c r="A100" s="1" t="s">
        <v>142</v>
      </c>
      <c r="B100" s="1">
        <v>263</v>
      </c>
      <c r="C100" s="1">
        <v>-63</v>
      </c>
      <c r="D100" s="1">
        <v>2</v>
      </c>
      <c r="E100" s="1" t="s">
        <v>1077</v>
      </c>
      <c r="F100" s="1" t="s">
        <v>1104</v>
      </c>
      <c r="G100" s="7" t="str">
        <f>_xlfn.XLOOKUP(Order_Details[[#This Row],[Order ID]], List_of_orders[Order ID], List_of_orders[State])</f>
        <v>Jammu and Kashmir</v>
      </c>
      <c r="H100" s="10">
        <f>_xlfn.XLOOKUP(Order_Details[[#This Row],[Order ID]], List_of_orders[Order ID], List_of_orders[Order Date (Clean)])</f>
        <v>43219</v>
      </c>
      <c r="I100" s="7" t="str">
        <f>_xlfn.XLOOKUP(Order_Details[[#This Row],[Order ID]], List_of_orders[Order ID], List_of_orders[CustomerName])</f>
        <v>Kirti</v>
      </c>
      <c r="J100" s="7" t="str">
        <f>_xlfn.XLOOKUP(Order_Details[[#This Row],[Order ID]], List_of_orders[Order ID], List_of_orders[City])</f>
        <v>Kashmir</v>
      </c>
      <c r="K100" s="8" t="str">
        <f>TEXT(Order_Details[[#This Row],[Order Date]], "YY-MMM")</f>
        <v>18-Apr</v>
      </c>
      <c r="L100" s="11">
        <f>Order_Details[[#This Row],[Profit]]/Order_Details[[#This Row],[Amount]]</f>
        <v>-0.23954372623574144</v>
      </c>
      <c r="M100" s="8">
        <f>YEAR(Order_Details[[#This Row],[Order Date]])</f>
        <v>2018</v>
      </c>
      <c r="N100" s="8">
        <f>ROUNDUP(MONTH(Order_Details[[#This Row],[Order Date]])/3, 0)</f>
        <v>2</v>
      </c>
    </row>
    <row r="101" spans="1:14">
      <c r="A101" s="1" t="s">
        <v>142</v>
      </c>
      <c r="B101" s="1">
        <v>36</v>
      </c>
      <c r="C101" s="1">
        <v>-7</v>
      </c>
      <c r="D101" s="1">
        <v>1</v>
      </c>
      <c r="E101" s="1" t="s">
        <v>1077</v>
      </c>
      <c r="F101" s="1" t="s">
        <v>1104</v>
      </c>
      <c r="G101" s="7" t="str">
        <f>_xlfn.XLOOKUP(Order_Details[[#This Row],[Order ID]], List_of_orders[Order ID], List_of_orders[State])</f>
        <v>Jammu and Kashmir</v>
      </c>
      <c r="H101" s="10">
        <f>_xlfn.XLOOKUP(Order_Details[[#This Row],[Order ID]], List_of_orders[Order ID], List_of_orders[Order Date (Clean)])</f>
        <v>43219</v>
      </c>
      <c r="I101" s="7" t="str">
        <f>_xlfn.XLOOKUP(Order_Details[[#This Row],[Order ID]], List_of_orders[Order ID], List_of_orders[CustomerName])</f>
        <v>Kirti</v>
      </c>
      <c r="J101" s="7" t="str">
        <f>_xlfn.XLOOKUP(Order_Details[[#This Row],[Order ID]], List_of_orders[Order ID], List_of_orders[City])</f>
        <v>Kashmir</v>
      </c>
      <c r="K101" s="8" t="str">
        <f>TEXT(Order_Details[[#This Row],[Order Date]], "YY-MMM")</f>
        <v>18-Apr</v>
      </c>
      <c r="L101" s="11">
        <f>Order_Details[[#This Row],[Profit]]/Order_Details[[#This Row],[Amount]]</f>
        <v>-0.19444444444444445</v>
      </c>
      <c r="M101" s="8">
        <f>YEAR(Order_Details[[#This Row],[Order Date]])</f>
        <v>2018</v>
      </c>
      <c r="N101" s="8">
        <f>ROUNDUP(MONTH(Order_Details[[#This Row],[Order Date]])/3, 0)</f>
        <v>2</v>
      </c>
    </row>
    <row r="102" spans="1:14">
      <c r="A102" s="1" t="s">
        <v>145</v>
      </c>
      <c r="B102" s="1">
        <v>76</v>
      </c>
      <c r="C102" s="1">
        <v>-92</v>
      </c>
      <c r="D102" s="1">
        <v>8</v>
      </c>
      <c r="E102" s="1" t="s">
        <v>1075</v>
      </c>
      <c r="F102" s="1" t="s">
        <v>1116</v>
      </c>
      <c r="G102" s="7" t="str">
        <f>_xlfn.XLOOKUP(Order_Details[[#This Row],[Order ID]], List_of_orders[Order ID], List_of_orders[State])</f>
        <v>Maharashtra</v>
      </c>
      <c r="H102" s="10">
        <f>_xlfn.XLOOKUP(Order_Details[[#This Row],[Order ID]], List_of_orders[Order ID], List_of_orders[Order Date (Clean)])</f>
        <v>43220</v>
      </c>
      <c r="I102" s="7" t="str">
        <f>_xlfn.XLOOKUP(Order_Details[[#This Row],[Order ID]], List_of_orders[Order ID], List_of_orders[CustomerName])</f>
        <v>Mayank</v>
      </c>
      <c r="J102" s="7" t="str">
        <f>_xlfn.XLOOKUP(Order_Details[[#This Row],[Order ID]], List_of_orders[Order ID], List_of_orders[City])</f>
        <v>Mumbai</v>
      </c>
      <c r="K102" s="8" t="str">
        <f>TEXT(Order_Details[[#This Row],[Order Date]], "YY-MMM")</f>
        <v>18-Apr</v>
      </c>
      <c r="L102" s="11">
        <f>Order_Details[[#This Row],[Profit]]/Order_Details[[#This Row],[Amount]]</f>
        <v>-1.2105263157894737</v>
      </c>
      <c r="M102" s="8">
        <f>YEAR(Order_Details[[#This Row],[Order Date]])</f>
        <v>2018</v>
      </c>
      <c r="N102" s="8">
        <f>ROUNDUP(MONTH(Order_Details[[#This Row],[Order Date]])/3, 0)</f>
        <v>2</v>
      </c>
    </row>
    <row r="103" spans="1:14">
      <c r="A103" s="1" t="s">
        <v>148</v>
      </c>
      <c r="B103" s="1">
        <v>273</v>
      </c>
      <c r="C103" s="1">
        <v>-87</v>
      </c>
      <c r="D103" s="1">
        <v>4</v>
      </c>
      <c r="E103" s="1" t="s">
        <v>1077</v>
      </c>
      <c r="F103" s="1" t="s">
        <v>1105</v>
      </c>
      <c r="G103" s="7" t="str">
        <f>_xlfn.XLOOKUP(Order_Details[[#This Row],[Order ID]], List_of_orders[Order ID], List_of_orders[State])</f>
        <v>Madhya Pradesh</v>
      </c>
      <c r="H103" s="10">
        <f>_xlfn.XLOOKUP(Order_Details[[#This Row],[Order ID]], List_of_orders[Order ID], List_of_orders[Order Date (Clean)])</f>
        <v>43221</v>
      </c>
      <c r="I103" s="7" t="str">
        <f>_xlfn.XLOOKUP(Order_Details[[#This Row],[Order ID]], List_of_orders[Order ID], List_of_orders[CustomerName])</f>
        <v>Yaanvi</v>
      </c>
      <c r="J103" s="7" t="str">
        <f>_xlfn.XLOOKUP(Order_Details[[#This Row],[Order ID]], List_of_orders[Order ID], List_of_orders[City])</f>
        <v>Indore</v>
      </c>
      <c r="K103" s="8" t="str">
        <f>TEXT(Order_Details[[#This Row],[Order Date]], "YY-MMM")</f>
        <v>18-May</v>
      </c>
      <c r="L103" s="11">
        <f>Order_Details[[#This Row],[Profit]]/Order_Details[[#This Row],[Amount]]</f>
        <v>-0.31868131868131866</v>
      </c>
      <c r="M103" s="8">
        <f>YEAR(Order_Details[[#This Row],[Order Date]])</f>
        <v>2018</v>
      </c>
      <c r="N103" s="8">
        <f>ROUNDUP(MONTH(Order_Details[[#This Row],[Order Date]])/3, 0)</f>
        <v>2</v>
      </c>
    </row>
    <row r="104" spans="1:14">
      <c r="A104" s="1" t="s">
        <v>148</v>
      </c>
      <c r="B104" s="1">
        <v>86</v>
      </c>
      <c r="C104" s="1">
        <v>0</v>
      </c>
      <c r="D104" s="1">
        <v>4</v>
      </c>
      <c r="E104" s="1" t="s">
        <v>1076</v>
      </c>
      <c r="F104" s="1" t="s">
        <v>1110</v>
      </c>
      <c r="G104" s="7" t="str">
        <f>_xlfn.XLOOKUP(Order_Details[[#This Row],[Order ID]], List_of_orders[Order ID], List_of_orders[State])</f>
        <v>Madhya Pradesh</v>
      </c>
      <c r="H104" s="10">
        <f>_xlfn.XLOOKUP(Order_Details[[#This Row],[Order ID]], List_of_orders[Order ID], List_of_orders[Order Date (Clean)])</f>
        <v>43221</v>
      </c>
      <c r="I104" s="7" t="str">
        <f>_xlfn.XLOOKUP(Order_Details[[#This Row],[Order ID]], List_of_orders[Order ID], List_of_orders[CustomerName])</f>
        <v>Yaanvi</v>
      </c>
      <c r="J104" s="7" t="str">
        <f>_xlfn.XLOOKUP(Order_Details[[#This Row],[Order ID]], List_of_orders[Order ID], List_of_orders[City])</f>
        <v>Indore</v>
      </c>
      <c r="K104" s="8" t="str">
        <f>TEXT(Order_Details[[#This Row],[Order Date]], "YY-MMM")</f>
        <v>18-May</v>
      </c>
      <c r="L104" s="11">
        <f>Order_Details[[#This Row],[Profit]]/Order_Details[[#This Row],[Amount]]</f>
        <v>0</v>
      </c>
      <c r="M104" s="8">
        <f>YEAR(Order_Details[[#This Row],[Order Date]])</f>
        <v>2018</v>
      </c>
      <c r="N104" s="8">
        <f>ROUNDUP(MONTH(Order_Details[[#This Row],[Order Date]])/3, 0)</f>
        <v>2</v>
      </c>
    </row>
    <row r="105" spans="1:14">
      <c r="A105" s="1" t="s">
        <v>148</v>
      </c>
      <c r="B105" s="1">
        <v>133</v>
      </c>
      <c r="C105" s="1">
        <v>-42</v>
      </c>
      <c r="D105" s="1">
        <v>1</v>
      </c>
      <c r="E105" s="1" t="s">
        <v>1077</v>
      </c>
      <c r="F105" s="1" t="s">
        <v>1114</v>
      </c>
      <c r="G105" s="7" t="str">
        <f>_xlfn.XLOOKUP(Order_Details[[#This Row],[Order ID]], List_of_orders[Order ID], List_of_orders[State])</f>
        <v>Madhya Pradesh</v>
      </c>
      <c r="H105" s="10">
        <f>_xlfn.XLOOKUP(Order_Details[[#This Row],[Order ID]], List_of_orders[Order ID], List_of_orders[Order Date (Clean)])</f>
        <v>43221</v>
      </c>
      <c r="I105" s="7" t="str">
        <f>_xlfn.XLOOKUP(Order_Details[[#This Row],[Order ID]], List_of_orders[Order ID], List_of_orders[CustomerName])</f>
        <v>Yaanvi</v>
      </c>
      <c r="J105" s="7" t="str">
        <f>_xlfn.XLOOKUP(Order_Details[[#This Row],[Order ID]], List_of_orders[Order ID], List_of_orders[City])</f>
        <v>Indore</v>
      </c>
      <c r="K105" s="8" t="str">
        <f>TEXT(Order_Details[[#This Row],[Order Date]], "YY-MMM")</f>
        <v>18-May</v>
      </c>
      <c r="L105" s="11">
        <f>Order_Details[[#This Row],[Profit]]/Order_Details[[#This Row],[Amount]]</f>
        <v>-0.31578947368421051</v>
      </c>
      <c r="M105" s="8">
        <f>YEAR(Order_Details[[#This Row],[Order Date]])</f>
        <v>2018</v>
      </c>
      <c r="N105" s="8">
        <f>ROUNDUP(MONTH(Order_Details[[#This Row],[Order Date]])/3, 0)</f>
        <v>2</v>
      </c>
    </row>
    <row r="106" spans="1:14">
      <c r="A106" s="1" t="s">
        <v>148</v>
      </c>
      <c r="B106" s="1">
        <v>183</v>
      </c>
      <c r="C106" s="1">
        <v>-66</v>
      </c>
      <c r="D106" s="1">
        <v>5</v>
      </c>
      <c r="E106" s="1" t="s">
        <v>1077</v>
      </c>
      <c r="F106" s="1" t="s">
        <v>1105</v>
      </c>
      <c r="G106" s="7" t="str">
        <f>_xlfn.XLOOKUP(Order_Details[[#This Row],[Order ID]], List_of_orders[Order ID], List_of_orders[State])</f>
        <v>Madhya Pradesh</v>
      </c>
      <c r="H106" s="10">
        <f>_xlfn.XLOOKUP(Order_Details[[#This Row],[Order ID]], List_of_orders[Order ID], List_of_orders[Order Date (Clean)])</f>
        <v>43221</v>
      </c>
      <c r="I106" s="7" t="str">
        <f>_xlfn.XLOOKUP(Order_Details[[#This Row],[Order ID]], List_of_orders[Order ID], List_of_orders[CustomerName])</f>
        <v>Yaanvi</v>
      </c>
      <c r="J106" s="7" t="str">
        <f>_xlfn.XLOOKUP(Order_Details[[#This Row],[Order ID]], List_of_orders[Order ID], List_of_orders[City])</f>
        <v>Indore</v>
      </c>
      <c r="K106" s="8" t="str">
        <f>TEXT(Order_Details[[#This Row],[Order Date]], "YY-MMM")</f>
        <v>18-May</v>
      </c>
      <c r="L106" s="11">
        <f>Order_Details[[#This Row],[Profit]]/Order_Details[[#This Row],[Amount]]</f>
        <v>-0.36065573770491804</v>
      </c>
      <c r="M106" s="8">
        <f>YEAR(Order_Details[[#This Row],[Order Date]])</f>
        <v>2018</v>
      </c>
      <c r="N106" s="8">
        <f>ROUNDUP(MONTH(Order_Details[[#This Row],[Order Date]])/3, 0)</f>
        <v>2</v>
      </c>
    </row>
    <row r="107" spans="1:14">
      <c r="A107" s="1" t="s">
        <v>150</v>
      </c>
      <c r="B107" s="1">
        <v>20</v>
      </c>
      <c r="C107" s="1">
        <v>-8</v>
      </c>
      <c r="D107" s="1">
        <v>2</v>
      </c>
      <c r="E107" s="1" t="s">
        <v>1076</v>
      </c>
      <c r="F107" s="1" t="s">
        <v>1106</v>
      </c>
      <c r="G107" s="7" t="str">
        <f>_xlfn.XLOOKUP(Order_Details[[#This Row],[Order ID]], List_of_orders[Order ID], List_of_orders[State])</f>
        <v>Bihar</v>
      </c>
      <c r="H107" s="10">
        <f>_xlfn.XLOOKUP(Order_Details[[#This Row],[Order ID]], List_of_orders[Order ID], List_of_orders[Order Date (Clean)])</f>
        <v>43221</v>
      </c>
      <c r="I107" s="7" t="str">
        <f>_xlfn.XLOOKUP(Order_Details[[#This Row],[Order ID]], List_of_orders[Order ID], List_of_orders[CustomerName])</f>
        <v>Sonal</v>
      </c>
      <c r="J107" s="7" t="str">
        <f>_xlfn.XLOOKUP(Order_Details[[#This Row],[Order ID]], List_of_orders[Order ID], List_of_orders[City])</f>
        <v>Patna</v>
      </c>
      <c r="K107" s="8" t="str">
        <f>TEXT(Order_Details[[#This Row],[Order Date]], "YY-MMM")</f>
        <v>18-May</v>
      </c>
      <c r="L107" s="11">
        <f>Order_Details[[#This Row],[Profit]]/Order_Details[[#This Row],[Amount]]</f>
        <v>-0.4</v>
      </c>
      <c r="M107" s="8">
        <f>YEAR(Order_Details[[#This Row],[Order Date]])</f>
        <v>2018</v>
      </c>
      <c r="N107" s="8">
        <f>ROUNDUP(MONTH(Order_Details[[#This Row],[Order Date]])/3, 0)</f>
        <v>2</v>
      </c>
    </row>
    <row r="108" spans="1:14">
      <c r="A108" s="1" t="s">
        <v>152</v>
      </c>
      <c r="B108" s="1">
        <v>42</v>
      </c>
      <c r="C108" s="1">
        <v>-6</v>
      </c>
      <c r="D108" s="1">
        <v>4</v>
      </c>
      <c r="E108" s="1" t="s">
        <v>1076</v>
      </c>
      <c r="F108" s="1" t="s">
        <v>1106</v>
      </c>
      <c r="G108" s="7" t="str">
        <f>_xlfn.XLOOKUP(Order_Details[[#This Row],[Order ID]], List_of_orders[Order ID], List_of_orders[State])</f>
        <v xml:space="preserve">Kerala </v>
      </c>
      <c r="H108" s="10">
        <f>_xlfn.XLOOKUP(Order_Details[[#This Row],[Order ID]], List_of_orders[Order ID], List_of_orders[Order Date (Clean)])</f>
        <v>43223</v>
      </c>
      <c r="I108" s="7" t="str">
        <f>_xlfn.XLOOKUP(Order_Details[[#This Row],[Order ID]], List_of_orders[Order ID], List_of_orders[CustomerName])</f>
        <v>Sharda</v>
      </c>
      <c r="J108" s="7" t="str">
        <f>_xlfn.XLOOKUP(Order_Details[[#This Row],[Order ID]], List_of_orders[Order ID], List_of_orders[City])</f>
        <v>Thiruvananthapuram</v>
      </c>
      <c r="K108" s="8" t="str">
        <f>TEXT(Order_Details[[#This Row],[Order Date]], "YY-MMM")</f>
        <v>18-May</v>
      </c>
      <c r="L108" s="11">
        <f>Order_Details[[#This Row],[Profit]]/Order_Details[[#This Row],[Amount]]</f>
        <v>-0.14285714285714285</v>
      </c>
      <c r="M108" s="8">
        <f>YEAR(Order_Details[[#This Row],[Order Date]])</f>
        <v>2018</v>
      </c>
      <c r="N108" s="8">
        <f>ROUNDUP(MONTH(Order_Details[[#This Row],[Order Date]])/3, 0)</f>
        <v>2</v>
      </c>
    </row>
    <row r="109" spans="1:14">
      <c r="A109" s="1" t="s">
        <v>154</v>
      </c>
      <c r="B109" s="1">
        <v>100</v>
      </c>
      <c r="C109" s="1">
        <v>-23</v>
      </c>
      <c r="D109" s="1">
        <v>1</v>
      </c>
      <c r="E109" s="1" t="s">
        <v>1077</v>
      </c>
      <c r="F109" s="1" t="s">
        <v>1105</v>
      </c>
      <c r="G109" s="7" t="str">
        <f>_xlfn.XLOOKUP(Order_Details[[#This Row],[Order ID]], List_of_orders[Order ID], List_of_orders[State])</f>
        <v>Punjab</v>
      </c>
      <c r="H109" s="10">
        <f>_xlfn.XLOOKUP(Order_Details[[#This Row],[Order ID]], List_of_orders[Order ID], List_of_orders[Order Date (Clean)])</f>
        <v>43224</v>
      </c>
      <c r="I109" s="7" t="str">
        <f>_xlfn.XLOOKUP(Order_Details[[#This Row],[Order ID]], List_of_orders[Order ID], List_of_orders[CustomerName])</f>
        <v>Aditya</v>
      </c>
      <c r="J109" s="7" t="str">
        <f>_xlfn.XLOOKUP(Order_Details[[#This Row],[Order ID]], List_of_orders[Order ID], List_of_orders[City])</f>
        <v>Chandigarh</v>
      </c>
      <c r="K109" s="8" t="str">
        <f>TEXT(Order_Details[[#This Row],[Order Date]], "YY-MMM")</f>
        <v>18-May</v>
      </c>
      <c r="L109" s="11">
        <f>Order_Details[[#This Row],[Profit]]/Order_Details[[#This Row],[Amount]]</f>
        <v>-0.23</v>
      </c>
      <c r="M109" s="8">
        <f>YEAR(Order_Details[[#This Row],[Order Date]])</f>
        <v>2018</v>
      </c>
      <c r="N109" s="8">
        <f>ROUNDUP(MONTH(Order_Details[[#This Row],[Order Date]])/3, 0)</f>
        <v>2</v>
      </c>
    </row>
    <row r="110" spans="1:14">
      <c r="A110" s="1" t="s">
        <v>154</v>
      </c>
      <c r="B110" s="1">
        <v>30</v>
      </c>
      <c r="C110" s="1">
        <v>13</v>
      </c>
      <c r="D110" s="1">
        <v>1</v>
      </c>
      <c r="E110" s="1" t="s">
        <v>1076</v>
      </c>
      <c r="F110" s="1" t="s">
        <v>1110</v>
      </c>
      <c r="G110" s="7" t="str">
        <f>_xlfn.XLOOKUP(Order_Details[[#This Row],[Order ID]], List_of_orders[Order ID], List_of_orders[State])</f>
        <v>Punjab</v>
      </c>
      <c r="H110" s="10">
        <f>_xlfn.XLOOKUP(Order_Details[[#This Row],[Order ID]], List_of_orders[Order ID], List_of_orders[Order Date (Clean)])</f>
        <v>43224</v>
      </c>
      <c r="I110" s="7" t="str">
        <f>_xlfn.XLOOKUP(Order_Details[[#This Row],[Order ID]], List_of_orders[Order ID], List_of_orders[CustomerName])</f>
        <v>Aditya</v>
      </c>
      <c r="J110" s="7" t="str">
        <f>_xlfn.XLOOKUP(Order_Details[[#This Row],[Order ID]], List_of_orders[Order ID], List_of_orders[City])</f>
        <v>Chandigarh</v>
      </c>
      <c r="K110" s="8" t="str">
        <f>TEXT(Order_Details[[#This Row],[Order Date]], "YY-MMM")</f>
        <v>18-May</v>
      </c>
      <c r="L110" s="11">
        <f>Order_Details[[#This Row],[Profit]]/Order_Details[[#This Row],[Amount]]</f>
        <v>0.43333333333333335</v>
      </c>
      <c r="M110" s="8">
        <f>YEAR(Order_Details[[#This Row],[Order Date]])</f>
        <v>2018</v>
      </c>
      <c r="N110" s="8">
        <f>ROUNDUP(MONTH(Order_Details[[#This Row],[Order Date]])/3, 0)</f>
        <v>2</v>
      </c>
    </row>
    <row r="111" spans="1:14">
      <c r="A111" s="1" t="s">
        <v>154</v>
      </c>
      <c r="B111" s="1">
        <v>55</v>
      </c>
      <c r="C111" s="1">
        <v>-26</v>
      </c>
      <c r="D111" s="1">
        <v>4</v>
      </c>
      <c r="E111" s="1" t="s">
        <v>1076</v>
      </c>
      <c r="F111" s="1" t="s">
        <v>1106</v>
      </c>
      <c r="G111" s="7" t="str">
        <f>_xlfn.XLOOKUP(Order_Details[[#This Row],[Order ID]], List_of_orders[Order ID], List_of_orders[State])</f>
        <v>Punjab</v>
      </c>
      <c r="H111" s="10">
        <f>_xlfn.XLOOKUP(Order_Details[[#This Row],[Order ID]], List_of_orders[Order ID], List_of_orders[Order Date (Clean)])</f>
        <v>43224</v>
      </c>
      <c r="I111" s="7" t="str">
        <f>_xlfn.XLOOKUP(Order_Details[[#This Row],[Order ID]], List_of_orders[Order ID], List_of_orders[CustomerName])</f>
        <v>Aditya</v>
      </c>
      <c r="J111" s="7" t="str">
        <f>_xlfn.XLOOKUP(Order_Details[[#This Row],[Order ID]], List_of_orders[Order ID], List_of_orders[City])</f>
        <v>Chandigarh</v>
      </c>
      <c r="K111" s="8" t="str">
        <f>TEXT(Order_Details[[#This Row],[Order Date]], "YY-MMM")</f>
        <v>18-May</v>
      </c>
      <c r="L111" s="11">
        <f>Order_Details[[#This Row],[Profit]]/Order_Details[[#This Row],[Amount]]</f>
        <v>-0.47272727272727272</v>
      </c>
      <c r="M111" s="8">
        <f>YEAR(Order_Details[[#This Row],[Order Date]])</f>
        <v>2018</v>
      </c>
      <c r="N111" s="8">
        <f>ROUNDUP(MONTH(Order_Details[[#This Row],[Order Date]])/3, 0)</f>
        <v>2</v>
      </c>
    </row>
    <row r="112" spans="1:14">
      <c r="A112" s="1" t="s">
        <v>154</v>
      </c>
      <c r="B112" s="1">
        <v>130</v>
      </c>
      <c r="C112" s="1">
        <v>-41</v>
      </c>
      <c r="D112" s="1">
        <v>4</v>
      </c>
      <c r="E112" s="1" t="s">
        <v>1076</v>
      </c>
      <c r="F112" s="1" t="s">
        <v>1106</v>
      </c>
      <c r="G112" s="7" t="str">
        <f>_xlfn.XLOOKUP(Order_Details[[#This Row],[Order ID]], List_of_orders[Order ID], List_of_orders[State])</f>
        <v>Punjab</v>
      </c>
      <c r="H112" s="10">
        <f>_xlfn.XLOOKUP(Order_Details[[#This Row],[Order ID]], List_of_orders[Order ID], List_of_orders[Order Date (Clean)])</f>
        <v>43224</v>
      </c>
      <c r="I112" s="7" t="str">
        <f>_xlfn.XLOOKUP(Order_Details[[#This Row],[Order ID]], List_of_orders[Order ID], List_of_orders[CustomerName])</f>
        <v>Aditya</v>
      </c>
      <c r="J112" s="7" t="str">
        <f>_xlfn.XLOOKUP(Order_Details[[#This Row],[Order ID]], List_of_orders[Order ID], List_of_orders[City])</f>
        <v>Chandigarh</v>
      </c>
      <c r="K112" s="8" t="str">
        <f>TEXT(Order_Details[[#This Row],[Order Date]], "YY-MMM")</f>
        <v>18-May</v>
      </c>
      <c r="L112" s="11">
        <f>Order_Details[[#This Row],[Profit]]/Order_Details[[#This Row],[Amount]]</f>
        <v>-0.31538461538461537</v>
      </c>
      <c r="M112" s="8">
        <f>YEAR(Order_Details[[#This Row],[Order Date]])</f>
        <v>2018</v>
      </c>
      <c r="N112" s="8">
        <f>ROUNDUP(MONTH(Order_Details[[#This Row],[Order Date]])/3, 0)</f>
        <v>2</v>
      </c>
    </row>
    <row r="113" spans="1:14">
      <c r="A113" s="1" t="s">
        <v>156</v>
      </c>
      <c r="B113" s="1">
        <v>27</v>
      </c>
      <c r="C113" s="1">
        <v>-25</v>
      </c>
      <c r="D113" s="1">
        <v>2</v>
      </c>
      <c r="E113" s="1" t="s">
        <v>1076</v>
      </c>
      <c r="F113" s="1" t="s">
        <v>1102</v>
      </c>
      <c r="G113" s="7" t="str">
        <f>_xlfn.XLOOKUP(Order_Details[[#This Row],[Order ID]], List_of_orders[Order ID], List_of_orders[State])</f>
        <v>Haryana</v>
      </c>
      <c r="H113" s="10">
        <f>_xlfn.XLOOKUP(Order_Details[[#This Row],[Order ID]], List_of_orders[Order ID], List_of_orders[Order Date (Clean)])</f>
        <v>43225</v>
      </c>
      <c r="I113" s="7" t="str">
        <f>_xlfn.XLOOKUP(Order_Details[[#This Row],[Order ID]], List_of_orders[Order ID], List_of_orders[CustomerName])</f>
        <v>Rachna</v>
      </c>
      <c r="J113" s="7" t="str">
        <f>_xlfn.XLOOKUP(Order_Details[[#This Row],[Order ID]], List_of_orders[Order ID], List_of_orders[City])</f>
        <v>Chandigarh</v>
      </c>
      <c r="K113" s="8" t="str">
        <f>TEXT(Order_Details[[#This Row],[Order Date]], "YY-MMM")</f>
        <v>18-May</v>
      </c>
      <c r="L113" s="11">
        <f>Order_Details[[#This Row],[Profit]]/Order_Details[[#This Row],[Amount]]</f>
        <v>-0.92592592592592593</v>
      </c>
      <c r="M113" s="8">
        <f>YEAR(Order_Details[[#This Row],[Order Date]])</f>
        <v>2018</v>
      </c>
      <c r="N113" s="8">
        <f>ROUNDUP(MONTH(Order_Details[[#This Row],[Order Date]])/3, 0)</f>
        <v>2</v>
      </c>
    </row>
    <row r="114" spans="1:14">
      <c r="A114" s="1" t="s">
        <v>158</v>
      </c>
      <c r="B114" s="1">
        <v>245</v>
      </c>
      <c r="C114" s="1">
        <v>-78</v>
      </c>
      <c r="D114" s="1">
        <v>2</v>
      </c>
      <c r="E114" s="1" t="s">
        <v>1077</v>
      </c>
      <c r="F114" s="1" t="s">
        <v>1114</v>
      </c>
      <c r="G114" s="7" t="str">
        <f>_xlfn.XLOOKUP(Order_Details[[#This Row],[Order ID]], List_of_orders[Order ID], List_of_orders[State])</f>
        <v>Maharashtra</v>
      </c>
      <c r="H114" s="10">
        <f>_xlfn.XLOOKUP(Order_Details[[#This Row],[Order ID]], List_of_orders[Order ID], List_of_orders[Order Date (Clean)])</f>
        <v>43226</v>
      </c>
      <c r="I114" s="7" t="str">
        <f>_xlfn.XLOOKUP(Order_Details[[#This Row],[Order ID]], List_of_orders[Order ID], List_of_orders[CustomerName])</f>
        <v>Chirag</v>
      </c>
      <c r="J114" s="7" t="str">
        <f>_xlfn.XLOOKUP(Order_Details[[#This Row],[Order ID]], List_of_orders[Order ID], List_of_orders[City])</f>
        <v>Mumbai</v>
      </c>
      <c r="K114" s="8" t="str">
        <f>TEXT(Order_Details[[#This Row],[Order Date]], "YY-MMM")</f>
        <v>18-May</v>
      </c>
      <c r="L114" s="11">
        <f>Order_Details[[#This Row],[Profit]]/Order_Details[[#This Row],[Amount]]</f>
        <v>-0.3183673469387755</v>
      </c>
      <c r="M114" s="8">
        <f>YEAR(Order_Details[[#This Row],[Order Date]])</f>
        <v>2018</v>
      </c>
      <c r="N114" s="8">
        <f>ROUNDUP(MONTH(Order_Details[[#This Row],[Order Date]])/3, 0)</f>
        <v>2</v>
      </c>
    </row>
    <row r="115" spans="1:14">
      <c r="A115" s="1" t="s">
        <v>158</v>
      </c>
      <c r="B115" s="1">
        <v>211</v>
      </c>
      <c r="C115" s="1">
        <v>-105</v>
      </c>
      <c r="D115" s="1">
        <v>2</v>
      </c>
      <c r="E115" s="1" t="s">
        <v>1076</v>
      </c>
      <c r="F115" s="1" t="s">
        <v>1106</v>
      </c>
      <c r="G115" s="7" t="str">
        <f>_xlfn.XLOOKUP(Order_Details[[#This Row],[Order ID]], List_of_orders[Order ID], List_of_orders[State])</f>
        <v>Maharashtra</v>
      </c>
      <c r="H115" s="10">
        <f>_xlfn.XLOOKUP(Order_Details[[#This Row],[Order ID]], List_of_orders[Order ID], List_of_orders[Order Date (Clean)])</f>
        <v>43226</v>
      </c>
      <c r="I115" s="7" t="str">
        <f>_xlfn.XLOOKUP(Order_Details[[#This Row],[Order ID]], List_of_orders[Order ID], List_of_orders[CustomerName])</f>
        <v>Chirag</v>
      </c>
      <c r="J115" s="7" t="str">
        <f>_xlfn.XLOOKUP(Order_Details[[#This Row],[Order ID]], List_of_orders[Order ID], List_of_orders[City])</f>
        <v>Mumbai</v>
      </c>
      <c r="K115" s="8" t="str">
        <f>TEXT(Order_Details[[#This Row],[Order Date]], "YY-MMM")</f>
        <v>18-May</v>
      </c>
      <c r="L115" s="11">
        <f>Order_Details[[#This Row],[Profit]]/Order_Details[[#This Row],[Amount]]</f>
        <v>-0.49763033175355448</v>
      </c>
      <c r="M115" s="8">
        <f>YEAR(Order_Details[[#This Row],[Order Date]])</f>
        <v>2018</v>
      </c>
      <c r="N115" s="8">
        <f>ROUNDUP(MONTH(Order_Details[[#This Row],[Order Date]])/3, 0)</f>
        <v>2</v>
      </c>
    </row>
    <row r="116" spans="1:14">
      <c r="A116" s="1" t="s">
        <v>158</v>
      </c>
      <c r="B116" s="1">
        <v>31</v>
      </c>
      <c r="C116" s="1">
        <v>-2</v>
      </c>
      <c r="D116" s="1">
        <v>2</v>
      </c>
      <c r="E116" s="1" t="s">
        <v>1076</v>
      </c>
      <c r="F116" s="1" t="s">
        <v>1106</v>
      </c>
      <c r="G116" s="7" t="str">
        <f>_xlfn.XLOOKUP(Order_Details[[#This Row],[Order ID]], List_of_orders[Order ID], List_of_orders[State])</f>
        <v>Maharashtra</v>
      </c>
      <c r="H116" s="10">
        <f>_xlfn.XLOOKUP(Order_Details[[#This Row],[Order ID]], List_of_orders[Order ID], List_of_orders[Order Date (Clean)])</f>
        <v>43226</v>
      </c>
      <c r="I116" s="7" t="str">
        <f>_xlfn.XLOOKUP(Order_Details[[#This Row],[Order ID]], List_of_orders[Order ID], List_of_orders[CustomerName])</f>
        <v>Chirag</v>
      </c>
      <c r="J116" s="7" t="str">
        <f>_xlfn.XLOOKUP(Order_Details[[#This Row],[Order ID]], List_of_orders[Order ID], List_of_orders[City])</f>
        <v>Mumbai</v>
      </c>
      <c r="K116" s="8" t="str">
        <f>TEXT(Order_Details[[#This Row],[Order Date]], "YY-MMM")</f>
        <v>18-May</v>
      </c>
      <c r="L116" s="11">
        <f>Order_Details[[#This Row],[Profit]]/Order_Details[[#This Row],[Amount]]</f>
        <v>-6.4516129032258063E-2</v>
      </c>
      <c r="M116" s="8">
        <f>YEAR(Order_Details[[#This Row],[Order Date]])</f>
        <v>2018</v>
      </c>
      <c r="N116" s="8">
        <f>ROUNDUP(MONTH(Order_Details[[#This Row],[Order Date]])/3, 0)</f>
        <v>2</v>
      </c>
    </row>
    <row r="117" spans="1:14">
      <c r="A117" s="1" t="s">
        <v>158</v>
      </c>
      <c r="B117" s="1">
        <v>28</v>
      </c>
      <c r="C117" s="1">
        <v>-26</v>
      </c>
      <c r="D117" s="1">
        <v>2</v>
      </c>
      <c r="E117" s="1" t="s">
        <v>1076</v>
      </c>
      <c r="F117" s="1" t="s">
        <v>1102</v>
      </c>
      <c r="G117" s="7" t="str">
        <f>_xlfn.XLOOKUP(Order_Details[[#This Row],[Order ID]], List_of_orders[Order ID], List_of_orders[State])</f>
        <v>Maharashtra</v>
      </c>
      <c r="H117" s="10">
        <f>_xlfn.XLOOKUP(Order_Details[[#This Row],[Order ID]], List_of_orders[Order ID], List_of_orders[Order Date (Clean)])</f>
        <v>43226</v>
      </c>
      <c r="I117" s="7" t="str">
        <f>_xlfn.XLOOKUP(Order_Details[[#This Row],[Order ID]], List_of_orders[Order ID], List_of_orders[CustomerName])</f>
        <v>Chirag</v>
      </c>
      <c r="J117" s="7" t="str">
        <f>_xlfn.XLOOKUP(Order_Details[[#This Row],[Order ID]], List_of_orders[Order ID], List_of_orders[City])</f>
        <v>Mumbai</v>
      </c>
      <c r="K117" s="8" t="str">
        <f>TEXT(Order_Details[[#This Row],[Order Date]], "YY-MMM")</f>
        <v>18-May</v>
      </c>
      <c r="L117" s="11">
        <f>Order_Details[[#This Row],[Profit]]/Order_Details[[#This Row],[Amount]]</f>
        <v>-0.9285714285714286</v>
      </c>
      <c r="M117" s="8">
        <f>YEAR(Order_Details[[#This Row],[Order Date]])</f>
        <v>2018</v>
      </c>
      <c r="N117" s="8">
        <f>ROUNDUP(MONTH(Order_Details[[#This Row],[Order Date]])/3, 0)</f>
        <v>2</v>
      </c>
    </row>
    <row r="118" spans="1:14">
      <c r="A118" s="1" t="s">
        <v>158</v>
      </c>
      <c r="B118" s="1">
        <v>512</v>
      </c>
      <c r="C118" s="1">
        <v>-225</v>
      </c>
      <c r="D118" s="1">
        <v>5</v>
      </c>
      <c r="E118" s="1" t="s">
        <v>1076</v>
      </c>
      <c r="F118" s="1" t="s">
        <v>1106</v>
      </c>
      <c r="G118" s="7" t="str">
        <f>_xlfn.XLOOKUP(Order_Details[[#This Row],[Order ID]], List_of_orders[Order ID], List_of_orders[State])</f>
        <v>Maharashtra</v>
      </c>
      <c r="H118" s="10">
        <f>_xlfn.XLOOKUP(Order_Details[[#This Row],[Order ID]], List_of_orders[Order ID], List_of_orders[Order Date (Clean)])</f>
        <v>43226</v>
      </c>
      <c r="I118" s="7" t="str">
        <f>_xlfn.XLOOKUP(Order_Details[[#This Row],[Order ID]], List_of_orders[Order ID], List_of_orders[CustomerName])</f>
        <v>Chirag</v>
      </c>
      <c r="J118" s="7" t="str">
        <f>_xlfn.XLOOKUP(Order_Details[[#This Row],[Order ID]], List_of_orders[Order ID], List_of_orders[City])</f>
        <v>Mumbai</v>
      </c>
      <c r="K118" s="8" t="str">
        <f>TEXT(Order_Details[[#This Row],[Order Date]], "YY-MMM")</f>
        <v>18-May</v>
      </c>
      <c r="L118" s="11">
        <f>Order_Details[[#This Row],[Profit]]/Order_Details[[#This Row],[Amount]]</f>
        <v>-0.439453125</v>
      </c>
      <c r="M118" s="8">
        <f>YEAR(Order_Details[[#This Row],[Order Date]])</f>
        <v>2018</v>
      </c>
      <c r="N118" s="8">
        <f>ROUNDUP(MONTH(Order_Details[[#This Row],[Order Date]])/3, 0)</f>
        <v>2</v>
      </c>
    </row>
    <row r="119" spans="1:14">
      <c r="A119" s="1" t="s">
        <v>158</v>
      </c>
      <c r="B119" s="1">
        <v>925</v>
      </c>
      <c r="C119" s="1">
        <v>-447</v>
      </c>
      <c r="D119" s="1">
        <v>5</v>
      </c>
      <c r="E119" s="1" t="s">
        <v>1077</v>
      </c>
      <c r="F119" s="1" t="s">
        <v>1104</v>
      </c>
      <c r="G119" s="7" t="str">
        <f>_xlfn.XLOOKUP(Order_Details[[#This Row],[Order ID]], List_of_orders[Order ID], List_of_orders[State])</f>
        <v>Maharashtra</v>
      </c>
      <c r="H119" s="10">
        <f>_xlfn.XLOOKUP(Order_Details[[#This Row],[Order ID]], List_of_orders[Order ID], List_of_orders[Order Date (Clean)])</f>
        <v>43226</v>
      </c>
      <c r="I119" s="7" t="str">
        <f>_xlfn.XLOOKUP(Order_Details[[#This Row],[Order ID]], List_of_orders[Order ID], List_of_orders[CustomerName])</f>
        <v>Chirag</v>
      </c>
      <c r="J119" s="7" t="str">
        <f>_xlfn.XLOOKUP(Order_Details[[#This Row],[Order ID]], List_of_orders[Order ID], List_of_orders[City])</f>
        <v>Mumbai</v>
      </c>
      <c r="K119" s="8" t="str">
        <f>TEXT(Order_Details[[#This Row],[Order Date]], "YY-MMM")</f>
        <v>18-May</v>
      </c>
      <c r="L119" s="11">
        <f>Order_Details[[#This Row],[Profit]]/Order_Details[[#This Row],[Amount]]</f>
        <v>-0.48324324324324325</v>
      </c>
      <c r="M119" s="8">
        <f>YEAR(Order_Details[[#This Row],[Order Date]])</f>
        <v>2018</v>
      </c>
      <c r="N119" s="8">
        <f>ROUNDUP(MONTH(Order_Details[[#This Row],[Order Date]])/3, 0)</f>
        <v>2</v>
      </c>
    </row>
    <row r="120" spans="1:14">
      <c r="A120" s="1" t="s">
        <v>158</v>
      </c>
      <c r="B120" s="1">
        <v>238</v>
      </c>
      <c r="C120" s="1">
        <v>20</v>
      </c>
      <c r="D120" s="1">
        <v>2</v>
      </c>
      <c r="E120" s="1" t="s">
        <v>1076</v>
      </c>
      <c r="F120" s="1" t="s">
        <v>1106</v>
      </c>
      <c r="G120" s="7" t="str">
        <f>_xlfn.XLOOKUP(Order_Details[[#This Row],[Order ID]], List_of_orders[Order ID], List_of_orders[State])</f>
        <v>Maharashtra</v>
      </c>
      <c r="H120" s="10">
        <f>_xlfn.XLOOKUP(Order_Details[[#This Row],[Order ID]], List_of_orders[Order ID], List_of_orders[Order Date (Clean)])</f>
        <v>43226</v>
      </c>
      <c r="I120" s="7" t="str">
        <f>_xlfn.XLOOKUP(Order_Details[[#This Row],[Order ID]], List_of_orders[Order ID], List_of_orders[CustomerName])</f>
        <v>Chirag</v>
      </c>
      <c r="J120" s="7" t="str">
        <f>_xlfn.XLOOKUP(Order_Details[[#This Row],[Order ID]], List_of_orders[Order ID], List_of_orders[City])</f>
        <v>Mumbai</v>
      </c>
      <c r="K120" s="8" t="str">
        <f>TEXT(Order_Details[[#This Row],[Order Date]], "YY-MMM")</f>
        <v>18-May</v>
      </c>
      <c r="L120" s="11">
        <f>Order_Details[[#This Row],[Profit]]/Order_Details[[#This Row],[Amount]]</f>
        <v>8.4033613445378158E-2</v>
      </c>
      <c r="M120" s="8">
        <f>YEAR(Order_Details[[#This Row],[Order Date]])</f>
        <v>2018</v>
      </c>
      <c r="N120" s="8">
        <f>ROUNDUP(MONTH(Order_Details[[#This Row],[Order Date]])/3, 0)</f>
        <v>2</v>
      </c>
    </row>
    <row r="121" spans="1:14">
      <c r="A121" s="1" t="s">
        <v>158</v>
      </c>
      <c r="B121" s="1">
        <v>351</v>
      </c>
      <c r="C121" s="1">
        <v>-47</v>
      </c>
      <c r="D121" s="1">
        <v>8</v>
      </c>
      <c r="E121" s="1" t="s">
        <v>1077</v>
      </c>
      <c r="F121" s="1" t="s">
        <v>1105</v>
      </c>
      <c r="G121" s="7" t="str">
        <f>_xlfn.XLOOKUP(Order_Details[[#This Row],[Order ID]], List_of_orders[Order ID], List_of_orders[State])</f>
        <v>Maharashtra</v>
      </c>
      <c r="H121" s="10">
        <f>_xlfn.XLOOKUP(Order_Details[[#This Row],[Order ID]], List_of_orders[Order ID], List_of_orders[Order Date (Clean)])</f>
        <v>43226</v>
      </c>
      <c r="I121" s="7" t="str">
        <f>_xlfn.XLOOKUP(Order_Details[[#This Row],[Order ID]], List_of_orders[Order ID], List_of_orders[CustomerName])</f>
        <v>Chirag</v>
      </c>
      <c r="J121" s="7" t="str">
        <f>_xlfn.XLOOKUP(Order_Details[[#This Row],[Order ID]], List_of_orders[Order ID], List_of_orders[City])</f>
        <v>Mumbai</v>
      </c>
      <c r="K121" s="8" t="str">
        <f>TEXT(Order_Details[[#This Row],[Order Date]], "YY-MMM")</f>
        <v>18-May</v>
      </c>
      <c r="L121" s="11">
        <f>Order_Details[[#This Row],[Profit]]/Order_Details[[#This Row],[Amount]]</f>
        <v>-0.13390313390313391</v>
      </c>
      <c r="M121" s="8">
        <f>YEAR(Order_Details[[#This Row],[Order Date]])</f>
        <v>2018</v>
      </c>
      <c r="N121" s="8">
        <f>ROUNDUP(MONTH(Order_Details[[#This Row],[Order Date]])/3, 0)</f>
        <v>2</v>
      </c>
    </row>
    <row r="122" spans="1:14">
      <c r="A122" s="1" t="s">
        <v>158</v>
      </c>
      <c r="B122" s="1">
        <v>269</v>
      </c>
      <c r="C122" s="1">
        <v>111</v>
      </c>
      <c r="D122" s="1">
        <v>3</v>
      </c>
      <c r="E122" s="1" t="s">
        <v>1076</v>
      </c>
      <c r="F122" s="1" t="s">
        <v>1107</v>
      </c>
      <c r="G122" s="7" t="str">
        <f>_xlfn.XLOOKUP(Order_Details[[#This Row],[Order ID]], List_of_orders[Order ID], List_of_orders[State])</f>
        <v>Maharashtra</v>
      </c>
      <c r="H122" s="10">
        <f>_xlfn.XLOOKUP(Order_Details[[#This Row],[Order ID]], List_of_orders[Order ID], List_of_orders[Order Date (Clean)])</f>
        <v>43226</v>
      </c>
      <c r="I122" s="7" t="str">
        <f>_xlfn.XLOOKUP(Order_Details[[#This Row],[Order ID]], List_of_orders[Order ID], List_of_orders[CustomerName])</f>
        <v>Chirag</v>
      </c>
      <c r="J122" s="7" t="str">
        <f>_xlfn.XLOOKUP(Order_Details[[#This Row],[Order ID]], List_of_orders[Order ID], List_of_orders[City])</f>
        <v>Mumbai</v>
      </c>
      <c r="K122" s="8" t="str">
        <f>TEXT(Order_Details[[#This Row],[Order Date]], "YY-MMM")</f>
        <v>18-May</v>
      </c>
      <c r="L122" s="11">
        <f>Order_Details[[#This Row],[Profit]]/Order_Details[[#This Row],[Amount]]</f>
        <v>0.41263940520446096</v>
      </c>
      <c r="M122" s="8">
        <f>YEAR(Order_Details[[#This Row],[Order Date]])</f>
        <v>2018</v>
      </c>
      <c r="N122" s="8">
        <f>ROUNDUP(MONTH(Order_Details[[#This Row],[Order Date]])/3, 0)</f>
        <v>2</v>
      </c>
    </row>
    <row r="123" spans="1:14">
      <c r="A123" s="1" t="s">
        <v>160</v>
      </c>
      <c r="B123" s="1">
        <v>200</v>
      </c>
      <c r="C123" s="1">
        <v>-60</v>
      </c>
      <c r="D123" s="1">
        <v>4</v>
      </c>
      <c r="E123" s="1" t="s">
        <v>1075</v>
      </c>
      <c r="F123" s="1" t="s">
        <v>1101</v>
      </c>
      <c r="G123" s="7" t="str">
        <f>_xlfn.XLOOKUP(Order_Details[[#This Row],[Order ID]], List_of_orders[Order ID], List_of_orders[State])</f>
        <v>Madhya Pradesh</v>
      </c>
      <c r="H123" s="10">
        <f>_xlfn.XLOOKUP(Order_Details[[#This Row],[Order ID]], List_of_orders[Order ID], List_of_orders[Order Date (Clean)])</f>
        <v>43227</v>
      </c>
      <c r="I123" s="7" t="str">
        <f>_xlfn.XLOOKUP(Order_Details[[#This Row],[Order ID]], List_of_orders[Order ID], List_of_orders[CustomerName])</f>
        <v>Anurag</v>
      </c>
      <c r="J123" s="7" t="str">
        <f>_xlfn.XLOOKUP(Order_Details[[#This Row],[Order ID]], List_of_orders[Order ID], List_of_orders[City])</f>
        <v>Indore</v>
      </c>
      <c r="K123" s="8" t="str">
        <f>TEXT(Order_Details[[#This Row],[Order Date]], "YY-MMM")</f>
        <v>18-May</v>
      </c>
      <c r="L123" s="11">
        <f>Order_Details[[#This Row],[Profit]]/Order_Details[[#This Row],[Amount]]</f>
        <v>-0.3</v>
      </c>
      <c r="M123" s="8">
        <f>YEAR(Order_Details[[#This Row],[Order Date]])</f>
        <v>2018</v>
      </c>
      <c r="N123" s="8">
        <f>ROUNDUP(MONTH(Order_Details[[#This Row],[Order Date]])/3, 0)</f>
        <v>2</v>
      </c>
    </row>
    <row r="124" spans="1:14">
      <c r="A124" s="1" t="s">
        <v>160</v>
      </c>
      <c r="B124" s="1">
        <v>44</v>
      </c>
      <c r="C124" s="1">
        <v>-8</v>
      </c>
      <c r="D124" s="1">
        <v>3</v>
      </c>
      <c r="E124" s="1" t="s">
        <v>1076</v>
      </c>
      <c r="F124" s="1" t="s">
        <v>1102</v>
      </c>
      <c r="G124" s="7" t="str">
        <f>_xlfn.XLOOKUP(Order_Details[[#This Row],[Order ID]], List_of_orders[Order ID], List_of_orders[State])</f>
        <v>Madhya Pradesh</v>
      </c>
      <c r="H124" s="10">
        <f>_xlfn.XLOOKUP(Order_Details[[#This Row],[Order ID]], List_of_orders[Order ID], List_of_orders[Order Date (Clean)])</f>
        <v>43227</v>
      </c>
      <c r="I124" s="7" t="str">
        <f>_xlfn.XLOOKUP(Order_Details[[#This Row],[Order ID]], List_of_orders[Order ID], List_of_orders[CustomerName])</f>
        <v>Anurag</v>
      </c>
      <c r="J124" s="7" t="str">
        <f>_xlfn.XLOOKUP(Order_Details[[#This Row],[Order ID]], List_of_orders[Order ID], List_of_orders[City])</f>
        <v>Indore</v>
      </c>
      <c r="K124" s="8" t="str">
        <f>TEXT(Order_Details[[#This Row],[Order Date]], "YY-MMM")</f>
        <v>18-May</v>
      </c>
      <c r="L124" s="11">
        <f>Order_Details[[#This Row],[Profit]]/Order_Details[[#This Row],[Amount]]</f>
        <v>-0.18181818181818182</v>
      </c>
      <c r="M124" s="8">
        <f>YEAR(Order_Details[[#This Row],[Order Date]])</f>
        <v>2018</v>
      </c>
      <c r="N124" s="8">
        <f>ROUNDUP(MONTH(Order_Details[[#This Row],[Order Date]])/3, 0)</f>
        <v>2</v>
      </c>
    </row>
    <row r="125" spans="1:14">
      <c r="A125" s="1" t="s">
        <v>160</v>
      </c>
      <c r="B125" s="1">
        <v>7</v>
      </c>
      <c r="C125" s="1">
        <v>0</v>
      </c>
      <c r="D125" s="1">
        <v>1</v>
      </c>
      <c r="E125" s="1" t="s">
        <v>1076</v>
      </c>
      <c r="F125" s="1" t="s">
        <v>1112</v>
      </c>
      <c r="G125" s="7" t="str">
        <f>_xlfn.XLOOKUP(Order_Details[[#This Row],[Order ID]], List_of_orders[Order ID], List_of_orders[State])</f>
        <v>Madhya Pradesh</v>
      </c>
      <c r="H125" s="10">
        <f>_xlfn.XLOOKUP(Order_Details[[#This Row],[Order ID]], List_of_orders[Order ID], List_of_orders[Order Date (Clean)])</f>
        <v>43227</v>
      </c>
      <c r="I125" s="7" t="str">
        <f>_xlfn.XLOOKUP(Order_Details[[#This Row],[Order ID]], List_of_orders[Order ID], List_of_orders[CustomerName])</f>
        <v>Anurag</v>
      </c>
      <c r="J125" s="7" t="str">
        <f>_xlfn.XLOOKUP(Order_Details[[#This Row],[Order ID]], List_of_orders[Order ID], List_of_orders[City])</f>
        <v>Indore</v>
      </c>
      <c r="K125" s="8" t="str">
        <f>TEXT(Order_Details[[#This Row],[Order Date]], "YY-MMM")</f>
        <v>18-May</v>
      </c>
      <c r="L125" s="11">
        <f>Order_Details[[#This Row],[Profit]]/Order_Details[[#This Row],[Amount]]</f>
        <v>0</v>
      </c>
      <c r="M125" s="8">
        <f>YEAR(Order_Details[[#This Row],[Order Date]])</f>
        <v>2018</v>
      </c>
      <c r="N125" s="8">
        <f>ROUNDUP(MONTH(Order_Details[[#This Row],[Order Date]])/3, 0)</f>
        <v>2</v>
      </c>
    </row>
    <row r="126" spans="1:14">
      <c r="A126" s="1" t="s">
        <v>160</v>
      </c>
      <c r="B126" s="1">
        <v>11</v>
      </c>
      <c r="C126" s="1">
        <v>-4</v>
      </c>
      <c r="D126" s="1">
        <v>2</v>
      </c>
      <c r="E126" s="1" t="s">
        <v>1076</v>
      </c>
      <c r="F126" s="1" t="s">
        <v>1117</v>
      </c>
      <c r="G126" s="7" t="str">
        <f>_xlfn.XLOOKUP(Order_Details[[#This Row],[Order ID]], List_of_orders[Order ID], List_of_orders[State])</f>
        <v>Madhya Pradesh</v>
      </c>
      <c r="H126" s="10">
        <f>_xlfn.XLOOKUP(Order_Details[[#This Row],[Order ID]], List_of_orders[Order ID], List_of_orders[Order Date (Clean)])</f>
        <v>43227</v>
      </c>
      <c r="I126" s="7" t="str">
        <f>_xlfn.XLOOKUP(Order_Details[[#This Row],[Order ID]], List_of_orders[Order ID], List_of_orders[CustomerName])</f>
        <v>Anurag</v>
      </c>
      <c r="J126" s="7" t="str">
        <f>_xlfn.XLOOKUP(Order_Details[[#This Row],[Order ID]], List_of_orders[Order ID], List_of_orders[City])</f>
        <v>Indore</v>
      </c>
      <c r="K126" s="8" t="str">
        <f>TEXT(Order_Details[[#This Row],[Order Date]], "YY-MMM")</f>
        <v>18-May</v>
      </c>
      <c r="L126" s="11">
        <f>Order_Details[[#This Row],[Profit]]/Order_Details[[#This Row],[Amount]]</f>
        <v>-0.36363636363636365</v>
      </c>
      <c r="M126" s="8">
        <f>YEAR(Order_Details[[#This Row],[Order Date]])</f>
        <v>2018</v>
      </c>
      <c r="N126" s="8">
        <f>ROUNDUP(MONTH(Order_Details[[#This Row],[Order Date]])/3, 0)</f>
        <v>2</v>
      </c>
    </row>
    <row r="127" spans="1:14">
      <c r="A127" s="1" t="s">
        <v>160</v>
      </c>
      <c r="B127" s="1">
        <v>16</v>
      </c>
      <c r="C127" s="1">
        <v>-10</v>
      </c>
      <c r="D127" s="1">
        <v>2</v>
      </c>
      <c r="E127" s="1" t="s">
        <v>1076</v>
      </c>
      <c r="F127" s="1" t="s">
        <v>1110</v>
      </c>
      <c r="G127" s="7" t="str">
        <f>_xlfn.XLOOKUP(Order_Details[[#This Row],[Order ID]], List_of_orders[Order ID], List_of_orders[State])</f>
        <v>Madhya Pradesh</v>
      </c>
      <c r="H127" s="10">
        <f>_xlfn.XLOOKUP(Order_Details[[#This Row],[Order ID]], List_of_orders[Order ID], List_of_orders[Order Date (Clean)])</f>
        <v>43227</v>
      </c>
      <c r="I127" s="7" t="str">
        <f>_xlfn.XLOOKUP(Order_Details[[#This Row],[Order ID]], List_of_orders[Order ID], List_of_orders[CustomerName])</f>
        <v>Anurag</v>
      </c>
      <c r="J127" s="7" t="str">
        <f>_xlfn.XLOOKUP(Order_Details[[#This Row],[Order ID]], List_of_orders[Order ID], List_of_orders[City])</f>
        <v>Indore</v>
      </c>
      <c r="K127" s="8" t="str">
        <f>TEXT(Order_Details[[#This Row],[Order Date]], "YY-MMM")</f>
        <v>18-May</v>
      </c>
      <c r="L127" s="11">
        <f>Order_Details[[#This Row],[Profit]]/Order_Details[[#This Row],[Amount]]</f>
        <v>-0.625</v>
      </c>
      <c r="M127" s="8">
        <f>YEAR(Order_Details[[#This Row],[Order Date]])</f>
        <v>2018</v>
      </c>
      <c r="N127" s="8">
        <f>ROUNDUP(MONTH(Order_Details[[#This Row],[Order Date]])/3, 0)</f>
        <v>2</v>
      </c>
    </row>
    <row r="128" spans="1:14">
      <c r="A128" s="1" t="s">
        <v>160</v>
      </c>
      <c r="B128" s="1">
        <v>172</v>
      </c>
      <c r="C128" s="1">
        <v>-103</v>
      </c>
      <c r="D128" s="1">
        <v>3</v>
      </c>
      <c r="E128" s="1" t="s">
        <v>1075</v>
      </c>
      <c r="F128" s="1" t="s">
        <v>1108</v>
      </c>
      <c r="G128" s="7" t="str">
        <f>_xlfn.XLOOKUP(Order_Details[[#This Row],[Order ID]], List_of_orders[Order ID], List_of_orders[State])</f>
        <v>Madhya Pradesh</v>
      </c>
      <c r="H128" s="10">
        <f>_xlfn.XLOOKUP(Order_Details[[#This Row],[Order ID]], List_of_orders[Order ID], List_of_orders[Order Date (Clean)])</f>
        <v>43227</v>
      </c>
      <c r="I128" s="7" t="str">
        <f>_xlfn.XLOOKUP(Order_Details[[#This Row],[Order ID]], List_of_orders[Order ID], List_of_orders[CustomerName])</f>
        <v>Anurag</v>
      </c>
      <c r="J128" s="7" t="str">
        <f>_xlfn.XLOOKUP(Order_Details[[#This Row],[Order ID]], List_of_orders[Order ID], List_of_orders[City])</f>
        <v>Indore</v>
      </c>
      <c r="K128" s="8" t="str">
        <f>TEXT(Order_Details[[#This Row],[Order Date]], "YY-MMM")</f>
        <v>18-May</v>
      </c>
      <c r="L128" s="11">
        <f>Order_Details[[#This Row],[Profit]]/Order_Details[[#This Row],[Amount]]</f>
        <v>-0.59883720930232553</v>
      </c>
      <c r="M128" s="8">
        <f>YEAR(Order_Details[[#This Row],[Order Date]])</f>
        <v>2018</v>
      </c>
      <c r="N128" s="8">
        <f>ROUNDUP(MONTH(Order_Details[[#This Row],[Order Date]])/3, 0)</f>
        <v>2</v>
      </c>
    </row>
    <row r="129" spans="1:14">
      <c r="A129" s="1" t="s">
        <v>160</v>
      </c>
      <c r="B129" s="1">
        <v>49</v>
      </c>
      <c r="C129" s="1">
        <v>3</v>
      </c>
      <c r="D129" s="1">
        <v>1</v>
      </c>
      <c r="E129" s="1" t="s">
        <v>1076</v>
      </c>
      <c r="F129" s="1" t="s">
        <v>1111</v>
      </c>
      <c r="G129" s="7" t="str">
        <f>_xlfn.XLOOKUP(Order_Details[[#This Row],[Order ID]], List_of_orders[Order ID], List_of_orders[State])</f>
        <v>Madhya Pradesh</v>
      </c>
      <c r="H129" s="10">
        <f>_xlfn.XLOOKUP(Order_Details[[#This Row],[Order ID]], List_of_orders[Order ID], List_of_orders[Order Date (Clean)])</f>
        <v>43227</v>
      </c>
      <c r="I129" s="7" t="str">
        <f>_xlfn.XLOOKUP(Order_Details[[#This Row],[Order ID]], List_of_orders[Order ID], List_of_orders[CustomerName])</f>
        <v>Anurag</v>
      </c>
      <c r="J129" s="7" t="str">
        <f>_xlfn.XLOOKUP(Order_Details[[#This Row],[Order ID]], List_of_orders[Order ID], List_of_orders[City])</f>
        <v>Indore</v>
      </c>
      <c r="K129" s="8" t="str">
        <f>TEXT(Order_Details[[#This Row],[Order Date]], "YY-MMM")</f>
        <v>18-May</v>
      </c>
      <c r="L129" s="11">
        <f>Order_Details[[#This Row],[Profit]]/Order_Details[[#This Row],[Amount]]</f>
        <v>6.1224489795918366E-2</v>
      </c>
      <c r="M129" s="8">
        <f>YEAR(Order_Details[[#This Row],[Order Date]])</f>
        <v>2018</v>
      </c>
      <c r="N129" s="8">
        <f>ROUNDUP(MONTH(Order_Details[[#This Row],[Order Date]])/3, 0)</f>
        <v>2</v>
      </c>
    </row>
    <row r="130" spans="1:14">
      <c r="A130" s="1" t="s">
        <v>160</v>
      </c>
      <c r="B130" s="1">
        <v>823</v>
      </c>
      <c r="C130" s="1">
        <v>-18</v>
      </c>
      <c r="D130" s="1">
        <v>7</v>
      </c>
      <c r="E130" s="1" t="s">
        <v>1075</v>
      </c>
      <c r="F130" s="1" t="s">
        <v>1108</v>
      </c>
      <c r="G130" s="7" t="str">
        <f>_xlfn.XLOOKUP(Order_Details[[#This Row],[Order ID]], List_of_orders[Order ID], List_of_orders[State])</f>
        <v>Madhya Pradesh</v>
      </c>
      <c r="H130" s="10">
        <f>_xlfn.XLOOKUP(Order_Details[[#This Row],[Order ID]], List_of_orders[Order ID], List_of_orders[Order Date (Clean)])</f>
        <v>43227</v>
      </c>
      <c r="I130" s="7" t="str">
        <f>_xlfn.XLOOKUP(Order_Details[[#This Row],[Order ID]], List_of_orders[Order ID], List_of_orders[CustomerName])</f>
        <v>Anurag</v>
      </c>
      <c r="J130" s="7" t="str">
        <f>_xlfn.XLOOKUP(Order_Details[[#This Row],[Order ID]], List_of_orders[Order ID], List_of_orders[City])</f>
        <v>Indore</v>
      </c>
      <c r="K130" s="8" t="str">
        <f>TEXT(Order_Details[[#This Row],[Order Date]], "YY-MMM")</f>
        <v>18-May</v>
      </c>
      <c r="L130" s="11">
        <f>Order_Details[[#This Row],[Profit]]/Order_Details[[#This Row],[Amount]]</f>
        <v>-2.187120291616039E-2</v>
      </c>
      <c r="M130" s="8">
        <f>YEAR(Order_Details[[#This Row],[Order Date]])</f>
        <v>2018</v>
      </c>
      <c r="N130" s="8">
        <f>ROUNDUP(MONTH(Order_Details[[#This Row],[Order Date]])/3, 0)</f>
        <v>2</v>
      </c>
    </row>
    <row r="131" spans="1:14">
      <c r="A131" s="1" t="s">
        <v>160</v>
      </c>
      <c r="B131" s="1">
        <v>23</v>
      </c>
      <c r="C131" s="1">
        <v>4</v>
      </c>
      <c r="D131" s="1">
        <v>1</v>
      </c>
      <c r="E131" s="1" t="s">
        <v>1076</v>
      </c>
      <c r="F131" s="1" t="s">
        <v>1106</v>
      </c>
      <c r="G131" s="7" t="str">
        <f>_xlfn.XLOOKUP(Order_Details[[#This Row],[Order ID]], List_of_orders[Order ID], List_of_orders[State])</f>
        <v>Madhya Pradesh</v>
      </c>
      <c r="H131" s="10">
        <f>_xlfn.XLOOKUP(Order_Details[[#This Row],[Order ID]], List_of_orders[Order ID], List_of_orders[Order Date (Clean)])</f>
        <v>43227</v>
      </c>
      <c r="I131" s="7" t="str">
        <f>_xlfn.XLOOKUP(Order_Details[[#This Row],[Order ID]], List_of_orders[Order ID], List_of_orders[CustomerName])</f>
        <v>Anurag</v>
      </c>
      <c r="J131" s="7" t="str">
        <f>_xlfn.XLOOKUP(Order_Details[[#This Row],[Order ID]], List_of_orders[Order ID], List_of_orders[City])</f>
        <v>Indore</v>
      </c>
      <c r="K131" s="8" t="str">
        <f>TEXT(Order_Details[[#This Row],[Order Date]], "YY-MMM")</f>
        <v>18-May</v>
      </c>
      <c r="L131" s="11">
        <f>Order_Details[[#This Row],[Profit]]/Order_Details[[#This Row],[Amount]]</f>
        <v>0.17391304347826086</v>
      </c>
      <c r="M131" s="8">
        <f>YEAR(Order_Details[[#This Row],[Order Date]])</f>
        <v>2018</v>
      </c>
      <c r="N131" s="8">
        <f>ROUNDUP(MONTH(Order_Details[[#This Row],[Order Date]])/3, 0)</f>
        <v>2</v>
      </c>
    </row>
    <row r="132" spans="1:14">
      <c r="A132" s="1" t="s">
        <v>160</v>
      </c>
      <c r="B132" s="1">
        <v>457</v>
      </c>
      <c r="C132" s="1">
        <v>-41</v>
      </c>
      <c r="D132" s="1">
        <v>4</v>
      </c>
      <c r="E132" s="1" t="s">
        <v>1076</v>
      </c>
      <c r="F132" s="1" t="s">
        <v>1106</v>
      </c>
      <c r="G132" s="7" t="str">
        <f>_xlfn.XLOOKUP(Order_Details[[#This Row],[Order ID]], List_of_orders[Order ID], List_of_orders[State])</f>
        <v>Madhya Pradesh</v>
      </c>
      <c r="H132" s="10">
        <f>_xlfn.XLOOKUP(Order_Details[[#This Row],[Order ID]], List_of_orders[Order ID], List_of_orders[Order Date (Clean)])</f>
        <v>43227</v>
      </c>
      <c r="I132" s="7" t="str">
        <f>_xlfn.XLOOKUP(Order_Details[[#This Row],[Order ID]], List_of_orders[Order ID], List_of_orders[CustomerName])</f>
        <v>Anurag</v>
      </c>
      <c r="J132" s="7" t="str">
        <f>_xlfn.XLOOKUP(Order_Details[[#This Row],[Order ID]], List_of_orders[Order ID], List_of_orders[City])</f>
        <v>Indore</v>
      </c>
      <c r="K132" s="8" t="str">
        <f>TEXT(Order_Details[[#This Row],[Order Date]], "YY-MMM")</f>
        <v>18-May</v>
      </c>
      <c r="L132" s="11">
        <f>Order_Details[[#This Row],[Profit]]/Order_Details[[#This Row],[Amount]]</f>
        <v>-8.9715536105032828E-2</v>
      </c>
      <c r="M132" s="8">
        <f>YEAR(Order_Details[[#This Row],[Order Date]])</f>
        <v>2018</v>
      </c>
      <c r="N132" s="8">
        <f>ROUNDUP(MONTH(Order_Details[[#This Row],[Order Date]])/3, 0)</f>
        <v>2</v>
      </c>
    </row>
    <row r="133" spans="1:14">
      <c r="A133" s="1" t="s">
        <v>162</v>
      </c>
      <c r="B133" s="1">
        <v>24</v>
      </c>
      <c r="C133" s="1">
        <v>-21</v>
      </c>
      <c r="D133" s="1">
        <v>7</v>
      </c>
      <c r="E133" s="1" t="s">
        <v>1076</v>
      </c>
      <c r="F133" s="1" t="s">
        <v>1117</v>
      </c>
      <c r="G133" s="7" t="str">
        <f>_xlfn.XLOOKUP(Order_Details[[#This Row],[Order ID]], List_of_orders[Order ID], List_of_orders[State])</f>
        <v>Goa</v>
      </c>
      <c r="H133" s="10">
        <f>_xlfn.XLOOKUP(Order_Details[[#This Row],[Order ID]], List_of_orders[Order ID], List_of_orders[Order Date (Clean)])</f>
        <v>43228</v>
      </c>
      <c r="I133" s="7" t="str">
        <f>_xlfn.XLOOKUP(Order_Details[[#This Row],[Order ID]], List_of_orders[Order ID], List_of_orders[CustomerName])</f>
        <v>Tushina</v>
      </c>
      <c r="J133" s="7" t="str">
        <f>_xlfn.XLOOKUP(Order_Details[[#This Row],[Order ID]], List_of_orders[Order ID], List_of_orders[City])</f>
        <v>Goa</v>
      </c>
      <c r="K133" s="8" t="str">
        <f>TEXT(Order_Details[[#This Row],[Order Date]], "YY-MMM")</f>
        <v>18-May</v>
      </c>
      <c r="L133" s="11">
        <f>Order_Details[[#This Row],[Profit]]/Order_Details[[#This Row],[Amount]]</f>
        <v>-0.875</v>
      </c>
      <c r="M133" s="8">
        <f>YEAR(Order_Details[[#This Row],[Order Date]])</f>
        <v>2018</v>
      </c>
      <c r="N133" s="8">
        <f>ROUNDUP(MONTH(Order_Details[[#This Row],[Order Date]])/3, 0)</f>
        <v>2</v>
      </c>
    </row>
    <row r="134" spans="1:14">
      <c r="A134" s="1" t="s">
        <v>162</v>
      </c>
      <c r="B134" s="1">
        <v>25</v>
      </c>
      <c r="C134" s="1">
        <v>-2</v>
      </c>
      <c r="D134" s="1">
        <v>5</v>
      </c>
      <c r="E134" s="1" t="s">
        <v>1076</v>
      </c>
      <c r="F134" s="1" t="s">
        <v>1103</v>
      </c>
      <c r="G134" s="7" t="str">
        <f>_xlfn.XLOOKUP(Order_Details[[#This Row],[Order ID]], List_of_orders[Order ID], List_of_orders[State])</f>
        <v>Goa</v>
      </c>
      <c r="H134" s="10">
        <f>_xlfn.XLOOKUP(Order_Details[[#This Row],[Order ID]], List_of_orders[Order ID], List_of_orders[Order Date (Clean)])</f>
        <v>43228</v>
      </c>
      <c r="I134" s="7" t="str">
        <f>_xlfn.XLOOKUP(Order_Details[[#This Row],[Order ID]], List_of_orders[Order ID], List_of_orders[CustomerName])</f>
        <v>Tushina</v>
      </c>
      <c r="J134" s="7" t="str">
        <f>_xlfn.XLOOKUP(Order_Details[[#This Row],[Order ID]], List_of_orders[Order ID], List_of_orders[City])</f>
        <v>Goa</v>
      </c>
      <c r="K134" s="8" t="str">
        <f>TEXT(Order_Details[[#This Row],[Order Date]], "YY-MMM")</f>
        <v>18-May</v>
      </c>
      <c r="L134" s="11">
        <f>Order_Details[[#This Row],[Profit]]/Order_Details[[#This Row],[Amount]]</f>
        <v>-0.08</v>
      </c>
      <c r="M134" s="8">
        <f>YEAR(Order_Details[[#This Row],[Order Date]])</f>
        <v>2018</v>
      </c>
      <c r="N134" s="8">
        <f>ROUNDUP(MONTH(Order_Details[[#This Row],[Order Date]])/3, 0)</f>
        <v>2</v>
      </c>
    </row>
    <row r="135" spans="1:14">
      <c r="A135" s="1" t="s">
        <v>162</v>
      </c>
      <c r="B135" s="1">
        <v>174</v>
      </c>
      <c r="C135" s="1">
        <v>-70</v>
      </c>
      <c r="D135" s="1">
        <v>3</v>
      </c>
      <c r="E135" s="1" t="s">
        <v>1077</v>
      </c>
      <c r="F135" s="1" t="s">
        <v>1115</v>
      </c>
      <c r="G135" s="7" t="str">
        <f>_xlfn.XLOOKUP(Order_Details[[#This Row],[Order ID]], List_of_orders[Order ID], List_of_orders[State])</f>
        <v>Goa</v>
      </c>
      <c r="H135" s="10">
        <f>_xlfn.XLOOKUP(Order_Details[[#This Row],[Order ID]], List_of_orders[Order ID], List_of_orders[Order Date (Clean)])</f>
        <v>43228</v>
      </c>
      <c r="I135" s="7" t="str">
        <f>_xlfn.XLOOKUP(Order_Details[[#This Row],[Order ID]], List_of_orders[Order ID], List_of_orders[CustomerName])</f>
        <v>Tushina</v>
      </c>
      <c r="J135" s="7" t="str">
        <f>_xlfn.XLOOKUP(Order_Details[[#This Row],[Order ID]], List_of_orders[Order ID], List_of_orders[City])</f>
        <v>Goa</v>
      </c>
      <c r="K135" s="8" t="str">
        <f>TEXT(Order_Details[[#This Row],[Order Date]], "YY-MMM")</f>
        <v>18-May</v>
      </c>
      <c r="L135" s="11">
        <f>Order_Details[[#This Row],[Profit]]/Order_Details[[#This Row],[Amount]]</f>
        <v>-0.40229885057471265</v>
      </c>
      <c r="M135" s="8">
        <f>YEAR(Order_Details[[#This Row],[Order Date]])</f>
        <v>2018</v>
      </c>
      <c r="N135" s="8">
        <f>ROUNDUP(MONTH(Order_Details[[#This Row],[Order Date]])/3, 0)</f>
        <v>2</v>
      </c>
    </row>
    <row r="136" spans="1:14">
      <c r="A136" s="1" t="s">
        <v>162</v>
      </c>
      <c r="B136" s="1">
        <v>206</v>
      </c>
      <c r="C136" s="1">
        <v>-206</v>
      </c>
      <c r="D136" s="1">
        <v>3</v>
      </c>
      <c r="E136" s="1" t="s">
        <v>1076</v>
      </c>
      <c r="F136" s="1" t="s">
        <v>1106</v>
      </c>
      <c r="G136" s="7" t="str">
        <f>_xlfn.XLOOKUP(Order_Details[[#This Row],[Order ID]], List_of_orders[Order ID], List_of_orders[State])</f>
        <v>Goa</v>
      </c>
      <c r="H136" s="10">
        <f>_xlfn.XLOOKUP(Order_Details[[#This Row],[Order ID]], List_of_orders[Order ID], List_of_orders[Order Date (Clean)])</f>
        <v>43228</v>
      </c>
      <c r="I136" s="7" t="str">
        <f>_xlfn.XLOOKUP(Order_Details[[#This Row],[Order ID]], List_of_orders[Order ID], List_of_orders[CustomerName])</f>
        <v>Tushina</v>
      </c>
      <c r="J136" s="7" t="str">
        <f>_xlfn.XLOOKUP(Order_Details[[#This Row],[Order ID]], List_of_orders[Order ID], List_of_orders[City])</f>
        <v>Goa</v>
      </c>
      <c r="K136" s="8" t="str">
        <f>TEXT(Order_Details[[#This Row],[Order Date]], "YY-MMM")</f>
        <v>18-May</v>
      </c>
      <c r="L136" s="11">
        <f>Order_Details[[#This Row],[Profit]]/Order_Details[[#This Row],[Amount]]</f>
        <v>-1</v>
      </c>
      <c r="M136" s="8">
        <f>YEAR(Order_Details[[#This Row],[Order Date]])</f>
        <v>2018</v>
      </c>
      <c r="N136" s="8">
        <f>ROUNDUP(MONTH(Order_Details[[#This Row],[Order Date]])/3, 0)</f>
        <v>2</v>
      </c>
    </row>
    <row r="137" spans="1:14">
      <c r="A137" s="1" t="s">
        <v>162</v>
      </c>
      <c r="B137" s="1">
        <v>21</v>
      </c>
      <c r="C137" s="1">
        <v>-13</v>
      </c>
      <c r="D137" s="1">
        <v>3</v>
      </c>
      <c r="E137" s="1" t="s">
        <v>1076</v>
      </c>
      <c r="F137" s="1" t="s">
        <v>1112</v>
      </c>
      <c r="G137" s="7" t="str">
        <f>_xlfn.XLOOKUP(Order_Details[[#This Row],[Order ID]], List_of_orders[Order ID], List_of_orders[State])</f>
        <v>Goa</v>
      </c>
      <c r="H137" s="10">
        <f>_xlfn.XLOOKUP(Order_Details[[#This Row],[Order ID]], List_of_orders[Order ID], List_of_orders[Order Date (Clean)])</f>
        <v>43228</v>
      </c>
      <c r="I137" s="7" t="str">
        <f>_xlfn.XLOOKUP(Order_Details[[#This Row],[Order ID]], List_of_orders[Order ID], List_of_orders[CustomerName])</f>
        <v>Tushina</v>
      </c>
      <c r="J137" s="7" t="str">
        <f>_xlfn.XLOOKUP(Order_Details[[#This Row],[Order ID]], List_of_orders[Order ID], List_of_orders[City])</f>
        <v>Goa</v>
      </c>
      <c r="K137" s="8" t="str">
        <f>TEXT(Order_Details[[#This Row],[Order Date]], "YY-MMM")</f>
        <v>18-May</v>
      </c>
      <c r="L137" s="11">
        <f>Order_Details[[#This Row],[Profit]]/Order_Details[[#This Row],[Amount]]</f>
        <v>-0.61904761904761907</v>
      </c>
      <c r="M137" s="8">
        <f>YEAR(Order_Details[[#This Row],[Order Date]])</f>
        <v>2018</v>
      </c>
      <c r="N137" s="8">
        <f>ROUNDUP(MONTH(Order_Details[[#This Row],[Order Date]])/3, 0)</f>
        <v>2</v>
      </c>
    </row>
    <row r="138" spans="1:14">
      <c r="A138" s="1" t="s">
        <v>162</v>
      </c>
      <c r="B138" s="1">
        <v>34</v>
      </c>
      <c r="C138" s="1">
        <v>-6</v>
      </c>
      <c r="D138" s="1">
        <v>4</v>
      </c>
      <c r="E138" s="1" t="s">
        <v>1076</v>
      </c>
      <c r="F138" s="1" t="s">
        <v>1112</v>
      </c>
      <c r="G138" s="7" t="str">
        <f>_xlfn.XLOOKUP(Order_Details[[#This Row],[Order ID]], List_of_orders[Order ID], List_of_orders[State])</f>
        <v>Goa</v>
      </c>
      <c r="H138" s="10">
        <f>_xlfn.XLOOKUP(Order_Details[[#This Row],[Order ID]], List_of_orders[Order ID], List_of_orders[Order Date (Clean)])</f>
        <v>43228</v>
      </c>
      <c r="I138" s="7" t="str">
        <f>_xlfn.XLOOKUP(Order_Details[[#This Row],[Order ID]], List_of_orders[Order ID], List_of_orders[CustomerName])</f>
        <v>Tushina</v>
      </c>
      <c r="J138" s="7" t="str">
        <f>_xlfn.XLOOKUP(Order_Details[[#This Row],[Order ID]], List_of_orders[Order ID], List_of_orders[City])</f>
        <v>Goa</v>
      </c>
      <c r="K138" s="8" t="str">
        <f>TEXT(Order_Details[[#This Row],[Order Date]], "YY-MMM")</f>
        <v>18-May</v>
      </c>
      <c r="L138" s="11">
        <f>Order_Details[[#This Row],[Profit]]/Order_Details[[#This Row],[Amount]]</f>
        <v>-0.17647058823529413</v>
      </c>
      <c r="M138" s="8">
        <f>YEAR(Order_Details[[#This Row],[Order Date]])</f>
        <v>2018</v>
      </c>
      <c r="N138" s="8">
        <f>ROUNDUP(MONTH(Order_Details[[#This Row],[Order Date]])/3, 0)</f>
        <v>2</v>
      </c>
    </row>
    <row r="139" spans="1:14">
      <c r="A139" s="1" t="s">
        <v>162</v>
      </c>
      <c r="B139" s="1">
        <v>9</v>
      </c>
      <c r="C139" s="1">
        <v>-6</v>
      </c>
      <c r="D139" s="1">
        <v>2</v>
      </c>
      <c r="E139" s="1" t="s">
        <v>1076</v>
      </c>
      <c r="F139" s="1" t="s">
        <v>1103</v>
      </c>
      <c r="G139" s="7" t="str">
        <f>_xlfn.XLOOKUP(Order_Details[[#This Row],[Order ID]], List_of_orders[Order ID], List_of_orders[State])</f>
        <v>Goa</v>
      </c>
      <c r="H139" s="10">
        <f>_xlfn.XLOOKUP(Order_Details[[#This Row],[Order ID]], List_of_orders[Order ID], List_of_orders[Order Date (Clean)])</f>
        <v>43228</v>
      </c>
      <c r="I139" s="7" t="str">
        <f>_xlfn.XLOOKUP(Order_Details[[#This Row],[Order ID]], List_of_orders[Order ID], List_of_orders[CustomerName])</f>
        <v>Tushina</v>
      </c>
      <c r="J139" s="7" t="str">
        <f>_xlfn.XLOOKUP(Order_Details[[#This Row],[Order ID]], List_of_orders[Order ID], List_of_orders[City])</f>
        <v>Goa</v>
      </c>
      <c r="K139" s="8" t="str">
        <f>TEXT(Order_Details[[#This Row],[Order Date]], "YY-MMM")</f>
        <v>18-May</v>
      </c>
      <c r="L139" s="11">
        <f>Order_Details[[#This Row],[Profit]]/Order_Details[[#This Row],[Amount]]</f>
        <v>-0.66666666666666663</v>
      </c>
      <c r="M139" s="8">
        <f>YEAR(Order_Details[[#This Row],[Order Date]])</f>
        <v>2018</v>
      </c>
      <c r="N139" s="8">
        <f>ROUNDUP(MONTH(Order_Details[[#This Row],[Order Date]])/3, 0)</f>
        <v>2</v>
      </c>
    </row>
    <row r="140" spans="1:14">
      <c r="A140" s="1" t="s">
        <v>164</v>
      </c>
      <c r="B140" s="1">
        <v>1279</v>
      </c>
      <c r="C140" s="1">
        <v>-640</v>
      </c>
      <c r="D140" s="1">
        <v>8</v>
      </c>
      <c r="E140" s="1" t="s">
        <v>1077</v>
      </c>
      <c r="F140" s="1" t="s">
        <v>1114</v>
      </c>
      <c r="G140" s="7" t="str">
        <f>_xlfn.XLOOKUP(Order_Details[[#This Row],[Order ID]], List_of_orders[Order ID], List_of_orders[State])</f>
        <v>Nagaland</v>
      </c>
      <c r="H140" s="10">
        <f>_xlfn.XLOOKUP(Order_Details[[#This Row],[Order ID]], List_of_orders[Order ID], List_of_orders[Order Date (Clean)])</f>
        <v>43228</v>
      </c>
      <c r="I140" s="7" t="str">
        <f>_xlfn.XLOOKUP(Order_Details[[#This Row],[Order ID]], List_of_orders[Order ID], List_of_orders[CustomerName])</f>
        <v>Farah</v>
      </c>
      <c r="J140" s="7" t="str">
        <f>_xlfn.XLOOKUP(Order_Details[[#This Row],[Order ID]], List_of_orders[Order ID], List_of_orders[City])</f>
        <v>Kohima</v>
      </c>
      <c r="K140" s="8" t="str">
        <f>TEXT(Order_Details[[#This Row],[Order Date]], "YY-MMM")</f>
        <v>18-May</v>
      </c>
      <c r="L140" s="11">
        <f>Order_Details[[#This Row],[Profit]]/Order_Details[[#This Row],[Amount]]</f>
        <v>-0.5003909304143862</v>
      </c>
      <c r="M140" s="8">
        <f>YEAR(Order_Details[[#This Row],[Order Date]])</f>
        <v>2018</v>
      </c>
      <c r="N140" s="8">
        <f>ROUNDUP(MONTH(Order_Details[[#This Row],[Order Date]])/3, 0)</f>
        <v>2</v>
      </c>
    </row>
    <row r="141" spans="1:14">
      <c r="A141" s="1" t="s">
        <v>164</v>
      </c>
      <c r="B141" s="1">
        <v>28</v>
      </c>
      <c r="C141" s="1">
        <v>-3</v>
      </c>
      <c r="D141" s="1">
        <v>2</v>
      </c>
      <c r="E141" s="1" t="s">
        <v>1076</v>
      </c>
      <c r="F141" s="1" t="s">
        <v>1106</v>
      </c>
      <c r="G141" s="7" t="str">
        <f>_xlfn.XLOOKUP(Order_Details[[#This Row],[Order ID]], List_of_orders[Order ID], List_of_orders[State])</f>
        <v>Nagaland</v>
      </c>
      <c r="H141" s="10">
        <f>_xlfn.XLOOKUP(Order_Details[[#This Row],[Order ID]], List_of_orders[Order ID], List_of_orders[Order Date (Clean)])</f>
        <v>43228</v>
      </c>
      <c r="I141" s="7" t="str">
        <f>_xlfn.XLOOKUP(Order_Details[[#This Row],[Order ID]], List_of_orders[Order ID], List_of_orders[CustomerName])</f>
        <v>Farah</v>
      </c>
      <c r="J141" s="7" t="str">
        <f>_xlfn.XLOOKUP(Order_Details[[#This Row],[Order ID]], List_of_orders[Order ID], List_of_orders[City])</f>
        <v>Kohima</v>
      </c>
      <c r="K141" s="8" t="str">
        <f>TEXT(Order_Details[[#This Row],[Order Date]], "YY-MMM")</f>
        <v>18-May</v>
      </c>
      <c r="L141" s="11">
        <f>Order_Details[[#This Row],[Profit]]/Order_Details[[#This Row],[Amount]]</f>
        <v>-0.10714285714285714</v>
      </c>
      <c r="M141" s="8">
        <f>YEAR(Order_Details[[#This Row],[Order Date]])</f>
        <v>2018</v>
      </c>
      <c r="N141" s="8">
        <f>ROUNDUP(MONTH(Order_Details[[#This Row],[Order Date]])/3, 0)</f>
        <v>2</v>
      </c>
    </row>
    <row r="142" spans="1:14">
      <c r="A142" s="1" t="s">
        <v>164</v>
      </c>
      <c r="B142" s="1">
        <v>427</v>
      </c>
      <c r="C142" s="1">
        <v>-50</v>
      </c>
      <c r="D142" s="1">
        <v>7</v>
      </c>
      <c r="E142" s="1" t="s">
        <v>1077</v>
      </c>
      <c r="F142" s="1" t="s">
        <v>1105</v>
      </c>
      <c r="G142" s="7" t="str">
        <f>_xlfn.XLOOKUP(Order_Details[[#This Row],[Order ID]], List_of_orders[Order ID], List_of_orders[State])</f>
        <v>Nagaland</v>
      </c>
      <c r="H142" s="10">
        <f>_xlfn.XLOOKUP(Order_Details[[#This Row],[Order ID]], List_of_orders[Order ID], List_of_orders[Order Date (Clean)])</f>
        <v>43228</v>
      </c>
      <c r="I142" s="7" t="str">
        <f>_xlfn.XLOOKUP(Order_Details[[#This Row],[Order ID]], List_of_orders[Order ID], List_of_orders[CustomerName])</f>
        <v>Farah</v>
      </c>
      <c r="J142" s="7" t="str">
        <f>_xlfn.XLOOKUP(Order_Details[[#This Row],[Order ID]], List_of_orders[Order ID], List_of_orders[City])</f>
        <v>Kohima</v>
      </c>
      <c r="K142" s="8" t="str">
        <f>TEXT(Order_Details[[#This Row],[Order Date]], "YY-MMM")</f>
        <v>18-May</v>
      </c>
      <c r="L142" s="11">
        <f>Order_Details[[#This Row],[Profit]]/Order_Details[[#This Row],[Amount]]</f>
        <v>-0.117096018735363</v>
      </c>
      <c r="M142" s="8">
        <f>YEAR(Order_Details[[#This Row],[Order Date]])</f>
        <v>2018</v>
      </c>
      <c r="N142" s="8">
        <f>ROUNDUP(MONTH(Order_Details[[#This Row],[Order Date]])/3, 0)</f>
        <v>2</v>
      </c>
    </row>
    <row r="143" spans="1:14">
      <c r="A143" s="1" t="s">
        <v>164</v>
      </c>
      <c r="B143" s="1">
        <v>168</v>
      </c>
      <c r="C143" s="1">
        <v>-10</v>
      </c>
      <c r="D143" s="1">
        <v>3</v>
      </c>
      <c r="E143" s="1" t="s">
        <v>1077</v>
      </c>
      <c r="F143" s="1" t="s">
        <v>1115</v>
      </c>
      <c r="G143" s="7" t="str">
        <f>_xlfn.XLOOKUP(Order_Details[[#This Row],[Order ID]], List_of_orders[Order ID], List_of_orders[State])</f>
        <v>Nagaland</v>
      </c>
      <c r="H143" s="10">
        <f>_xlfn.XLOOKUP(Order_Details[[#This Row],[Order ID]], List_of_orders[Order ID], List_of_orders[Order Date (Clean)])</f>
        <v>43228</v>
      </c>
      <c r="I143" s="7" t="str">
        <f>_xlfn.XLOOKUP(Order_Details[[#This Row],[Order ID]], List_of_orders[Order ID], List_of_orders[CustomerName])</f>
        <v>Farah</v>
      </c>
      <c r="J143" s="7" t="str">
        <f>_xlfn.XLOOKUP(Order_Details[[#This Row],[Order ID]], List_of_orders[Order ID], List_of_orders[City])</f>
        <v>Kohima</v>
      </c>
      <c r="K143" s="8" t="str">
        <f>TEXT(Order_Details[[#This Row],[Order Date]], "YY-MMM")</f>
        <v>18-May</v>
      </c>
      <c r="L143" s="11">
        <f>Order_Details[[#This Row],[Profit]]/Order_Details[[#This Row],[Amount]]</f>
        <v>-5.9523809523809521E-2</v>
      </c>
      <c r="M143" s="8">
        <f>YEAR(Order_Details[[#This Row],[Order Date]])</f>
        <v>2018</v>
      </c>
      <c r="N143" s="8">
        <f>ROUNDUP(MONTH(Order_Details[[#This Row],[Order Date]])/3, 0)</f>
        <v>2</v>
      </c>
    </row>
    <row r="144" spans="1:14">
      <c r="A144" s="1" t="s">
        <v>164</v>
      </c>
      <c r="B144" s="1">
        <v>1327</v>
      </c>
      <c r="C144" s="1">
        <v>318</v>
      </c>
      <c r="D144" s="1">
        <v>8</v>
      </c>
      <c r="E144" s="1" t="s">
        <v>1075</v>
      </c>
      <c r="F144" s="1" t="s">
        <v>1108</v>
      </c>
      <c r="G144" s="7" t="str">
        <f>_xlfn.XLOOKUP(Order_Details[[#This Row],[Order ID]], List_of_orders[Order ID], List_of_orders[State])</f>
        <v>Nagaland</v>
      </c>
      <c r="H144" s="10">
        <f>_xlfn.XLOOKUP(Order_Details[[#This Row],[Order ID]], List_of_orders[Order ID], List_of_orders[Order Date (Clean)])</f>
        <v>43228</v>
      </c>
      <c r="I144" s="7" t="str">
        <f>_xlfn.XLOOKUP(Order_Details[[#This Row],[Order ID]], List_of_orders[Order ID], List_of_orders[CustomerName])</f>
        <v>Farah</v>
      </c>
      <c r="J144" s="7" t="str">
        <f>_xlfn.XLOOKUP(Order_Details[[#This Row],[Order ID]], List_of_orders[Order ID], List_of_orders[City])</f>
        <v>Kohima</v>
      </c>
      <c r="K144" s="8" t="str">
        <f>TEXT(Order_Details[[#This Row],[Order Date]], "YY-MMM")</f>
        <v>18-May</v>
      </c>
      <c r="L144" s="11">
        <f>Order_Details[[#This Row],[Profit]]/Order_Details[[#This Row],[Amount]]</f>
        <v>0.23963828183873398</v>
      </c>
      <c r="M144" s="8">
        <f>YEAR(Order_Details[[#This Row],[Order Date]])</f>
        <v>2018</v>
      </c>
      <c r="N144" s="8">
        <f>ROUNDUP(MONTH(Order_Details[[#This Row],[Order Date]])/3, 0)</f>
        <v>2</v>
      </c>
    </row>
    <row r="145" spans="1:14">
      <c r="A145" s="1" t="s">
        <v>164</v>
      </c>
      <c r="B145" s="1">
        <v>195</v>
      </c>
      <c r="C145" s="1">
        <v>-117</v>
      </c>
      <c r="D145" s="1">
        <v>5</v>
      </c>
      <c r="E145" s="1" t="s">
        <v>1077</v>
      </c>
      <c r="F145" s="1" t="s">
        <v>1105</v>
      </c>
      <c r="G145" s="7" t="str">
        <f>_xlfn.XLOOKUP(Order_Details[[#This Row],[Order ID]], List_of_orders[Order ID], List_of_orders[State])</f>
        <v>Nagaland</v>
      </c>
      <c r="H145" s="10">
        <f>_xlfn.XLOOKUP(Order_Details[[#This Row],[Order ID]], List_of_orders[Order ID], List_of_orders[Order Date (Clean)])</f>
        <v>43228</v>
      </c>
      <c r="I145" s="7" t="str">
        <f>_xlfn.XLOOKUP(Order_Details[[#This Row],[Order ID]], List_of_orders[Order ID], List_of_orders[CustomerName])</f>
        <v>Farah</v>
      </c>
      <c r="J145" s="7" t="str">
        <f>_xlfn.XLOOKUP(Order_Details[[#This Row],[Order ID]], List_of_orders[Order ID], List_of_orders[City])</f>
        <v>Kohima</v>
      </c>
      <c r="K145" s="8" t="str">
        <f>TEXT(Order_Details[[#This Row],[Order Date]], "YY-MMM")</f>
        <v>18-May</v>
      </c>
      <c r="L145" s="11">
        <f>Order_Details[[#This Row],[Profit]]/Order_Details[[#This Row],[Amount]]</f>
        <v>-0.6</v>
      </c>
      <c r="M145" s="8">
        <f>YEAR(Order_Details[[#This Row],[Order Date]])</f>
        <v>2018</v>
      </c>
      <c r="N145" s="8">
        <f>ROUNDUP(MONTH(Order_Details[[#This Row],[Order Date]])/3, 0)</f>
        <v>2</v>
      </c>
    </row>
    <row r="146" spans="1:14">
      <c r="A146" s="1" t="s">
        <v>164</v>
      </c>
      <c r="B146" s="1">
        <v>115</v>
      </c>
      <c r="C146" s="1">
        <v>25</v>
      </c>
      <c r="D146" s="1">
        <v>1</v>
      </c>
      <c r="E146" s="1" t="s">
        <v>1077</v>
      </c>
      <c r="F146" s="1" t="s">
        <v>1115</v>
      </c>
      <c r="G146" s="7" t="str">
        <f>_xlfn.XLOOKUP(Order_Details[[#This Row],[Order ID]], List_of_orders[Order ID], List_of_orders[State])</f>
        <v>Nagaland</v>
      </c>
      <c r="H146" s="10">
        <f>_xlfn.XLOOKUP(Order_Details[[#This Row],[Order ID]], List_of_orders[Order ID], List_of_orders[Order Date (Clean)])</f>
        <v>43228</v>
      </c>
      <c r="I146" s="7" t="str">
        <f>_xlfn.XLOOKUP(Order_Details[[#This Row],[Order ID]], List_of_orders[Order ID], List_of_orders[CustomerName])</f>
        <v>Farah</v>
      </c>
      <c r="J146" s="7" t="str">
        <f>_xlfn.XLOOKUP(Order_Details[[#This Row],[Order ID]], List_of_orders[Order ID], List_of_orders[City])</f>
        <v>Kohima</v>
      </c>
      <c r="K146" s="8" t="str">
        <f>TEXT(Order_Details[[#This Row],[Order Date]], "YY-MMM")</f>
        <v>18-May</v>
      </c>
      <c r="L146" s="11">
        <f>Order_Details[[#This Row],[Profit]]/Order_Details[[#This Row],[Amount]]</f>
        <v>0.21739130434782608</v>
      </c>
      <c r="M146" s="8">
        <f>YEAR(Order_Details[[#This Row],[Order Date]])</f>
        <v>2018</v>
      </c>
      <c r="N146" s="8">
        <f>ROUNDUP(MONTH(Order_Details[[#This Row],[Order Date]])/3, 0)</f>
        <v>2</v>
      </c>
    </row>
    <row r="147" spans="1:14">
      <c r="A147" s="1" t="s">
        <v>164</v>
      </c>
      <c r="B147" s="1">
        <v>668</v>
      </c>
      <c r="C147" s="1">
        <v>-31</v>
      </c>
      <c r="D147" s="1">
        <v>3</v>
      </c>
      <c r="E147" s="1" t="s">
        <v>1077</v>
      </c>
      <c r="F147" s="1" t="s">
        <v>1114</v>
      </c>
      <c r="G147" s="7" t="str">
        <f>_xlfn.XLOOKUP(Order_Details[[#This Row],[Order ID]], List_of_orders[Order ID], List_of_orders[State])</f>
        <v>Nagaland</v>
      </c>
      <c r="H147" s="10">
        <f>_xlfn.XLOOKUP(Order_Details[[#This Row],[Order ID]], List_of_orders[Order ID], List_of_orders[Order Date (Clean)])</f>
        <v>43228</v>
      </c>
      <c r="I147" s="7" t="str">
        <f>_xlfn.XLOOKUP(Order_Details[[#This Row],[Order ID]], List_of_orders[Order ID], List_of_orders[CustomerName])</f>
        <v>Farah</v>
      </c>
      <c r="J147" s="7" t="str">
        <f>_xlfn.XLOOKUP(Order_Details[[#This Row],[Order ID]], List_of_orders[Order ID], List_of_orders[City])</f>
        <v>Kohima</v>
      </c>
      <c r="K147" s="8" t="str">
        <f>TEXT(Order_Details[[#This Row],[Order Date]], "YY-MMM")</f>
        <v>18-May</v>
      </c>
      <c r="L147" s="11">
        <f>Order_Details[[#This Row],[Profit]]/Order_Details[[#This Row],[Amount]]</f>
        <v>-4.6407185628742513E-2</v>
      </c>
      <c r="M147" s="8">
        <f>YEAR(Order_Details[[#This Row],[Order Date]])</f>
        <v>2018</v>
      </c>
      <c r="N147" s="8">
        <f>ROUNDUP(MONTH(Order_Details[[#This Row],[Order Date]])/3, 0)</f>
        <v>2</v>
      </c>
    </row>
    <row r="148" spans="1:14">
      <c r="A148" s="1" t="s">
        <v>164</v>
      </c>
      <c r="B148" s="1">
        <v>227</v>
      </c>
      <c r="C148" s="1">
        <v>102</v>
      </c>
      <c r="D148" s="1">
        <v>8</v>
      </c>
      <c r="E148" s="1" t="s">
        <v>1077</v>
      </c>
      <c r="F148" s="1" t="s">
        <v>1115</v>
      </c>
      <c r="G148" s="7" t="str">
        <f>_xlfn.XLOOKUP(Order_Details[[#This Row],[Order ID]], List_of_orders[Order ID], List_of_orders[State])</f>
        <v>Nagaland</v>
      </c>
      <c r="H148" s="10">
        <f>_xlfn.XLOOKUP(Order_Details[[#This Row],[Order ID]], List_of_orders[Order ID], List_of_orders[Order Date (Clean)])</f>
        <v>43228</v>
      </c>
      <c r="I148" s="7" t="str">
        <f>_xlfn.XLOOKUP(Order_Details[[#This Row],[Order ID]], List_of_orders[Order ID], List_of_orders[CustomerName])</f>
        <v>Farah</v>
      </c>
      <c r="J148" s="7" t="str">
        <f>_xlfn.XLOOKUP(Order_Details[[#This Row],[Order ID]], List_of_orders[Order ID], List_of_orders[City])</f>
        <v>Kohima</v>
      </c>
      <c r="K148" s="8" t="str">
        <f>TEXT(Order_Details[[#This Row],[Order Date]], "YY-MMM")</f>
        <v>18-May</v>
      </c>
      <c r="L148" s="11">
        <f>Order_Details[[#This Row],[Profit]]/Order_Details[[#This Row],[Amount]]</f>
        <v>0.44933920704845814</v>
      </c>
      <c r="M148" s="8">
        <f>YEAR(Order_Details[[#This Row],[Order Date]])</f>
        <v>2018</v>
      </c>
      <c r="N148" s="8">
        <f>ROUNDUP(MONTH(Order_Details[[#This Row],[Order Date]])/3, 0)</f>
        <v>2</v>
      </c>
    </row>
    <row r="149" spans="1:14">
      <c r="A149" s="1" t="s">
        <v>166</v>
      </c>
      <c r="B149" s="1">
        <v>34</v>
      </c>
      <c r="C149" s="1">
        <v>12</v>
      </c>
      <c r="D149" s="1">
        <v>3</v>
      </c>
      <c r="E149" s="1" t="s">
        <v>1076</v>
      </c>
      <c r="F149" s="1" t="s">
        <v>1103</v>
      </c>
      <c r="G149" s="7" t="str">
        <f>_xlfn.XLOOKUP(Order_Details[[#This Row],[Order ID]], List_of_orders[Order ID], List_of_orders[State])</f>
        <v>Maharashtra</v>
      </c>
      <c r="H149" s="10">
        <f>_xlfn.XLOOKUP(Order_Details[[#This Row],[Order ID]], List_of_orders[Order ID], List_of_orders[Order Date (Clean)])</f>
        <v>43230</v>
      </c>
      <c r="I149" s="7" t="str">
        <f>_xlfn.XLOOKUP(Order_Details[[#This Row],[Order ID]], List_of_orders[Order ID], List_of_orders[CustomerName])</f>
        <v>Sabah</v>
      </c>
      <c r="J149" s="7" t="str">
        <f>_xlfn.XLOOKUP(Order_Details[[#This Row],[Order ID]], List_of_orders[Order ID], List_of_orders[City])</f>
        <v>Mumbai</v>
      </c>
      <c r="K149" s="8" t="str">
        <f>TEXT(Order_Details[[#This Row],[Order Date]], "YY-MMM")</f>
        <v>18-May</v>
      </c>
      <c r="L149" s="11">
        <f>Order_Details[[#This Row],[Profit]]/Order_Details[[#This Row],[Amount]]</f>
        <v>0.35294117647058826</v>
      </c>
      <c r="M149" s="8">
        <f>YEAR(Order_Details[[#This Row],[Order Date]])</f>
        <v>2018</v>
      </c>
      <c r="N149" s="8">
        <f>ROUNDUP(MONTH(Order_Details[[#This Row],[Order Date]])/3, 0)</f>
        <v>2</v>
      </c>
    </row>
    <row r="150" spans="1:14">
      <c r="A150" s="1" t="s">
        <v>166</v>
      </c>
      <c r="B150" s="1">
        <v>229</v>
      </c>
      <c r="C150" s="1">
        <v>-23</v>
      </c>
      <c r="D150" s="1">
        <v>2</v>
      </c>
      <c r="E150" s="1" t="s">
        <v>1076</v>
      </c>
      <c r="F150" s="1" t="s">
        <v>1106</v>
      </c>
      <c r="G150" s="7" t="str">
        <f>_xlfn.XLOOKUP(Order_Details[[#This Row],[Order ID]], List_of_orders[Order ID], List_of_orders[State])</f>
        <v>Maharashtra</v>
      </c>
      <c r="H150" s="10">
        <f>_xlfn.XLOOKUP(Order_Details[[#This Row],[Order ID]], List_of_orders[Order ID], List_of_orders[Order Date (Clean)])</f>
        <v>43230</v>
      </c>
      <c r="I150" s="7" t="str">
        <f>_xlfn.XLOOKUP(Order_Details[[#This Row],[Order ID]], List_of_orders[Order ID], List_of_orders[CustomerName])</f>
        <v>Sabah</v>
      </c>
      <c r="J150" s="7" t="str">
        <f>_xlfn.XLOOKUP(Order_Details[[#This Row],[Order ID]], List_of_orders[Order ID], List_of_orders[City])</f>
        <v>Mumbai</v>
      </c>
      <c r="K150" s="8" t="str">
        <f>TEXT(Order_Details[[#This Row],[Order Date]], "YY-MMM")</f>
        <v>18-May</v>
      </c>
      <c r="L150" s="11">
        <f>Order_Details[[#This Row],[Profit]]/Order_Details[[#This Row],[Amount]]</f>
        <v>-0.10043668122270742</v>
      </c>
      <c r="M150" s="8">
        <f>YEAR(Order_Details[[#This Row],[Order Date]])</f>
        <v>2018</v>
      </c>
      <c r="N150" s="8">
        <f>ROUNDUP(MONTH(Order_Details[[#This Row],[Order Date]])/3, 0)</f>
        <v>2</v>
      </c>
    </row>
    <row r="151" spans="1:14">
      <c r="A151" s="1" t="s">
        <v>166</v>
      </c>
      <c r="B151" s="1">
        <v>54</v>
      </c>
      <c r="C151" s="1">
        <v>-3</v>
      </c>
      <c r="D151" s="1">
        <v>3</v>
      </c>
      <c r="E151" s="1" t="s">
        <v>1076</v>
      </c>
      <c r="F151" s="1" t="s">
        <v>1106</v>
      </c>
      <c r="G151" s="7" t="str">
        <f>_xlfn.XLOOKUP(Order_Details[[#This Row],[Order ID]], List_of_orders[Order ID], List_of_orders[State])</f>
        <v>Maharashtra</v>
      </c>
      <c r="H151" s="10">
        <f>_xlfn.XLOOKUP(Order_Details[[#This Row],[Order ID]], List_of_orders[Order ID], List_of_orders[Order Date (Clean)])</f>
        <v>43230</v>
      </c>
      <c r="I151" s="7" t="str">
        <f>_xlfn.XLOOKUP(Order_Details[[#This Row],[Order ID]], List_of_orders[Order ID], List_of_orders[CustomerName])</f>
        <v>Sabah</v>
      </c>
      <c r="J151" s="7" t="str">
        <f>_xlfn.XLOOKUP(Order_Details[[#This Row],[Order ID]], List_of_orders[Order ID], List_of_orders[City])</f>
        <v>Mumbai</v>
      </c>
      <c r="K151" s="8" t="str">
        <f>TEXT(Order_Details[[#This Row],[Order Date]], "YY-MMM")</f>
        <v>18-May</v>
      </c>
      <c r="L151" s="11">
        <f>Order_Details[[#This Row],[Profit]]/Order_Details[[#This Row],[Amount]]</f>
        <v>-5.5555555555555552E-2</v>
      </c>
      <c r="M151" s="8">
        <f>YEAR(Order_Details[[#This Row],[Order Date]])</f>
        <v>2018</v>
      </c>
      <c r="N151" s="8">
        <f>ROUNDUP(MONTH(Order_Details[[#This Row],[Order Date]])/3, 0)</f>
        <v>2</v>
      </c>
    </row>
    <row r="152" spans="1:14">
      <c r="A152" s="1" t="s">
        <v>166</v>
      </c>
      <c r="B152" s="1">
        <v>269</v>
      </c>
      <c r="C152" s="1">
        <v>-86</v>
      </c>
      <c r="D152" s="1">
        <v>2</v>
      </c>
      <c r="E152" s="1" t="s">
        <v>1077</v>
      </c>
      <c r="F152" s="1" t="s">
        <v>1104</v>
      </c>
      <c r="G152" s="7" t="str">
        <f>_xlfn.XLOOKUP(Order_Details[[#This Row],[Order ID]], List_of_orders[Order ID], List_of_orders[State])</f>
        <v>Maharashtra</v>
      </c>
      <c r="H152" s="10">
        <f>_xlfn.XLOOKUP(Order_Details[[#This Row],[Order ID]], List_of_orders[Order ID], List_of_orders[Order Date (Clean)])</f>
        <v>43230</v>
      </c>
      <c r="I152" s="7" t="str">
        <f>_xlfn.XLOOKUP(Order_Details[[#This Row],[Order ID]], List_of_orders[Order ID], List_of_orders[CustomerName])</f>
        <v>Sabah</v>
      </c>
      <c r="J152" s="7" t="str">
        <f>_xlfn.XLOOKUP(Order_Details[[#This Row],[Order ID]], List_of_orders[Order ID], List_of_orders[City])</f>
        <v>Mumbai</v>
      </c>
      <c r="K152" s="8" t="str">
        <f>TEXT(Order_Details[[#This Row],[Order Date]], "YY-MMM")</f>
        <v>18-May</v>
      </c>
      <c r="L152" s="11">
        <f>Order_Details[[#This Row],[Profit]]/Order_Details[[#This Row],[Amount]]</f>
        <v>-0.31970260223048325</v>
      </c>
      <c r="M152" s="8">
        <f>YEAR(Order_Details[[#This Row],[Order Date]])</f>
        <v>2018</v>
      </c>
      <c r="N152" s="8">
        <f>ROUNDUP(MONTH(Order_Details[[#This Row],[Order Date]])/3, 0)</f>
        <v>2</v>
      </c>
    </row>
    <row r="153" spans="1:14">
      <c r="A153" s="1" t="s">
        <v>166</v>
      </c>
      <c r="B153" s="1">
        <v>122</v>
      </c>
      <c r="C153" s="1">
        <v>-21</v>
      </c>
      <c r="D153" s="1">
        <v>3</v>
      </c>
      <c r="E153" s="1" t="s">
        <v>1075</v>
      </c>
      <c r="F153" s="1" t="s">
        <v>1116</v>
      </c>
      <c r="G153" s="7" t="str">
        <f>_xlfn.XLOOKUP(Order_Details[[#This Row],[Order ID]], List_of_orders[Order ID], List_of_orders[State])</f>
        <v>Maharashtra</v>
      </c>
      <c r="H153" s="10">
        <f>_xlfn.XLOOKUP(Order_Details[[#This Row],[Order ID]], List_of_orders[Order ID], List_of_orders[Order Date (Clean)])</f>
        <v>43230</v>
      </c>
      <c r="I153" s="7" t="str">
        <f>_xlfn.XLOOKUP(Order_Details[[#This Row],[Order ID]], List_of_orders[Order ID], List_of_orders[CustomerName])</f>
        <v>Sabah</v>
      </c>
      <c r="J153" s="7" t="str">
        <f>_xlfn.XLOOKUP(Order_Details[[#This Row],[Order ID]], List_of_orders[Order ID], List_of_orders[City])</f>
        <v>Mumbai</v>
      </c>
      <c r="K153" s="8" t="str">
        <f>TEXT(Order_Details[[#This Row],[Order Date]], "YY-MMM")</f>
        <v>18-May</v>
      </c>
      <c r="L153" s="11">
        <f>Order_Details[[#This Row],[Profit]]/Order_Details[[#This Row],[Amount]]</f>
        <v>-0.1721311475409836</v>
      </c>
      <c r="M153" s="8">
        <f>YEAR(Order_Details[[#This Row],[Order Date]])</f>
        <v>2018</v>
      </c>
      <c r="N153" s="8">
        <f>ROUNDUP(MONTH(Order_Details[[#This Row],[Order Date]])/3, 0)</f>
        <v>2</v>
      </c>
    </row>
    <row r="154" spans="1:14">
      <c r="A154" s="1" t="s">
        <v>166</v>
      </c>
      <c r="B154" s="1">
        <v>105</v>
      </c>
      <c r="C154" s="1">
        <v>46</v>
      </c>
      <c r="D154" s="1">
        <v>2</v>
      </c>
      <c r="E154" s="1" t="s">
        <v>1076</v>
      </c>
      <c r="F154" s="1" t="s">
        <v>1102</v>
      </c>
      <c r="G154" s="7" t="str">
        <f>_xlfn.XLOOKUP(Order_Details[[#This Row],[Order ID]], List_of_orders[Order ID], List_of_orders[State])</f>
        <v>Maharashtra</v>
      </c>
      <c r="H154" s="10">
        <f>_xlfn.XLOOKUP(Order_Details[[#This Row],[Order ID]], List_of_orders[Order ID], List_of_orders[Order Date (Clean)])</f>
        <v>43230</v>
      </c>
      <c r="I154" s="7" t="str">
        <f>_xlfn.XLOOKUP(Order_Details[[#This Row],[Order ID]], List_of_orders[Order ID], List_of_orders[CustomerName])</f>
        <v>Sabah</v>
      </c>
      <c r="J154" s="7" t="str">
        <f>_xlfn.XLOOKUP(Order_Details[[#This Row],[Order ID]], List_of_orders[Order ID], List_of_orders[City])</f>
        <v>Mumbai</v>
      </c>
      <c r="K154" s="8" t="str">
        <f>TEXT(Order_Details[[#This Row],[Order Date]], "YY-MMM")</f>
        <v>18-May</v>
      </c>
      <c r="L154" s="11">
        <f>Order_Details[[#This Row],[Profit]]/Order_Details[[#This Row],[Amount]]</f>
        <v>0.43809523809523809</v>
      </c>
      <c r="M154" s="8">
        <f>YEAR(Order_Details[[#This Row],[Order Date]])</f>
        <v>2018</v>
      </c>
      <c r="N154" s="8">
        <f>ROUNDUP(MONTH(Order_Details[[#This Row],[Order Date]])/3, 0)</f>
        <v>2</v>
      </c>
    </row>
    <row r="155" spans="1:14">
      <c r="A155" s="1" t="s">
        <v>166</v>
      </c>
      <c r="B155" s="1">
        <v>450</v>
      </c>
      <c r="C155" s="1">
        <v>-90</v>
      </c>
      <c r="D155" s="1">
        <v>3</v>
      </c>
      <c r="E155" s="1" t="s">
        <v>1077</v>
      </c>
      <c r="F155" s="1" t="s">
        <v>1114</v>
      </c>
      <c r="G155" s="7" t="str">
        <f>_xlfn.XLOOKUP(Order_Details[[#This Row],[Order ID]], List_of_orders[Order ID], List_of_orders[State])</f>
        <v>Maharashtra</v>
      </c>
      <c r="H155" s="10">
        <f>_xlfn.XLOOKUP(Order_Details[[#This Row],[Order ID]], List_of_orders[Order ID], List_of_orders[Order Date (Clean)])</f>
        <v>43230</v>
      </c>
      <c r="I155" s="7" t="str">
        <f>_xlfn.XLOOKUP(Order_Details[[#This Row],[Order ID]], List_of_orders[Order ID], List_of_orders[CustomerName])</f>
        <v>Sabah</v>
      </c>
      <c r="J155" s="7" t="str">
        <f>_xlfn.XLOOKUP(Order_Details[[#This Row],[Order ID]], List_of_orders[Order ID], List_of_orders[City])</f>
        <v>Mumbai</v>
      </c>
      <c r="K155" s="8" t="str">
        <f>TEXT(Order_Details[[#This Row],[Order Date]], "YY-MMM")</f>
        <v>18-May</v>
      </c>
      <c r="L155" s="11">
        <f>Order_Details[[#This Row],[Profit]]/Order_Details[[#This Row],[Amount]]</f>
        <v>-0.2</v>
      </c>
      <c r="M155" s="8">
        <f>YEAR(Order_Details[[#This Row],[Order Date]])</f>
        <v>2018</v>
      </c>
      <c r="N155" s="8">
        <f>ROUNDUP(MONTH(Order_Details[[#This Row],[Order Date]])/3, 0)</f>
        <v>2</v>
      </c>
    </row>
    <row r="156" spans="1:14">
      <c r="A156" s="1" t="s">
        <v>166</v>
      </c>
      <c r="B156" s="1">
        <v>121</v>
      </c>
      <c r="C156" s="1">
        <v>-17</v>
      </c>
      <c r="D156" s="1">
        <v>3</v>
      </c>
      <c r="E156" s="1" t="s">
        <v>1075</v>
      </c>
      <c r="F156" s="1" t="s">
        <v>1116</v>
      </c>
      <c r="G156" s="7" t="str">
        <f>_xlfn.XLOOKUP(Order_Details[[#This Row],[Order ID]], List_of_orders[Order ID], List_of_orders[State])</f>
        <v>Maharashtra</v>
      </c>
      <c r="H156" s="10">
        <f>_xlfn.XLOOKUP(Order_Details[[#This Row],[Order ID]], List_of_orders[Order ID], List_of_orders[Order Date (Clean)])</f>
        <v>43230</v>
      </c>
      <c r="I156" s="7" t="str">
        <f>_xlfn.XLOOKUP(Order_Details[[#This Row],[Order ID]], List_of_orders[Order ID], List_of_orders[CustomerName])</f>
        <v>Sabah</v>
      </c>
      <c r="J156" s="7" t="str">
        <f>_xlfn.XLOOKUP(Order_Details[[#This Row],[Order ID]], List_of_orders[Order ID], List_of_orders[City])</f>
        <v>Mumbai</v>
      </c>
      <c r="K156" s="8" t="str">
        <f>TEXT(Order_Details[[#This Row],[Order Date]], "YY-MMM")</f>
        <v>18-May</v>
      </c>
      <c r="L156" s="11">
        <f>Order_Details[[#This Row],[Profit]]/Order_Details[[#This Row],[Amount]]</f>
        <v>-0.14049586776859505</v>
      </c>
      <c r="M156" s="8">
        <f>YEAR(Order_Details[[#This Row],[Order Date]])</f>
        <v>2018</v>
      </c>
      <c r="N156" s="8">
        <f>ROUNDUP(MONTH(Order_Details[[#This Row],[Order Date]])/3, 0)</f>
        <v>2</v>
      </c>
    </row>
    <row r="157" spans="1:14">
      <c r="A157" s="1" t="s">
        <v>168</v>
      </c>
      <c r="B157" s="1">
        <v>44</v>
      </c>
      <c r="C157" s="1">
        <v>-26</v>
      </c>
      <c r="D157" s="1">
        <v>3</v>
      </c>
      <c r="E157" s="1" t="s">
        <v>1076</v>
      </c>
      <c r="F157" s="1" t="s">
        <v>1103</v>
      </c>
      <c r="G157" s="7" t="str">
        <f>_xlfn.XLOOKUP(Order_Details[[#This Row],[Order ID]], List_of_orders[Order ID], List_of_orders[State])</f>
        <v>Madhya Pradesh</v>
      </c>
      <c r="H157" s="10">
        <f>_xlfn.XLOOKUP(Order_Details[[#This Row],[Order ID]], List_of_orders[Order ID], List_of_orders[Order Date (Clean)])</f>
        <v>43231</v>
      </c>
      <c r="I157" s="7" t="str">
        <f>_xlfn.XLOOKUP(Order_Details[[#This Row],[Order ID]], List_of_orders[Order ID], List_of_orders[CustomerName])</f>
        <v>Nida</v>
      </c>
      <c r="J157" s="7" t="str">
        <f>_xlfn.XLOOKUP(Order_Details[[#This Row],[Order ID]], List_of_orders[Order ID], List_of_orders[City])</f>
        <v>Indore</v>
      </c>
      <c r="K157" s="8" t="str">
        <f>TEXT(Order_Details[[#This Row],[Order Date]], "YY-MMM")</f>
        <v>18-May</v>
      </c>
      <c r="L157" s="11">
        <f>Order_Details[[#This Row],[Profit]]/Order_Details[[#This Row],[Amount]]</f>
        <v>-0.59090909090909094</v>
      </c>
      <c r="M157" s="8">
        <f>YEAR(Order_Details[[#This Row],[Order Date]])</f>
        <v>2018</v>
      </c>
      <c r="N157" s="8">
        <f>ROUNDUP(MONTH(Order_Details[[#This Row],[Order Date]])/3, 0)</f>
        <v>2</v>
      </c>
    </row>
    <row r="158" spans="1:14">
      <c r="A158" s="1" t="s">
        <v>168</v>
      </c>
      <c r="B158" s="1">
        <v>7</v>
      </c>
      <c r="C158" s="1">
        <v>-4</v>
      </c>
      <c r="D158" s="1">
        <v>3</v>
      </c>
      <c r="E158" s="1" t="s">
        <v>1076</v>
      </c>
      <c r="F158" s="1" t="s">
        <v>1103</v>
      </c>
      <c r="G158" s="7" t="str">
        <f>_xlfn.XLOOKUP(Order_Details[[#This Row],[Order ID]], List_of_orders[Order ID], List_of_orders[State])</f>
        <v>Madhya Pradesh</v>
      </c>
      <c r="H158" s="10">
        <f>_xlfn.XLOOKUP(Order_Details[[#This Row],[Order ID]], List_of_orders[Order ID], List_of_orders[Order Date (Clean)])</f>
        <v>43231</v>
      </c>
      <c r="I158" s="7" t="str">
        <f>_xlfn.XLOOKUP(Order_Details[[#This Row],[Order ID]], List_of_orders[Order ID], List_of_orders[CustomerName])</f>
        <v>Nida</v>
      </c>
      <c r="J158" s="7" t="str">
        <f>_xlfn.XLOOKUP(Order_Details[[#This Row],[Order ID]], List_of_orders[Order ID], List_of_orders[City])</f>
        <v>Indore</v>
      </c>
      <c r="K158" s="8" t="str">
        <f>TEXT(Order_Details[[#This Row],[Order Date]], "YY-MMM")</f>
        <v>18-May</v>
      </c>
      <c r="L158" s="11">
        <f>Order_Details[[#This Row],[Profit]]/Order_Details[[#This Row],[Amount]]</f>
        <v>-0.5714285714285714</v>
      </c>
      <c r="M158" s="8">
        <f>YEAR(Order_Details[[#This Row],[Order Date]])</f>
        <v>2018</v>
      </c>
      <c r="N158" s="8">
        <f>ROUNDUP(MONTH(Order_Details[[#This Row],[Order Date]])/3, 0)</f>
        <v>2</v>
      </c>
    </row>
    <row r="159" spans="1:14">
      <c r="A159" s="1" t="s">
        <v>168</v>
      </c>
      <c r="B159" s="1">
        <v>396</v>
      </c>
      <c r="C159" s="1">
        <v>-31</v>
      </c>
      <c r="D159" s="1">
        <v>9</v>
      </c>
      <c r="E159" s="1" t="s">
        <v>1076</v>
      </c>
      <c r="F159" s="1" t="s">
        <v>1106</v>
      </c>
      <c r="G159" s="7" t="str">
        <f>_xlfn.XLOOKUP(Order_Details[[#This Row],[Order ID]], List_of_orders[Order ID], List_of_orders[State])</f>
        <v>Madhya Pradesh</v>
      </c>
      <c r="H159" s="10">
        <f>_xlfn.XLOOKUP(Order_Details[[#This Row],[Order ID]], List_of_orders[Order ID], List_of_orders[Order Date (Clean)])</f>
        <v>43231</v>
      </c>
      <c r="I159" s="7" t="str">
        <f>_xlfn.XLOOKUP(Order_Details[[#This Row],[Order ID]], List_of_orders[Order ID], List_of_orders[CustomerName])</f>
        <v>Nida</v>
      </c>
      <c r="J159" s="7" t="str">
        <f>_xlfn.XLOOKUP(Order_Details[[#This Row],[Order ID]], List_of_orders[Order ID], List_of_orders[City])</f>
        <v>Indore</v>
      </c>
      <c r="K159" s="8" t="str">
        <f>TEXT(Order_Details[[#This Row],[Order Date]], "YY-MMM")</f>
        <v>18-May</v>
      </c>
      <c r="L159" s="11">
        <f>Order_Details[[#This Row],[Profit]]/Order_Details[[#This Row],[Amount]]</f>
        <v>-7.8282828282828287E-2</v>
      </c>
      <c r="M159" s="8">
        <f>YEAR(Order_Details[[#This Row],[Order Date]])</f>
        <v>2018</v>
      </c>
      <c r="N159" s="8">
        <f>ROUNDUP(MONTH(Order_Details[[#This Row],[Order Date]])/3, 0)</f>
        <v>2</v>
      </c>
    </row>
    <row r="160" spans="1:14">
      <c r="A160" s="1" t="s">
        <v>168</v>
      </c>
      <c r="B160" s="1">
        <v>97</v>
      </c>
      <c r="C160" s="1">
        <v>-62</v>
      </c>
      <c r="D160" s="1">
        <v>2</v>
      </c>
      <c r="E160" s="1" t="s">
        <v>1076</v>
      </c>
      <c r="F160" s="1" t="s">
        <v>1107</v>
      </c>
      <c r="G160" s="7" t="str">
        <f>_xlfn.XLOOKUP(Order_Details[[#This Row],[Order ID]], List_of_orders[Order ID], List_of_orders[State])</f>
        <v>Madhya Pradesh</v>
      </c>
      <c r="H160" s="10">
        <f>_xlfn.XLOOKUP(Order_Details[[#This Row],[Order ID]], List_of_orders[Order ID], List_of_orders[Order Date (Clean)])</f>
        <v>43231</v>
      </c>
      <c r="I160" s="7" t="str">
        <f>_xlfn.XLOOKUP(Order_Details[[#This Row],[Order ID]], List_of_orders[Order ID], List_of_orders[CustomerName])</f>
        <v>Nida</v>
      </c>
      <c r="J160" s="7" t="str">
        <f>_xlfn.XLOOKUP(Order_Details[[#This Row],[Order ID]], List_of_orders[Order ID], List_of_orders[City])</f>
        <v>Indore</v>
      </c>
      <c r="K160" s="8" t="str">
        <f>TEXT(Order_Details[[#This Row],[Order Date]], "YY-MMM")</f>
        <v>18-May</v>
      </c>
      <c r="L160" s="11">
        <f>Order_Details[[#This Row],[Profit]]/Order_Details[[#This Row],[Amount]]</f>
        <v>-0.63917525773195871</v>
      </c>
      <c r="M160" s="8">
        <f>YEAR(Order_Details[[#This Row],[Order Date]])</f>
        <v>2018</v>
      </c>
      <c r="N160" s="8">
        <f>ROUNDUP(MONTH(Order_Details[[#This Row],[Order Date]])/3, 0)</f>
        <v>2</v>
      </c>
    </row>
    <row r="161" spans="1:14">
      <c r="A161" s="1" t="s">
        <v>168</v>
      </c>
      <c r="B161" s="1">
        <v>110</v>
      </c>
      <c r="C161" s="1">
        <v>-68</v>
      </c>
      <c r="D161" s="1">
        <v>4</v>
      </c>
      <c r="E161" s="1" t="s">
        <v>1076</v>
      </c>
      <c r="F161" s="1" t="s">
        <v>1106</v>
      </c>
      <c r="G161" s="7" t="str">
        <f>_xlfn.XLOOKUP(Order_Details[[#This Row],[Order ID]], List_of_orders[Order ID], List_of_orders[State])</f>
        <v>Madhya Pradesh</v>
      </c>
      <c r="H161" s="10">
        <f>_xlfn.XLOOKUP(Order_Details[[#This Row],[Order ID]], List_of_orders[Order ID], List_of_orders[Order Date (Clean)])</f>
        <v>43231</v>
      </c>
      <c r="I161" s="7" t="str">
        <f>_xlfn.XLOOKUP(Order_Details[[#This Row],[Order ID]], List_of_orders[Order ID], List_of_orders[CustomerName])</f>
        <v>Nida</v>
      </c>
      <c r="J161" s="7" t="str">
        <f>_xlfn.XLOOKUP(Order_Details[[#This Row],[Order ID]], List_of_orders[Order ID], List_of_orders[City])</f>
        <v>Indore</v>
      </c>
      <c r="K161" s="8" t="str">
        <f>TEXT(Order_Details[[#This Row],[Order Date]], "YY-MMM")</f>
        <v>18-May</v>
      </c>
      <c r="L161" s="11">
        <f>Order_Details[[#This Row],[Profit]]/Order_Details[[#This Row],[Amount]]</f>
        <v>-0.61818181818181817</v>
      </c>
      <c r="M161" s="8">
        <f>YEAR(Order_Details[[#This Row],[Order Date]])</f>
        <v>2018</v>
      </c>
      <c r="N161" s="8">
        <f>ROUNDUP(MONTH(Order_Details[[#This Row],[Order Date]])/3, 0)</f>
        <v>2</v>
      </c>
    </row>
    <row r="162" spans="1:14">
      <c r="A162" s="1" t="s">
        <v>168</v>
      </c>
      <c r="B162" s="1">
        <v>312</v>
      </c>
      <c r="C162" s="1">
        <v>-312</v>
      </c>
      <c r="D162" s="1">
        <v>7</v>
      </c>
      <c r="E162" s="1" t="s">
        <v>1075</v>
      </c>
      <c r="F162" s="1" t="s">
        <v>1108</v>
      </c>
      <c r="G162" s="7" t="str">
        <f>_xlfn.XLOOKUP(Order_Details[[#This Row],[Order ID]], List_of_orders[Order ID], List_of_orders[State])</f>
        <v>Madhya Pradesh</v>
      </c>
      <c r="H162" s="10">
        <f>_xlfn.XLOOKUP(Order_Details[[#This Row],[Order ID]], List_of_orders[Order ID], List_of_orders[Order Date (Clean)])</f>
        <v>43231</v>
      </c>
      <c r="I162" s="7" t="str">
        <f>_xlfn.XLOOKUP(Order_Details[[#This Row],[Order ID]], List_of_orders[Order ID], List_of_orders[CustomerName])</f>
        <v>Nida</v>
      </c>
      <c r="J162" s="7" t="str">
        <f>_xlfn.XLOOKUP(Order_Details[[#This Row],[Order ID]], List_of_orders[Order ID], List_of_orders[City])</f>
        <v>Indore</v>
      </c>
      <c r="K162" s="8" t="str">
        <f>TEXT(Order_Details[[#This Row],[Order Date]], "YY-MMM")</f>
        <v>18-May</v>
      </c>
      <c r="L162" s="11">
        <f>Order_Details[[#This Row],[Profit]]/Order_Details[[#This Row],[Amount]]</f>
        <v>-1</v>
      </c>
      <c r="M162" s="8">
        <f>YEAR(Order_Details[[#This Row],[Order Date]])</f>
        <v>2018</v>
      </c>
      <c r="N162" s="8">
        <f>ROUNDUP(MONTH(Order_Details[[#This Row],[Order Date]])/3, 0)</f>
        <v>2</v>
      </c>
    </row>
    <row r="163" spans="1:14">
      <c r="A163" s="1" t="s">
        <v>168</v>
      </c>
      <c r="B163" s="1">
        <v>9</v>
      </c>
      <c r="C163" s="1">
        <v>-6</v>
      </c>
      <c r="D163" s="1">
        <v>2</v>
      </c>
      <c r="E163" s="1" t="s">
        <v>1076</v>
      </c>
      <c r="F163" s="1" t="s">
        <v>1117</v>
      </c>
      <c r="G163" s="7" t="str">
        <f>_xlfn.XLOOKUP(Order_Details[[#This Row],[Order ID]], List_of_orders[Order ID], List_of_orders[State])</f>
        <v>Madhya Pradesh</v>
      </c>
      <c r="H163" s="10">
        <f>_xlfn.XLOOKUP(Order_Details[[#This Row],[Order ID]], List_of_orders[Order ID], List_of_orders[Order Date (Clean)])</f>
        <v>43231</v>
      </c>
      <c r="I163" s="7" t="str">
        <f>_xlfn.XLOOKUP(Order_Details[[#This Row],[Order ID]], List_of_orders[Order ID], List_of_orders[CustomerName])</f>
        <v>Nida</v>
      </c>
      <c r="J163" s="7" t="str">
        <f>_xlfn.XLOOKUP(Order_Details[[#This Row],[Order ID]], List_of_orders[Order ID], List_of_orders[City])</f>
        <v>Indore</v>
      </c>
      <c r="K163" s="8" t="str">
        <f>TEXT(Order_Details[[#This Row],[Order Date]], "YY-MMM")</f>
        <v>18-May</v>
      </c>
      <c r="L163" s="11">
        <f>Order_Details[[#This Row],[Profit]]/Order_Details[[#This Row],[Amount]]</f>
        <v>-0.66666666666666663</v>
      </c>
      <c r="M163" s="8">
        <f>YEAR(Order_Details[[#This Row],[Order Date]])</f>
        <v>2018</v>
      </c>
      <c r="N163" s="8">
        <f>ROUNDUP(MONTH(Order_Details[[#This Row],[Order Date]])/3, 0)</f>
        <v>2</v>
      </c>
    </row>
    <row r="164" spans="1:14">
      <c r="A164" s="1" t="s">
        <v>168</v>
      </c>
      <c r="B164" s="1">
        <v>6</v>
      </c>
      <c r="C164" s="1">
        <v>-3</v>
      </c>
      <c r="D164" s="1">
        <v>1</v>
      </c>
      <c r="E164" s="1" t="s">
        <v>1076</v>
      </c>
      <c r="F164" s="1" t="s">
        <v>1103</v>
      </c>
      <c r="G164" s="7" t="str">
        <f>_xlfn.XLOOKUP(Order_Details[[#This Row],[Order ID]], List_of_orders[Order ID], List_of_orders[State])</f>
        <v>Madhya Pradesh</v>
      </c>
      <c r="H164" s="10">
        <f>_xlfn.XLOOKUP(Order_Details[[#This Row],[Order ID]], List_of_orders[Order ID], List_of_orders[Order Date (Clean)])</f>
        <v>43231</v>
      </c>
      <c r="I164" s="7" t="str">
        <f>_xlfn.XLOOKUP(Order_Details[[#This Row],[Order ID]], List_of_orders[Order ID], List_of_orders[CustomerName])</f>
        <v>Nida</v>
      </c>
      <c r="J164" s="7" t="str">
        <f>_xlfn.XLOOKUP(Order_Details[[#This Row],[Order ID]], List_of_orders[Order ID], List_of_orders[City])</f>
        <v>Indore</v>
      </c>
      <c r="K164" s="8" t="str">
        <f>TEXT(Order_Details[[#This Row],[Order Date]], "YY-MMM")</f>
        <v>18-May</v>
      </c>
      <c r="L164" s="11">
        <f>Order_Details[[#This Row],[Profit]]/Order_Details[[#This Row],[Amount]]</f>
        <v>-0.5</v>
      </c>
      <c r="M164" s="8">
        <f>YEAR(Order_Details[[#This Row],[Order Date]])</f>
        <v>2018</v>
      </c>
      <c r="N164" s="8">
        <f>ROUNDUP(MONTH(Order_Details[[#This Row],[Order Date]])/3, 0)</f>
        <v>2</v>
      </c>
    </row>
    <row r="165" spans="1:14">
      <c r="A165" s="1" t="s">
        <v>168</v>
      </c>
      <c r="B165" s="1">
        <v>74</v>
      </c>
      <c r="C165" s="1">
        <v>23</v>
      </c>
      <c r="D165" s="1">
        <v>8</v>
      </c>
      <c r="E165" s="1" t="s">
        <v>1076</v>
      </c>
      <c r="F165" s="1" t="s">
        <v>1117</v>
      </c>
      <c r="G165" s="7" t="str">
        <f>_xlfn.XLOOKUP(Order_Details[[#This Row],[Order ID]], List_of_orders[Order ID], List_of_orders[State])</f>
        <v>Madhya Pradesh</v>
      </c>
      <c r="H165" s="10">
        <f>_xlfn.XLOOKUP(Order_Details[[#This Row],[Order ID]], List_of_orders[Order ID], List_of_orders[Order Date (Clean)])</f>
        <v>43231</v>
      </c>
      <c r="I165" s="7" t="str">
        <f>_xlfn.XLOOKUP(Order_Details[[#This Row],[Order ID]], List_of_orders[Order ID], List_of_orders[CustomerName])</f>
        <v>Nida</v>
      </c>
      <c r="J165" s="7" t="str">
        <f>_xlfn.XLOOKUP(Order_Details[[#This Row],[Order ID]], List_of_orders[Order ID], List_of_orders[City])</f>
        <v>Indore</v>
      </c>
      <c r="K165" s="8" t="str">
        <f>TEXT(Order_Details[[#This Row],[Order Date]], "YY-MMM")</f>
        <v>18-May</v>
      </c>
      <c r="L165" s="11">
        <f>Order_Details[[#This Row],[Profit]]/Order_Details[[#This Row],[Amount]]</f>
        <v>0.3108108108108108</v>
      </c>
      <c r="M165" s="8">
        <f>YEAR(Order_Details[[#This Row],[Order Date]])</f>
        <v>2018</v>
      </c>
      <c r="N165" s="8">
        <f>ROUNDUP(MONTH(Order_Details[[#This Row],[Order Date]])/3, 0)</f>
        <v>2</v>
      </c>
    </row>
    <row r="166" spans="1:14">
      <c r="A166" s="1" t="s">
        <v>170</v>
      </c>
      <c r="B166" s="1">
        <v>534</v>
      </c>
      <c r="C166" s="1">
        <v>0</v>
      </c>
      <c r="D166" s="1">
        <v>3</v>
      </c>
      <c r="E166" s="1" t="s">
        <v>1076</v>
      </c>
      <c r="F166" s="1" t="s">
        <v>1106</v>
      </c>
      <c r="G166" s="7" t="str">
        <f>_xlfn.XLOOKUP(Order_Details[[#This Row],[Order ID]], List_of_orders[Order ID], List_of_orders[State])</f>
        <v>Maharashtra</v>
      </c>
      <c r="H166" s="10">
        <f>_xlfn.XLOOKUP(Order_Details[[#This Row],[Order ID]], List_of_orders[Order ID], List_of_orders[Order Date (Clean)])</f>
        <v>43231</v>
      </c>
      <c r="I166" s="7" t="str">
        <f>_xlfn.XLOOKUP(Order_Details[[#This Row],[Order ID]], List_of_orders[Order ID], List_of_orders[CustomerName])</f>
        <v>Priyanka</v>
      </c>
      <c r="J166" s="7" t="str">
        <f>_xlfn.XLOOKUP(Order_Details[[#This Row],[Order ID]], List_of_orders[Order ID], List_of_orders[City])</f>
        <v>Pune</v>
      </c>
      <c r="K166" s="8" t="str">
        <f>TEXT(Order_Details[[#This Row],[Order Date]], "YY-MMM")</f>
        <v>18-May</v>
      </c>
      <c r="L166" s="11">
        <f>Order_Details[[#This Row],[Profit]]/Order_Details[[#This Row],[Amount]]</f>
        <v>0</v>
      </c>
      <c r="M166" s="8">
        <f>YEAR(Order_Details[[#This Row],[Order Date]])</f>
        <v>2018</v>
      </c>
      <c r="N166" s="8">
        <f>ROUNDUP(MONTH(Order_Details[[#This Row],[Order Date]])/3, 0)</f>
        <v>2</v>
      </c>
    </row>
    <row r="167" spans="1:14">
      <c r="A167" s="1" t="s">
        <v>170</v>
      </c>
      <c r="B167" s="1">
        <v>30</v>
      </c>
      <c r="C167" s="1">
        <v>-5</v>
      </c>
      <c r="D167" s="1">
        <v>5</v>
      </c>
      <c r="E167" s="1" t="s">
        <v>1076</v>
      </c>
      <c r="F167" s="1" t="s">
        <v>1102</v>
      </c>
      <c r="G167" s="7" t="str">
        <f>_xlfn.XLOOKUP(Order_Details[[#This Row],[Order ID]], List_of_orders[Order ID], List_of_orders[State])</f>
        <v>Maharashtra</v>
      </c>
      <c r="H167" s="10">
        <f>_xlfn.XLOOKUP(Order_Details[[#This Row],[Order ID]], List_of_orders[Order ID], List_of_orders[Order Date (Clean)])</f>
        <v>43231</v>
      </c>
      <c r="I167" s="7" t="str">
        <f>_xlfn.XLOOKUP(Order_Details[[#This Row],[Order ID]], List_of_orders[Order ID], List_of_orders[CustomerName])</f>
        <v>Priyanka</v>
      </c>
      <c r="J167" s="7" t="str">
        <f>_xlfn.XLOOKUP(Order_Details[[#This Row],[Order ID]], List_of_orders[Order ID], List_of_orders[City])</f>
        <v>Pune</v>
      </c>
      <c r="K167" s="8" t="str">
        <f>TEXT(Order_Details[[#This Row],[Order Date]], "YY-MMM")</f>
        <v>18-May</v>
      </c>
      <c r="L167" s="11">
        <f>Order_Details[[#This Row],[Profit]]/Order_Details[[#This Row],[Amount]]</f>
        <v>-0.16666666666666666</v>
      </c>
      <c r="M167" s="8">
        <f>YEAR(Order_Details[[#This Row],[Order Date]])</f>
        <v>2018</v>
      </c>
      <c r="N167" s="8">
        <f>ROUNDUP(MONTH(Order_Details[[#This Row],[Order Date]])/3, 0)</f>
        <v>2</v>
      </c>
    </row>
    <row r="168" spans="1:14">
      <c r="A168" s="1" t="s">
        <v>170</v>
      </c>
      <c r="B168" s="1">
        <v>61</v>
      </c>
      <c r="C168" s="1">
        <v>-23</v>
      </c>
      <c r="D168" s="1">
        <v>2</v>
      </c>
      <c r="E168" s="1" t="s">
        <v>1076</v>
      </c>
      <c r="F168" s="1" t="s">
        <v>1106</v>
      </c>
      <c r="G168" s="7" t="str">
        <f>_xlfn.XLOOKUP(Order_Details[[#This Row],[Order ID]], List_of_orders[Order ID], List_of_orders[State])</f>
        <v>Maharashtra</v>
      </c>
      <c r="H168" s="10">
        <f>_xlfn.XLOOKUP(Order_Details[[#This Row],[Order ID]], List_of_orders[Order ID], List_of_orders[Order Date (Clean)])</f>
        <v>43231</v>
      </c>
      <c r="I168" s="7" t="str">
        <f>_xlfn.XLOOKUP(Order_Details[[#This Row],[Order ID]], List_of_orders[Order ID], List_of_orders[CustomerName])</f>
        <v>Priyanka</v>
      </c>
      <c r="J168" s="7" t="str">
        <f>_xlfn.XLOOKUP(Order_Details[[#This Row],[Order ID]], List_of_orders[Order ID], List_of_orders[City])</f>
        <v>Pune</v>
      </c>
      <c r="K168" s="8" t="str">
        <f>TEXT(Order_Details[[#This Row],[Order Date]], "YY-MMM")</f>
        <v>18-May</v>
      </c>
      <c r="L168" s="11">
        <f>Order_Details[[#This Row],[Profit]]/Order_Details[[#This Row],[Amount]]</f>
        <v>-0.37704918032786883</v>
      </c>
      <c r="M168" s="8">
        <f>YEAR(Order_Details[[#This Row],[Order Date]])</f>
        <v>2018</v>
      </c>
      <c r="N168" s="8">
        <f>ROUNDUP(MONTH(Order_Details[[#This Row],[Order Date]])/3, 0)</f>
        <v>2</v>
      </c>
    </row>
    <row r="169" spans="1:14">
      <c r="A169" s="1" t="s">
        <v>170</v>
      </c>
      <c r="B169" s="1">
        <v>6</v>
      </c>
      <c r="C169" s="1">
        <v>3</v>
      </c>
      <c r="D169" s="1">
        <v>1</v>
      </c>
      <c r="E169" s="1" t="s">
        <v>1076</v>
      </c>
      <c r="F169" s="1" t="s">
        <v>1103</v>
      </c>
      <c r="G169" s="7" t="str">
        <f>_xlfn.XLOOKUP(Order_Details[[#This Row],[Order ID]], List_of_orders[Order ID], List_of_orders[State])</f>
        <v>Maharashtra</v>
      </c>
      <c r="H169" s="10">
        <f>_xlfn.XLOOKUP(Order_Details[[#This Row],[Order ID]], List_of_orders[Order ID], List_of_orders[Order Date (Clean)])</f>
        <v>43231</v>
      </c>
      <c r="I169" s="7" t="str">
        <f>_xlfn.XLOOKUP(Order_Details[[#This Row],[Order ID]], List_of_orders[Order ID], List_of_orders[CustomerName])</f>
        <v>Priyanka</v>
      </c>
      <c r="J169" s="7" t="str">
        <f>_xlfn.XLOOKUP(Order_Details[[#This Row],[Order ID]], List_of_orders[Order ID], List_of_orders[City])</f>
        <v>Pune</v>
      </c>
      <c r="K169" s="8" t="str">
        <f>TEXT(Order_Details[[#This Row],[Order Date]], "YY-MMM")</f>
        <v>18-May</v>
      </c>
      <c r="L169" s="11">
        <f>Order_Details[[#This Row],[Profit]]/Order_Details[[#This Row],[Amount]]</f>
        <v>0.5</v>
      </c>
      <c r="M169" s="8">
        <f>YEAR(Order_Details[[#This Row],[Order Date]])</f>
        <v>2018</v>
      </c>
      <c r="N169" s="8">
        <f>ROUNDUP(MONTH(Order_Details[[#This Row],[Order Date]])/3, 0)</f>
        <v>2</v>
      </c>
    </row>
    <row r="170" spans="1:14">
      <c r="A170" s="1" t="s">
        <v>170</v>
      </c>
      <c r="B170" s="1">
        <v>24</v>
      </c>
      <c r="C170" s="1">
        <v>-1</v>
      </c>
      <c r="D170" s="1">
        <v>2</v>
      </c>
      <c r="E170" s="1" t="s">
        <v>1076</v>
      </c>
      <c r="F170" s="1" t="s">
        <v>1103</v>
      </c>
      <c r="G170" s="7" t="str">
        <f>_xlfn.XLOOKUP(Order_Details[[#This Row],[Order ID]], List_of_orders[Order ID], List_of_orders[State])</f>
        <v>Maharashtra</v>
      </c>
      <c r="H170" s="10">
        <f>_xlfn.XLOOKUP(Order_Details[[#This Row],[Order ID]], List_of_orders[Order ID], List_of_orders[Order Date (Clean)])</f>
        <v>43231</v>
      </c>
      <c r="I170" s="7" t="str">
        <f>_xlfn.XLOOKUP(Order_Details[[#This Row],[Order ID]], List_of_orders[Order ID], List_of_orders[CustomerName])</f>
        <v>Priyanka</v>
      </c>
      <c r="J170" s="7" t="str">
        <f>_xlfn.XLOOKUP(Order_Details[[#This Row],[Order ID]], List_of_orders[Order ID], List_of_orders[City])</f>
        <v>Pune</v>
      </c>
      <c r="K170" s="8" t="str">
        <f>TEXT(Order_Details[[#This Row],[Order Date]], "YY-MMM")</f>
        <v>18-May</v>
      </c>
      <c r="L170" s="11">
        <f>Order_Details[[#This Row],[Profit]]/Order_Details[[#This Row],[Amount]]</f>
        <v>-4.1666666666666664E-2</v>
      </c>
      <c r="M170" s="8">
        <f>YEAR(Order_Details[[#This Row],[Order Date]])</f>
        <v>2018</v>
      </c>
      <c r="N170" s="8">
        <f>ROUNDUP(MONTH(Order_Details[[#This Row],[Order Date]])/3, 0)</f>
        <v>2</v>
      </c>
    </row>
    <row r="171" spans="1:14">
      <c r="A171" s="1" t="s">
        <v>170</v>
      </c>
      <c r="B171" s="1">
        <v>56</v>
      </c>
      <c r="C171" s="1">
        <v>18</v>
      </c>
      <c r="D171" s="1">
        <v>2</v>
      </c>
      <c r="E171" s="1" t="s">
        <v>1076</v>
      </c>
      <c r="F171" s="1" t="s">
        <v>1103</v>
      </c>
      <c r="G171" s="7" t="str">
        <f>_xlfn.XLOOKUP(Order_Details[[#This Row],[Order ID]], List_of_orders[Order ID], List_of_orders[State])</f>
        <v>Maharashtra</v>
      </c>
      <c r="H171" s="10">
        <f>_xlfn.XLOOKUP(Order_Details[[#This Row],[Order ID]], List_of_orders[Order ID], List_of_orders[Order Date (Clean)])</f>
        <v>43231</v>
      </c>
      <c r="I171" s="7" t="str">
        <f>_xlfn.XLOOKUP(Order_Details[[#This Row],[Order ID]], List_of_orders[Order ID], List_of_orders[CustomerName])</f>
        <v>Priyanka</v>
      </c>
      <c r="J171" s="7" t="str">
        <f>_xlfn.XLOOKUP(Order_Details[[#This Row],[Order ID]], List_of_orders[Order ID], List_of_orders[City])</f>
        <v>Pune</v>
      </c>
      <c r="K171" s="8" t="str">
        <f>TEXT(Order_Details[[#This Row],[Order Date]], "YY-MMM")</f>
        <v>18-May</v>
      </c>
      <c r="L171" s="11">
        <f>Order_Details[[#This Row],[Profit]]/Order_Details[[#This Row],[Amount]]</f>
        <v>0.32142857142857145</v>
      </c>
      <c r="M171" s="8">
        <f>YEAR(Order_Details[[#This Row],[Order Date]])</f>
        <v>2018</v>
      </c>
      <c r="N171" s="8">
        <f>ROUNDUP(MONTH(Order_Details[[#This Row],[Order Date]])/3, 0)</f>
        <v>2</v>
      </c>
    </row>
    <row r="172" spans="1:14">
      <c r="A172" s="1" t="s">
        <v>170</v>
      </c>
      <c r="B172" s="1">
        <v>406</v>
      </c>
      <c r="C172" s="1">
        <v>126</v>
      </c>
      <c r="D172" s="1">
        <v>2</v>
      </c>
      <c r="E172" s="1" t="s">
        <v>1076</v>
      </c>
      <c r="F172" s="1" t="s">
        <v>1106</v>
      </c>
      <c r="G172" s="7" t="str">
        <f>_xlfn.XLOOKUP(Order_Details[[#This Row],[Order ID]], List_of_orders[Order ID], List_of_orders[State])</f>
        <v>Maharashtra</v>
      </c>
      <c r="H172" s="10">
        <f>_xlfn.XLOOKUP(Order_Details[[#This Row],[Order ID]], List_of_orders[Order ID], List_of_orders[Order Date (Clean)])</f>
        <v>43231</v>
      </c>
      <c r="I172" s="7" t="str">
        <f>_xlfn.XLOOKUP(Order_Details[[#This Row],[Order ID]], List_of_orders[Order ID], List_of_orders[CustomerName])</f>
        <v>Priyanka</v>
      </c>
      <c r="J172" s="7" t="str">
        <f>_xlfn.XLOOKUP(Order_Details[[#This Row],[Order ID]], List_of_orders[Order ID], List_of_orders[City])</f>
        <v>Pune</v>
      </c>
      <c r="K172" s="8" t="str">
        <f>TEXT(Order_Details[[#This Row],[Order Date]], "YY-MMM")</f>
        <v>18-May</v>
      </c>
      <c r="L172" s="11">
        <f>Order_Details[[#This Row],[Profit]]/Order_Details[[#This Row],[Amount]]</f>
        <v>0.31034482758620691</v>
      </c>
      <c r="M172" s="8">
        <f>YEAR(Order_Details[[#This Row],[Order Date]])</f>
        <v>2018</v>
      </c>
      <c r="N172" s="8">
        <f>ROUNDUP(MONTH(Order_Details[[#This Row],[Order Date]])/3, 0)</f>
        <v>2</v>
      </c>
    </row>
    <row r="173" spans="1:14">
      <c r="A173" s="1" t="s">
        <v>170</v>
      </c>
      <c r="B173" s="1">
        <v>624</v>
      </c>
      <c r="C173" s="1">
        <v>37</v>
      </c>
      <c r="D173" s="1">
        <v>2</v>
      </c>
      <c r="E173" s="1" t="s">
        <v>1077</v>
      </c>
      <c r="F173" s="1" t="s">
        <v>1104</v>
      </c>
      <c r="G173" s="7" t="str">
        <f>_xlfn.XLOOKUP(Order_Details[[#This Row],[Order ID]], List_of_orders[Order ID], List_of_orders[State])</f>
        <v>Maharashtra</v>
      </c>
      <c r="H173" s="10">
        <f>_xlfn.XLOOKUP(Order_Details[[#This Row],[Order ID]], List_of_orders[Order ID], List_of_orders[Order Date (Clean)])</f>
        <v>43231</v>
      </c>
      <c r="I173" s="7" t="str">
        <f>_xlfn.XLOOKUP(Order_Details[[#This Row],[Order ID]], List_of_orders[Order ID], List_of_orders[CustomerName])</f>
        <v>Priyanka</v>
      </c>
      <c r="J173" s="7" t="str">
        <f>_xlfn.XLOOKUP(Order_Details[[#This Row],[Order ID]], List_of_orders[Order ID], List_of_orders[City])</f>
        <v>Pune</v>
      </c>
      <c r="K173" s="8" t="str">
        <f>TEXT(Order_Details[[#This Row],[Order Date]], "YY-MMM")</f>
        <v>18-May</v>
      </c>
      <c r="L173" s="11">
        <f>Order_Details[[#This Row],[Profit]]/Order_Details[[#This Row],[Amount]]</f>
        <v>5.9294871794871792E-2</v>
      </c>
      <c r="M173" s="8">
        <f>YEAR(Order_Details[[#This Row],[Order Date]])</f>
        <v>2018</v>
      </c>
      <c r="N173" s="8">
        <f>ROUNDUP(MONTH(Order_Details[[#This Row],[Order Date]])/3, 0)</f>
        <v>2</v>
      </c>
    </row>
    <row r="174" spans="1:14">
      <c r="A174" s="1" t="s">
        <v>170</v>
      </c>
      <c r="B174" s="1">
        <v>101</v>
      </c>
      <c r="C174" s="1">
        <v>18</v>
      </c>
      <c r="D174" s="1">
        <v>9</v>
      </c>
      <c r="E174" s="1" t="s">
        <v>1076</v>
      </c>
      <c r="F174" s="1" t="s">
        <v>1117</v>
      </c>
      <c r="G174" s="7" t="str">
        <f>_xlfn.XLOOKUP(Order_Details[[#This Row],[Order ID]], List_of_orders[Order ID], List_of_orders[State])</f>
        <v>Maharashtra</v>
      </c>
      <c r="H174" s="10">
        <f>_xlfn.XLOOKUP(Order_Details[[#This Row],[Order ID]], List_of_orders[Order ID], List_of_orders[Order Date (Clean)])</f>
        <v>43231</v>
      </c>
      <c r="I174" s="7" t="str">
        <f>_xlfn.XLOOKUP(Order_Details[[#This Row],[Order ID]], List_of_orders[Order ID], List_of_orders[CustomerName])</f>
        <v>Priyanka</v>
      </c>
      <c r="J174" s="7" t="str">
        <f>_xlfn.XLOOKUP(Order_Details[[#This Row],[Order ID]], List_of_orders[Order ID], List_of_orders[City])</f>
        <v>Pune</v>
      </c>
      <c r="K174" s="8" t="str">
        <f>TEXT(Order_Details[[#This Row],[Order Date]], "YY-MMM")</f>
        <v>18-May</v>
      </c>
      <c r="L174" s="11">
        <f>Order_Details[[#This Row],[Profit]]/Order_Details[[#This Row],[Amount]]</f>
        <v>0.17821782178217821</v>
      </c>
      <c r="M174" s="8">
        <f>YEAR(Order_Details[[#This Row],[Order Date]])</f>
        <v>2018</v>
      </c>
      <c r="N174" s="8">
        <f>ROUNDUP(MONTH(Order_Details[[#This Row],[Order Date]])/3, 0)</f>
        <v>2</v>
      </c>
    </row>
    <row r="175" spans="1:14">
      <c r="A175" s="1" t="s">
        <v>170</v>
      </c>
      <c r="B175" s="1">
        <v>1389</v>
      </c>
      <c r="C175" s="1">
        <v>680</v>
      </c>
      <c r="D175" s="1">
        <v>7</v>
      </c>
      <c r="E175" s="1" t="s">
        <v>1076</v>
      </c>
      <c r="F175" s="1" t="s">
        <v>1106</v>
      </c>
      <c r="G175" s="7" t="str">
        <f>_xlfn.XLOOKUP(Order_Details[[#This Row],[Order ID]], List_of_orders[Order ID], List_of_orders[State])</f>
        <v>Maharashtra</v>
      </c>
      <c r="H175" s="10">
        <f>_xlfn.XLOOKUP(Order_Details[[#This Row],[Order ID]], List_of_orders[Order ID], List_of_orders[Order Date (Clean)])</f>
        <v>43231</v>
      </c>
      <c r="I175" s="7" t="str">
        <f>_xlfn.XLOOKUP(Order_Details[[#This Row],[Order ID]], List_of_orders[Order ID], List_of_orders[CustomerName])</f>
        <v>Priyanka</v>
      </c>
      <c r="J175" s="7" t="str">
        <f>_xlfn.XLOOKUP(Order_Details[[#This Row],[Order ID]], List_of_orders[Order ID], List_of_orders[City])</f>
        <v>Pune</v>
      </c>
      <c r="K175" s="8" t="str">
        <f>TEXT(Order_Details[[#This Row],[Order Date]], "YY-MMM")</f>
        <v>18-May</v>
      </c>
      <c r="L175" s="11">
        <f>Order_Details[[#This Row],[Profit]]/Order_Details[[#This Row],[Amount]]</f>
        <v>0.48956083513318932</v>
      </c>
      <c r="M175" s="8">
        <f>YEAR(Order_Details[[#This Row],[Order Date]])</f>
        <v>2018</v>
      </c>
      <c r="N175" s="8">
        <f>ROUNDUP(MONTH(Order_Details[[#This Row],[Order Date]])/3, 0)</f>
        <v>2</v>
      </c>
    </row>
    <row r="176" spans="1:14">
      <c r="A176" s="1" t="s">
        <v>170</v>
      </c>
      <c r="B176" s="1">
        <v>651</v>
      </c>
      <c r="C176" s="1">
        <v>169</v>
      </c>
      <c r="D176" s="1">
        <v>5</v>
      </c>
      <c r="E176" s="1" t="s">
        <v>1077</v>
      </c>
      <c r="F176" s="1" t="s">
        <v>1114</v>
      </c>
      <c r="G176" s="7" t="str">
        <f>_xlfn.XLOOKUP(Order_Details[[#This Row],[Order ID]], List_of_orders[Order ID], List_of_orders[State])</f>
        <v>Maharashtra</v>
      </c>
      <c r="H176" s="10">
        <f>_xlfn.XLOOKUP(Order_Details[[#This Row],[Order ID]], List_of_orders[Order ID], List_of_orders[Order Date (Clean)])</f>
        <v>43231</v>
      </c>
      <c r="I176" s="7" t="str">
        <f>_xlfn.XLOOKUP(Order_Details[[#This Row],[Order ID]], List_of_orders[Order ID], List_of_orders[CustomerName])</f>
        <v>Priyanka</v>
      </c>
      <c r="J176" s="7" t="str">
        <f>_xlfn.XLOOKUP(Order_Details[[#This Row],[Order ID]], List_of_orders[Order ID], List_of_orders[City])</f>
        <v>Pune</v>
      </c>
      <c r="K176" s="8" t="str">
        <f>TEXT(Order_Details[[#This Row],[Order Date]], "YY-MMM")</f>
        <v>18-May</v>
      </c>
      <c r="L176" s="11">
        <f>Order_Details[[#This Row],[Profit]]/Order_Details[[#This Row],[Amount]]</f>
        <v>0.25960061443932414</v>
      </c>
      <c r="M176" s="8">
        <f>YEAR(Order_Details[[#This Row],[Order Date]])</f>
        <v>2018</v>
      </c>
      <c r="N176" s="8">
        <f>ROUNDUP(MONTH(Order_Details[[#This Row],[Order Date]])/3, 0)</f>
        <v>2</v>
      </c>
    </row>
    <row r="177" spans="1:14">
      <c r="A177" s="1" t="s">
        <v>170</v>
      </c>
      <c r="B177" s="1">
        <v>13</v>
      </c>
      <c r="C177" s="1">
        <v>-1</v>
      </c>
      <c r="D177" s="1">
        <v>3</v>
      </c>
      <c r="E177" s="1" t="s">
        <v>1076</v>
      </c>
      <c r="F177" s="1" t="s">
        <v>1103</v>
      </c>
      <c r="G177" s="7" t="str">
        <f>_xlfn.XLOOKUP(Order_Details[[#This Row],[Order ID]], List_of_orders[Order ID], List_of_orders[State])</f>
        <v>Maharashtra</v>
      </c>
      <c r="H177" s="10">
        <f>_xlfn.XLOOKUP(Order_Details[[#This Row],[Order ID]], List_of_orders[Order ID], List_of_orders[Order Date (Clean)])</f>
        <v>43231</v>
      </c>
      <c r="I177" s="7" t="str">
        <f>_xlfn.XLOOKUP(Order_Details[[#This Row],[Order ID]], List_of_orders[Order ID], List_of_orders[CustomerName])</f>
        <v>Priyanka</v>
      </c>
      <c r="J177" s="7" t="str">
        <f>_xlfn.XLOOKUP(Order_Details[[#This Row],[Order ID]], List_of_orders[Order ID], List_of_orders[City])</f>
        <v>Pune</v>
      </c>
      <c r="K177" s="8" t="str">
        <f>TEXT(Order_Details[[#This Row],[Order Date]], "YY-MMM")</f>
        <v>18-May</v>
      </c>
      <c r="L177" s="11">
        <f>Order_Details[[#This Row],[Profit]]/Order_Details[[#This Row],[Amount]]</f>
        <v>-7.6923076923076927E-2</v>
      </c>
      <c r="M177" s="8">
        <f>YEAR(Order_Details[[#This Row],[Order Date]])</f>
        <v>2018</v>
      </c>
      <c r="N177" s="8">
        <f>ROUNDUP(MONTH(Order_Details[[#This Row],[Order Date]])/3, 0)</f>
        <v>2</v>
      </c>
    </row>
    <row r="178" spans="1:14">
      <c r="A178" s="1" t="s">
        <v>172</v>
      </c>
      <c r="B178" s="1">
        <v>1021</v>
      </c>
      <c r="C178" s="1">
        <v>-48</v>
      </c>
      <c r="D178" s="1">
        <v>4</v>
      </c>
      <c r="E178" s="1" t="s">
        <v>1077</v>
      </c>
      <c r="F178" s="1" t="s">
        <v>1104</v>
      </c>
      <c r="G178" s="7" t="str">
        <f>_xlfn.XLOOKUP(Order_Details[[#This Row],[Order ID]], List_of_orders[Order ID], List_of_orders[State])</f>
        <v>Madhya Pradesh</v>
      </c>
      <c r="H178" s="10">
        <f>_xlfn.XLOOKUP(Order_Details[[#This Row],[Order ID]], List_of_orders[Order ID], List_of_orders[Order Date (Clean)])</f>
        <v>43233</v>
      </c>
      <c r="I178" s="7" t="str">
        <f>_xlfn.XLOOKUP(Order_Details[[#This Row],[Order ID]], List_of_orders[Order ID], List_of_orders[CustomerName])</f>
        <v>Tulika</v>
      </c>
      <c r="J178" s="7" t="str">
        <f>_xlfn.XLOOKUP(Order_Details[[#This Row],[Order ID]], List_of_orders[Order ID], List_of_orders[City])</f>
        <v>Bhopal</v>
      </c>
      <c r="K178" s="8" t="str">
        <f>TEXT(Order_Details[[#This Row],[Order Date]], "YY-MMM")</f>
        <v>18-May</v>
      </c>
      <c r="L178" s="11">
        <f>Order_Details[[#This Row],[Profit]]/Order_Details[[#This Row],[Amount]]</f>
        <v>-4.701273261508325E-2</v>
      </c>
      <c r="M178" s="8">
        <f>YEAR(Order_Details[[#This Row],[Order Date]])</f>
        <v>2018</v>
      </c>
      <c r="N178" s="8">
        <f>ROUNDUP(MONTH(Order_Details[[#This Row],[Order Date]])/3, 0)</f>
        <v>2</v>
      </c>
    </row>
    <row r="179" spans="1:14">
      <c r="A179" s="1" t="s">
        <v>172</v>
      </c>
      <c r="B179" s="1">
        <v>32</v>
      </c>
      <c r="C179" s="1">
        <v>-22</v>
      </c>
      <c r="D179" s="1">
        <v>5</v>
      </c>
      <c r="E179" s="1" t="s">
        <v>1076</v>
      </c>
      <c r="F179" s="1" t="s">
        <v>1106</v>
      </c>
      <c r="G179" s="7" t="str">
        <f>_xlfn.XLOOKUP(Order_Details[[#This Row],[Order ID]], List_of_orders[Order ID], List_of_orders[State])</f>
        <v>Madhya Pradesh</v>
      </c>
      <c r="H179" s="10">
        <f>_xlfn.XLOOKUP(Order_Details[[#This Row],[Order ID]], List_of_orders[Order ID], List_of_orders[Order Date (Clean)])</f>
        <v>43233</v>
      </c>
      <c r="I179" s="7" t="str">
        <f>_xlfn.XLOOKUP(Order_Details[[#This Row],[Order ID]], List_of_orders[Order ID], List_of_orders[CustomerName])</f>
        <v>Tulika</v>
      </c>
      <c r="J179" s="7" t="str">
        <f>_xlfn.XLOOKUP(Order_Details[[#This Row],[Order ID]], List_of_orders[Order ID], List_of_orders[City])</f>
        <v>Bhopal</v>
      </c>
      <c r="K179" s="8" t="str">
        <f>TEXT(Order_Details[[#This Row],[Order Date]], "YY-MMM")</f>
        <v>18-May</v>
      </c>
      <c r="L179" s="11">
        <f>Order_Details[[#This Row],[Profit]]/Order_Details[[#This Row],[Amount]]</f>
        <v>-0.6875</v>
      </c>
      <c r="M179" s="8">
        <f>YEAR(Order_Details[[#This Row],[Order Date]])</f>
        <v>2018</v>
      </c>
      <c r="N179" s="8">
        <f>ROUNDUP(MONTH(Order_Details[[#This Row],[Order Date]])/3, 0)</f>
        <v>2</v>
      </c>
    </row>
    <row r="180" spans="1:14">
      <c r="A180" s="1" t="s">
        <v>172</v>
      </c>
      <c r="B180" s="1">
        <v>332</v>
      </c>
      <c r="C180" s="1">
        <v>-43</v>
      </c>
      <c r="D180" s="1">
        <v>6</v>
      </c>
      <c r="E180" s="1" t="s">
        <v>1077</v>
      </c>
      <c r="F180" s="1" t="s">
        <v>1105</v>
      </c>
      <c r="G180" s="7" t="str">
        <f>_xlfn.XLOOKUP(Order_Details[[#This Row],[Order ID]], List_of_orders[Order ID], List_of_orders[State])</f>
        <v>Madhya Pradesh</v>
      </c>
      <c r="H180" s="10">
        <f>_xlfn.XLOOKUP(Order_Details[[#This Row],[Order ID]], List_of_orders[Order ID], List_of_orders[Order Date (Clean)])</f>
        <v>43233</v>
      </c>
      <c r="I180" s="7" t="str">
        <f>_xlfn.XLOOKUP(Order_Details[[#This Row],[Order ID]], List_of_orders[Order ID], List_of_orders[CustomerName])</f>
        <v>Tulika</v>
      </c>
      <c r="J180" s="7" t="str">
        <f>_xlfn.XLOOKUP(Order_Details[[#This Row],[Order ID]], List_of_orders[Order ID], List_of_orders[City])</f>
        <v>Bhopal</v>
      </c>
      <c r="K180" s="8" t="str">
        <f>TEXT(Order_Details[[#This Row],[Order Date]], "YY-MMM")</f>
        <v>18-May</v>
      </c>
      <c r="L180" s="11">
        <f>Order_Details[[#This Row],[Profit]]/Order_Details[[#This Row],[Amount]]</f>
        <v>-0.12951807228915663</v>
      </c>
      <c r="M180" s="8">
        <f>YEAR(Order_Details[[#This Row],[Order Date]])</f>
        <v>2018</v>
      </c>
      <c r="N180" s="8">
        <f>ROUNDUP(MONTH(Order_Details[[#This Row],[Order Date]])/3, 0)</f>
        <v>2</v>
      </c>
    </row>
    <row r="181" spans="1:14">
      <c r="A181" s="1" t="s">
        <v>172</v>
      </c>
      <c r="B181" s="1">
        <v>288</v>
      </c>
      <c r="C181" s="1">
        <v>-180</v>
      </c>
      <c r="D181" s="1">
        <v>4</v>
      </c>
      <c r="E181" s="1" t="s">
        <v>1075</v>
      </c>
      <c r="F181" s="1" t="s">
        <v>1108</v>
      </c>
      <c r="G181" s="7" t="str">
        <f>_xlfn.XLOOKUP(Order_Details[[#This Row],[Order ID]], List_of_orders[Order ID], List_of_orders[State])</f>
        <v>Madhya Pradesh</v>
      </c>
      <c r="H181" s="10">
        <f>_xlfn.XLOOKUP(Order_Details[[#This Row],[Order ID]], List_of_orders[Order ID], List_of_orders[Order Date (Clean)])</f>
        <v>43233</v>
      </c>
      <c r="I181" s="7" t="str">
        <f>_xlfn.XLOOKUP(Order_Details[[#This Row],[Order ID]], List_of_orders[Order ID], List_of_orders[CustomerName])</f>
        <v>Tulika</v>
      </c>
      <c r="J181" s="7" t="str">
        <f>_xlfn.XLOOKUP(Order_Details[[#This Row],[Order ID]], List_of_orders[Order ID], List_of_orders[City])</f>
        <v>Bhopal</v>
      </c>
      <c r="K181" s="8" t="str">
        <f>TEXT(Order_Details[[#This Row],[Order Date]], "YY-MMM")</f>
        <v>18-May</v>
      </c>
      <c r="L181" s="11">
        <f>Order_Details[[#This Row],[Profit]]/Order_Details[[#This Row],[Amount]]</f>
        <v>-0.625</v>
      </c>
      <c r="M181" s="8">
        <f>YEAR(Order_Details[[#This Row],[Order Date]])</f>
        <v>2018</v>
      </c>
      <c r="N181" s="8">
        <f>ROUNDUP(MONTH(Order_Details[[#This Row],[Order Date]])/3, 0)</f>
        <v>2</v>
      </c>
    </row>
    <row r="182" spans="1:14">
      <c r="A182" s="1" t="s">
        <v>175</v>
      </c>
      <c r="B182" s="1">
        <v>27</v>
      </c>
      <c r="C182" s="1">
        <v>9</v>
      </c>
      <c r="D182" s="1">
        <v>2</v>
      </c>
      <c r="E182" s="1" t="s">
        <v>1076</v>
      </c>
      <c r="F182" s="1" t="s">
        <v>1110</v>
      </c>
      <c r="G182" s="7" t="str">
        <f>_xlfn.XLOOKUP(Order_Details[[#This Row],[Order ID]], List_of_orders[Order ID], List_of_orders[State])</f>
        <v>Rajasthan</v>
      </c>
      <c r="H182" s="10">
        <f>_xlfn.XLOOKUP(Order_Details[[#This Row],[Order ID]], List_of_orders[Order ID], List_of_orders[Order Date (Clean)])</f>
        <v>43234</v>
      </c>
      <c r="I182" s="7" t="str">
        <f>_xlfn.XLOOKUP(Order_Details[[#This Row],[Order ID]], List_of_orders[Order ID], List_of_orders[CustomerName])</f>
        <v>Shefali</v>
      </c>
      <c r="J182" s="7" t="str">
        <f>_xlfn.XLOOKUP(Order_Details[[#This Row],[Order ID]], List_of_orders[Order ID], List_of_orders[City])</f>
        <v>Jaipur</v>
      </c>
      <c r="K182" s="8" t="str">
        <f>TEXT(Order_Details[[#This Row],[Order Date]], "YY-MMM")</f>
        <v>18-May</v>
      </c>
      <c r="L182" s="11">
        <f>Order_Details[[#This Row],[Profit]]/Order_Details[[#This Row],[Amount]]</f>
        <v>0.33333333333333331</v>
      </c>
      <c r="M182" s="8">
        <f>YEAR(Order_Details[[#This Row],[Order Date]])</f>
        <v>2018</v>
      </c>
      <c r="N182" s="8">
        <f>ROUNDUP(MONTH(Order_Details[[#This Row],[Order Date]])/3, 0)</f>
        <v>2</v>
      </c>
    </row>
    <row r="183" spans="1:14">
      <c r="A183" s="1" t="s">
        <v>178</v>
      </c>
      <c r="B183" s="1">
        <v>148</v>
      </c>
      <c r="C183" s="1">
        <v>72</v>
      </c>
      <c r="D183" s="1">
        <v>7</v>
      </c>
      <c r="E183" s="1" t="s">
        <v>1076</v>
      </c>
      <c r="F183" s="1" t="s">
        <v>1110</v>
      </c>
      <c r="G183" s="7" t="str">
        <f>_xlfn.XLOOKUP(Order_Details[[#This Row],[Order ID]], List_of_orders[Order ID], List_of_orders[State])</f>
        <v>West Bengal</v>
      </c>
      <c r="H183" s="10">
        <f>_xlfn.XLOOKUP(Order_Details[[#This Row],[Order ID]], List_of_orders[Order ID], List_of_orders[Order Date (Clean)])</f>
        <v>43235</v>
      </c>
      <c r="I183" s="7" t="str">
        <f>_xlfn.XLOOKUP(Order_Details[[#This Row],[Order ID]], List_of_orders[Order ID], List_of_orders[CustomerName])</f>
        <v>Sanskriti</v>
      </c>
      <c r="J183" s="7" t="str">
        <f>_xlfn.XLOOKUP(Order_Details[[#This Row],[Order ID]], List_of_orders[Order ID], List_of_orders[City])</f>
        <v>Kolkata</v>
      </c>
      <c r="K183" s="8" t="str">
        <f>TEXT(Order_Details[[#This Row],[Order Date]], "YY-MMM")</f>
        <v>18-May</v>
      </c>
      <c r="L183" s="11">
        <f>Order_Details[[#This Row],[Profit]]/Order_Details[[#This Row],[Amount]]</f>
        <v>0.48648648648648651</v>
      </c>
      <c r="M183" s="8">
        <f>YEAR(Order_Details[[#This Row],[Order Date]])</f>
        <v>2018</v>
      </c>
      <c r="N183" s="8">
        <f>ROUNDUP(MONTH(Order_Details[[#This Row],[Order Date]])/3, 0)</f>
        <v>2</v>
      </c>
    </row>
    <row r="184" spans="1:14">
      <c r="A184" s="1" t="s">
        <v>181</v>
      </c>
      <c r="B184" s="1">
        <v>245</v>
      </c>
      <c r="C184" s="1">
        <v>-78</v>
      </c>
      <c r="D184" s="1">
        <v>3</v>
      </c>
      <c r="E184" s="1" t="s">
        <v>1076</v>
      </c>
      <c r="F184" s="1" t="s">
        <v>1106</v>
      </c>
      <c r="G184" s="7" t="str">
        <f>_xlfn.XLOOKUP(Order_Details[[#This Row],[Order ID]], List_of_orders[Order ID], List_of_orders[State])</f>
        <v>Karnataka</v>
      </c>
      <c r="H184" s="10">
        <f>_xlfn.XLOOKUP(Order_Details[[#This Row],[Order ID]], List_of_orders[Order ID], List_of_orders[Order Date (Clean)])</f>
        <v>43236</v>
      </c>
      <c r="I184" s="7" t="str">
        <f>_xlfn.XLOOKUP(Order_Details[[#This Row],[Order ID]], List_of_orders[Order ID], List_of_orders[CustomerName])</f>
        <v>Shruti</v>
      </c>
      <c r="J184" s="7" t="str">
        <f>_xlfn.XLOOKUP(Order_Details[[#This Row],[Order ID]], List_of_orders[Order ID], List_of_orders[City])</f>
        <v>Bangalore</v>
      </c>
      <c r="K184" s="8" t="str">
        <f>TEXT(Order_Details[[#This Row],[Order Date]], "YY-MMM")</f>
        <v>18-May</v>
      </c>
      <c r="L184" s="11">
        <f>Order_Details[[#This Row],[Profit]]/Order_Details[[#This Row],[Amount]]</f>
        <v>-0.3183673469387755</v>
      </c>
      <c r="M184" s="8">
        <f>YEAR(Order_Details[[#This Row],[Order Date]])</f>
        <v>2018</v>
      </c>
      <c r="N184" s="8">
        <f>ROUNDUP(MONTH(Order_Details[[#This Row],[Order Date]])/3, 0)</f>
        <v>2</v>
      </c>
    </row>
    <row r="185" spans="1:14">
      <c r="A185" s="1" t="s">
        <v>184</v>
      </c>
      <c r="B185" s="1">
        <v>19</v>
      </c>
      <c r="C185" s="1">
        <v>-15</v>
      </c>
      <c r="D185" s="1">
        <v>3</v>
      </c>
      <c r="E185" s="1" t="s">
        <v>1076</v>
      </c>
      <c r="F185" s="1" t="s">
        <v>1103</v>
      </c>
      <c r="G185" s="7" t="str">
        <f>_xlfn.XLOOKUP(Order_Details[[#This Row],[Order ID]], List_of_orders[Order ID], List_of_orders[State])</f>
        <v>Jammu and Kashmir</v>
      </c>
      <c r="H185" s="10">
        <f>_xlfn.XLOOKUP(Order_Details[[#This Row],[Order ID]], List_of_orders[Order ID], List_of_orders[Order Date (Clean)])</f>
        <v>43237</v>
      </c>
      <c r="I185" s="7" t="str">
        <f>_xlfn.XLOOKUP(Order_Details[[#This Row],[Order ID]], List_of_orders[Order ID], List_of_orders[CustomerName])</f>
        <v>Subhashree</v>
      </c>
      <c r="J185" s="7" t="str">
        <f>_xlfn.XLOOKUP(Order_Details[[#This Row],[Order ID]], List_of_orders[Order ID], List_of_orders[City])</f>
        <v>Kashmir</v>
      </c>
      <c r="K185" s="8" t="str">
        <f>TEXT(Order_Details[[#This Row],[Order Date]], "YY-MMM")</f>
        <v>18-May</v>
      </c>
      <c r="L185" s="11">
        <f>Order_Details[[#This Row],[Profit]]/Order_Details[[#This Row],[Amount]]</f>
        <v>-0.78947368421052633</v>
      </c>
      <c r="M185" s="8">
        <f>YEAR(Order_Details[[#This Row],[Order Date]])</f>
        <v>2018</v>
      </c>
      <c r="N185" s="8">
        <f>ROUNDUP(MONTH(Order_Details[[#This Row],[Order Date]])/3, 0)</f>
        <v>2</v>
      </c>
    </row>
    <row r="186" spans="1:14">
      <c r="A186" s="1" t="s">
        <v>184</v>
      </c>
      <c r="B186" s="1">
        <v>224</v>
      </c>
      <c r="C186" s="1">
        <v>-81</v>
      </c>
      <c r="D186" s="1">
        <v>3</v>
      </c>
      <c r="E186" s="1" t="s">
        <v>1075</v>
      </c>
      <c r="F186" s="1" t="s">
        <v>1108</v>
      </c>
      <c r="G186" s="7" t="str">
        <f>_xlfn.XLOOKUP(Order_Details[[#This Row],[Order ID]], List_of_orders[Order ID], List_of_orders[State])</f>
        <v>Jammu and Kashmir</v>
      </c>
      <c r="H186" s="10">
        <f>_xlfn.XLOOKUP(Order_Details[[#This Row],[Order ID]], List_of_orders[Order ID], List_of_orders[Order Date (Clean)])</f>
        <v>43237</v>
      </c>
      <c r="I186" s="7" t="str">
        <f>_xlfn.XLOOKUP(Order_Details[[#This Row],[Order ID]], List_of_orders[Order ID], List_of_orders[CustomerName])</f>
        <v>Subhashree</v>
      </c>
      <c r="J186" s="7" t="str">
        <f>_xlfn.XLOOKUP(Order_Details[[#This Row],[Order ID]], List_of_orders[Order ID], List_of_orders[City])</f>
        <v>Kashmir</v>
      </c>
      <c r="K186" s="8" t="str">
        <f>TEXT(Order_Details[[#This Row],[Order Date]], "YY-MMM")</f>
        <v>18-May</v>
      </c>
      <c r="L186" s="11">
        <f>Order_Details[[#This Row],[Profit]]/Order_Details[[#This Row],[Amount]]</f>
        <v>-0.36160714285714285</v>
      </c>
      <c r="M186" s="8">
        <f>YEAR(Order_Details[[#This Row],[Order Date]])</f>
        <v>2018</v>
      </c>
      <c r="N186" s="8">
        <f>ROUNDUP(MONTH(Order_Details[[#This Row],[Order Date]])/3, 0)</f>
        <v>2</v>
      </c>
    </row>
    <row r="187" spans="1:14">
      <c r="A187" s="1" t="s">
        <v>184</v>
      </c>
      <c r="B187" s="1">
        <v>58</v>
      </c>
      <c r="C187" s="1">
        <v>-42</v>
      </c>
      <c r="D187" s="1">
        <v>2</v>
      </c>
      <c r="E187" s="1" t="s">
        <v>1075</v>
      </c>
      <c r="F187" s="1" t="s">
        <v>1108</v>
      </c>
      <c r="G187" s="7" t="str">
        <f>_xlfn.XLOOKUP(Order_Details[[#This Row],[Order ID]], List_of_orders[Order ID], List_of_orders[State])</f>
        <v>Jammu and Kashmir</v>
      </c>
      <c r="H187" s="10">
        <f>_xlfn.XLOOKUP(Order_Details[[#This Row],[Order ID]], List_of_orders[Order ID], List_of_orders[Order Date (Clean)])</f>
        <v>43237</v>
      </c>
      <c r="I187" s="7" t="str">
        <f>_xlfn.XLOOKUP(Order_Details[[#This Row],[Order ID]], List_of_orders[Order ID], List_of_orders[CustomerName])</f>
        <v>Subhashree</v>
      </c>
      <c r="J187" s="7" t="str">
        <f>_xlfn.XLOOKUP(Order_Details[[#This Row],[Order ID]], List_of_orders[Order ID], List_of_orders[City])</f>
        <v>Kashmir</v>
      </c>
      <c r="K187" s="8" t="str">
        <f>TEXT(Order_Details[[#This Row],[Order Date]], "YY-MMM")</f>
        <v>18-May</v>
      </c>
      <c r="L187" s="11">
        <f>Order_Details[[#This Row],[Profit]]/Order_Details[[#This Row],[Amount]]</f>
        <v>-0.72413793103448276</v>
      </c>
      <c r="M187" s="8">
        <f>YEAR(Order_Details[[#This Row],[Order Date]])</f>
        <v>2018</v>
      </c>
      <c r="N187" s="8">
        <f>ROUNDUP(MONTH(Order_Details[[#This Row],[Order Date]])/3, 0)</f>
        <v>2</v>
      </c>
    </row>
    <row r="188" spans="1:14">
      <c r="A188" s="1" t="s">
        <v>184</v>
      </c>
      <c r="B188" s="1">
        <v>145</v>
      </c>
      <c r="C188" s="1">
        <v>-104</v>
      </c>
      <c r="D188" s="1">
        <v>5</v>
      </c>
      <c r="E188" s="1" t="s">
        <v>1075</v>
      </c>
      <c r="F188" s="1" t="s">
        <v>1108</v>
      </c>
      <c r="G188" s="7" t="str">
        <f>_xlfn.XLOOKUP(Order_Details[[#This Row],[Order ID]], List_of_orders[Order ID], List_of_orders[State])</f>
        <v>Jammu and Kashmir</v>
      </c>
      <c r="H188" s="10">
        <f>_xlfn.XLOOKUP(Order_Details[[#This Row],[Order ID]], List_of_orders[Order ID], List_of_orders[Order Date (Clean)])</f>
        <v>43237</v>
      </c>
      <c r="I188" s="7" t="str">
        <f>_xlfn.XLOOKUP(Order_Details[[#This Row],[Order ID]], List_of_orders[Order ID], List_of_orders[CustomerName])</f>
        <v>Subhashree</v>
      </c>
      <c r="J188" s="7" t="str">
        <f>_xlfn.XLOOKUP(Order_Details[[#This Row],[Order ID]], List_of_orders[Order ID], List_of_orders[City])</f>
        <v>Kashmir</v>
      </c>
      <c r="K188" s="8" t="str">
        <f>TEXT(Order_Details[[#This Row],[Order Date]], "YY-MMM")</f>
        <v>18-May</v>
      </c>
      <c r="L188" s="11">
        <f>Order_Details[[#This Row],[Profit]]/Order_Details[[#This Row],[Amount]]</f>
        <v>-0.71724137931034482</v>
      </c>
      <c r="M188" s="8">
        <f>YEAR(Order_Details[[#This Row],[Order Date]])</f>
        <v>2018</v>
      </c>
      <c r="N188" s="8">
        <f>ROUNDUP(MONTH(Order_Details[[#This Row],[Order Date]])/3, 0)</f>
        <v>2</v>
      </c>
    </row>
    <row r="189" spans="1:14">
      <c r="A189" s="1" t="s">
        <v>184</v>
      </c>
      <c r="B189" s="1">
        <v>55</v>
      </c>
      <c r="C189" s="1">
        <v>-33</v>
      </c>
      <c r="D189" s="1">
        <v>2</v>
      </c>
      <c r="E189" s="1" t="s">
        <v>1075</v>
      </c>
      <c r="F189" s="1" t="s">
        <v>1108</v>
      </c>
      <c r="G189" s="7" t="str">
        <f>_xlfn.XLOOKUP(Order_Details[[#This Row],[Order ID]], List_of_orders[Order ID], List_of_orders[State])</f>
        <v>Jammu and Kashmir</v>
      </c>
      <c r="H189" s="10">
        <f>_xlfn.XLOOKUP(Order_Details[[#This Row],[Order ID]], List_of_orders[Order ID], List_of_orders[Order Date (Clean)])</f>
        <v>43237</v>
      </c>
      <c r="I189" s="7" t="str">
        <f>_xlfn.XLOOKUP(Order_Details[[#This Row],[Order ID]], List_of_orders[Order ID], List_of_orders[CustomerName])</f>
        <v>Subhashree</v>
      </c>
      <c r="J189" s="7" t="str">
        <f>_xlfn.XLOOKUP(Order_Details[[#This Row],[Order ID]], List_of_orders[Order ID], List_of_orders[City])</f>
        <v>Kashmir</v>
      </c>
      <c r="K189" s="8" t="str">
        <f>TEXT(Order_Details[[#This Row],[Order Date]], "YY-MMM")</f>
        <v>18-May</v>
      </c>
      <c r="L189" s="11">
        <f>Order_Details[[#This Row],[Profit]]/Order_Details[[#This Row],[Amount]]</f>
        <v>-0.6</v>
      </c>
      <c r="M189" s="8">
        <f>YEAR(Order_Details[[#This Row],[Order Date]])</f>
        <v>2018</v>
      </c>
      <c r="N189" s="8">
        <f>ROUNDUP(MONTH(Order_Details[[#This Row],[Order Date]])/3, 0)</f>
        <v>2</v>
      </c>
    </row>
    <row r="190" spans="1:14">
      <c r="A190" s="1" t="s">
        <v>184</v>
      </c>
      <c r="B190" s="1">
        <v>7</v>
      </c>
      <c r="C190" s="1">
        <v>-1</v>
      </c>
      <c r="D190" s="1">
        <v>2</v>
      </c>
      <c r="E190" s="1" t="s">
        <v>1076</v>
      </c>
      <c r="F190" s="1" t="s">
        <v>1103</v>
      </c>
      <c r="G190" s="7" t="str">
        <f>_xlfn.XLOOKUP(Order_Details[[#This Row],[Order ID]], List_of_orders[Order ID], List_of_orders[State])</f>
        <v>Jammu and Kashmir</v>
      </c>
      <c r="H190" s="10">
        <f>_xlfn.XLOOKUP(Order_Details[[#This Row],[Order ID]], List_of_orders[Order ID], List_of_orders[Order Date (Clean)])</f>
        <v>43237</v>
      </c>
      <c r="I190" s="7" t="str">
        <f>_xlfn.XLOOKUP(Order_Details[[#This Row],[Order ID]], List_of_orders[Order ID], List_of_orders[CustomerName])</f>
        <v>Subhashree</v>
      </c>
      <c r="J190" s="7" t="str">
        <f>_xlfn.XLOOKUP(Order_Details[[#This Row],[Order ID]], List_of_orders[Order ID], List_of_orders[City])</f>
        <v>Kashmir</v>
      </c>
      <c r="K190" s="8" t="str">
        <f>TEXT(Order_Details[[#This Row],[Order Date]], "YY-MMM")</f>
        <v>18-May</v>
      </c>
      <c r="L190" s="11">
        <f>Order_Details[[#This Row],[Profit]]/Order_Details[[#This Row],[Amount]]</f>
        <v>-0.14285714285714285</v>
      </c>
      <c r="M190" s="8">
        <f>YEAR(Order_Details[[#This Row],[Order Date]])</f>
        <v>2018</v>
      </c>
      <c r="N190" s="8">
        <f>ROUNDUP(MONTH(Order_Details[[#This Row],[Order Date]])/3, 0)</f>
        <v>2</v>
      </c>
    </row>
    <row r="191" spans="1:14">
      <c r="A191" s="1" t="s">
        <v>187</v>
      </c>
      <c r="B191" s="1">
        <v>24</v>
      </c>
      <c r="C191" s="1">
        <v>-2</v>
      </c>
      <c r="D191" s="1">
        <v>2</v>
      </c>
      <c r="E191" s="1" t="s">
        <v>1076</v>
      </c>
      <c r="F191" s="1" t="s">
        <v>1110</v>
      </c>
      <c r="G191" s="7" t="str">
        <f>_xlfn.XLOOKUP(Order_Details[[#This Row],[Order ID]], List_of_orders[Order ID], List_of_orders[State])</f>
        <v>Maharashtra</v>
      </c>
      <c r="H191" s="10">
        <f>_xlfn.XLOOKUP(Order_Details[[#This Row],[Order ID]], List_of_orders[Order ID], List_of_orders[Order Date (Clean)])</f>
        <v>43237</v>
      </c>
      <c r="I191" s="7" t="str">
        <f>_xlfn.XLOOKUP(Order_Details[[#This Row],[Order ID]], List_of_orders[Order ID], List_of_orders[CustomerName])</f>
        <v>Sweta</v>
      </c>
      <c r="J191" s="7" t="str">
        <f>_xlfn.XLOOKUP(Order_Details[[#This Row],[Order ID]], List_of_orders[Order ID], List_of_orders[City])</f>
        <v>Mumbai</v>
      </c>
      <c r="K191" s="8" t="str">
        <f>TEXT(Order_Details[[#This Row],[Order Date]], "YY-MMM")</f>
        <v>18-May</v>
      </c>
      <c r="L191" s="11">
        <f>Order_Details[[#This Row],[Profit]]/Order_Details[[#This Row],[Amount]]</f>
        <v>-8.3333333333333329E-2</v>
      </c>
      <c r="M191" s="8">
        <f>YEAR(Order_Details[[#This Row],[Order Date]])</f>
        <v>2018</v>
      </c>
      <c r="N191" s="8">
        <f>ROUNDUP(MONTH(Order_Details[[#This Row],[Order Date]])/3, 0)</f>
        <v>2</v>
      </c>
    </row>
    <row r="192" spans="1:14">
      <c r="A192" s="1" t="s">
        <v>187</v>
      </c>
      <c r="B192" s="1">
        <v>86</v>
      </c>
      <c r="C192" s="1">
        <v>-21</v>
      </c>
      <c r="D192" s="1">
        <v>1</v>
      </c>
      <c r="E192" s="1" t="s">
        <v>1077</v>
      </c>
      <c r="F192" s="1" t="s">
        <v>1104</v>
      </c>
      <c r="G192" s="7" t="str">
        <f>_xlfn.XLOOKUP(Order_Details[[#This Row],[Order ID]], List_of_orders[Order ID], List_of_orders[State])</f>
        <v>Maharashtra</v>
      </c>
      <c r="H192" s="10">
        <f>_xlfn.XLOOKUP(Order_Details[[#This Row],[Order ID]], List_of_orders[Order ID], List_of_orders[Order Date (Clean)])</f>
        <v>43237</v>
      </c>
      <c r="I192" s="7" t="str">
        <f>_xlfn.XLOOKUP(Order_Details[[#This Row],[Order ID]], List_of_orders[Order ID], List_of_orders[CustomerName])</f>
        <v>Sweta</v>
      </c>
      <c r="J192" s="7" t="str">
        <f>_xlfn.XLOOKUP(Order_Details[[#This Row],[Order ID]], List_of_orders[Order ID], List_of_orders[City])</f>
        <v>Mumbai</v>
      </c>
      <c r="K192" s="8" t="str">
        <f>TEXT(Order_Details[[#This Row],[Order Date]], "YY-MMM")</f>
        <v>18-May</v>
      </c>
      <c r="L192" s="11">
        <f>Order_Details[[#This Row],[Profit]]/Order_Details[[#This Row],[Amount]]</f>
        <v>-0.2441860465116279</v>
      </c>
      <c r="M192" s="8">
        <f>YEAR(Order_Details[[#This Row],[Order Date]])</f>
        <v>2018</v>
      </c>
      <c r="N192" s="8">
        <f>ROUNDUP(MONTH(Order_Details[[#This Row],[Order Date]])/3, 0)</f>
        <v>2</v>
      </c>
    </row>
    <row r="193" spans="1:14">
      <c r="A193" s="1" t="s">
        <v>187</v>
      </c>
      <c r="B193" s="1">
        <v>385</v>
      </c>
      <c r="C193" s="1">
        <v>-77</v>
      </c>
      <c r="D193" s="1">
        <v>11</v>
      </c>
      <c r="E193" s="1" t="s">
        <v>1075</v>
      </c>
      <c r="F193" s="1" t="s">
        <v>1116</v>
      </c>
      <c r="G193" s="7" t="str">
        <f>_xlfn.XLOOKUP(Order_Details[[#This Row],[Order ID]], List_of_orders[Order ID], List_of_orders[State])</f>
        <v>Maharashtra</v>
      </c>
      <c r="H193" s="10">
        <f>_xlfn.XLOOKUP(Order_Details[[#This Row],[Order ID]], List_of_orders[Order ID], List_of_orders[Order Date (Clean)])</f>
        <v>43237</v>
      </c>
      <c r="I193" s="7" t="str">
        <f>_xlfn.XLOOKUP(Order_Details[[#This Row],[Order ID]], List_of_orders[Order ID], List_of_orders[CustomerName])</f>
        <v>Sweta</v>
      </c>
      <c r="J193" s="7" t="str">
        <f>_xlfn.XLOOKUP(Order_Details[[#This Row],[Order ID]], List_of_orders[Order ID], List_of_orders[City])</f>
        <v>Mumbai</v>
      </c>
      <c r="K193" s="8" t="str">
        <f>TEXT(Order_Details[[#This Row],[Order Date]], "YY-MMM")</f>
        <v>18-May</v>
      </c>
      <c r="L193" s="11">
        <f>Order_Details[[#This Row],[Profit]]/Order_Details[[#This Row],[Amount]]</f>
        <v>-0.2</v>
      </c>
      <c r="M193" s="8">
        <f>YEAR(Order_Details[[#This Row],[Order Date]])</f>
        <v>2018</v>
      </c>
      <c r="N193" s="8">
        <f>ROUNDUP(MONTH(Order_Details[[#This Row],[Order Date]])/3, 0)</f>
        <v>2</v>
      </c>
    </row>
    <row r="194" spans="1:14">
      <c r="A194" s="1" t="s">
        <v>189</v>
      </c>
      <c r="B194" s="1">
        <v>294</v>
      </c>
      <c r="C194" s="1">
        <v>138</v>
      </c>
      <c r="D194" s="1">
        <v>2</v>
      </c>
      <c r="E194" s="1" t="s">
        <v>1077</v>
      </c>
      <c r="F194" s="1" t="s">
        <v>1114</v>
      </c>
      <c r="G194" s="7" t="str">
        <f>_xlfn.XLOOKUP(Order_Details[[#This Row],[Order ID]], List_of_orders[Order ID], List_of_orders[State])</f>
        <v>Madhya Pradesh</v>
      </c>
      <c r="H194" s="10">
        <f>_xlfn.XLOOKUP(Order_Details[[#This Row],[Order ID]], List_of_orders[Order ID], List_of_orders[Order Date (Clean)])</f>
        <v>43239</v>
      </c>
      <c r="I194" s="7" t="str">
        <f>_xlfn.XLOOKUP(Order_Details[[#This Row],[Order ID]], List_of_orders[Order ID], List_of_orders[CustomerName])</f>
        <v>Pournamasi</v>
      </c>
      <c r="J194" s="7" t="str">
        <f>_xlfn.XLOOKUP(Order_Details[[#This Row],[Order ID]], List_of_orders[Order ID], List_of_orders[City])</f>
        <v>Indore</v>
      </c>
      <c r="K194" s="8" t="str">
        <f>TEXT(Order_Details[[#This Row],[Order Date]], "YY-MMM")</f>
        <v>18-May</v>
      </c>
      <c r="L194" s="11">
        <f>Order_Details[[#This Row],[Profit]]/Order_Details[[#This Row],[Amount]]</f>
        <v>0.46938775510204084</v>
      </c>
      <c r="M194" s="8">
        <f>YEAR(Order_Details[[#This Row],[Order Date]])</f>
        <v>2018</v>
      </c>
      <c r="N194" s="8">
        <f>ROUNDUP(MONTH(Order_Details[[#This Row],[Order Date]])/3, 0)</f>
        <v>2</v>
      </c>
    </row>
    <row r="195" spans="1:14">
      <c r="A195" s="1" t="s">
        <v>192</v>
      </c>
      <c r="B195" s="1">
        <v>444</v>
      </c>
      <c r="C195" s="1">
        <v>-200</v>
      </c>
      <c r="D195" s="1">
        <v>4</v>
      </c>
      <c r="E195" s="1" t="s">
        <v>1077</v>
      </c>
      <c r="F195" s="1" t="s">
        <v>1105</v>
      </c>
      <c r="G195" s="7" t="str">
        <f>_xlfn.XLOOKUP(Order_Details[[#This Row],[Order ID]], List_of_orders[Order ID], List_of_orders[State])</f>
        <v>Bihar</v>
      </c>
      <c r="H195" s="10">
        <f>_xlfn.XLOOKUP(Order_Details[[#This Row],[Order ID]], List_of_orders[Order ID], List_of_orders[Order Date (Clean)])</f>
        <v>43240</v>
      </c>
      <c r="I195" s="7" t="str">
        <f>_xlfn.XLOOKUP(Order_Details[[#This Row],[Order ID]], List_of_orders[Order ID], List_of_orders[CustomerName])</f>
        <v>Pratyusmita</v>
      </c>
      <c r="J195" s="7" t="str">
        <f>_xlfn.XLOOKUP(Order_Details[[#This Row],[Order ID]], List_of_orders[Order ID], List_of_orders[City])</f>
        <v>Patna</v>
      </c>
      <c r="K195" s="8" t="str">
        <f>TEXT(Order_Details[[#This Row],[Order Date]], "YY-MMM")</f>
        <v>18-May</v>
      </c>
      <c r="L195" s="11">
        <f>Order_Details[[#This Row],[Profit]]/Order_Details[[#This Row],[Amount]]</f>
        <v>-0.45045045045045046</v>
      </c>
      <c r="M195" s="8">
        <f>YEAR(Order_Details[[#This Row],[Order Date]])</f>
        <v>2018</v>
      </c>
      <c r="N195" s="8">
        <f>ROUNDUP(MONTH(Order_Details[[#This Row],[Order Date]])/3, 0)</f>
        <v>2</v>
      </c>
    </row>
    <row r="196" spans="1:14">
      <c r="A196" s="1" t="s">
        <v>192</v>
      </c>
      <c r="B196" s="1">
        <v>785</v>
      </c>
      <c r="C196" s="1">
        <v>52</v>
      </c>
      <c r="D196" s="1">
        <v>2</v>
      </c>
      <c r="E196" s="1" t="s">
        <v>1077</v>
      </c>
      <c r="F196" s="1" t="s">
        <v>1105</v>
      </c>
      <c r="G196" s="7" t="str">
        <f>_xlfn.XLOOKUP(Order_Details[[#This Row],[Order ID]], List_of_orders[Order ID], List_of_orders[State])</f>
        <v>Bihar</v>
      </c>
      <c r="H196" s="10">
        <f>_xlfn.XLOOKUP(Order_Details[[#This Row],[Order ID]], List_of_orders[Order ID], List_of_orders[Order Date (Clean)])</f>
        <v>43240</v>
      </c>
      <c r="I196" s="7" t="str">
        <f>_xlfn.XLOOKUP(Order_Details[[#This Row],[Order ID]], List_of_orders[Order ID], List_of_orders[CustomerName])</f>
        <v>Pratyusmita</v>
      </c>
      <c r="J196" s="7" t="str">
        <f>_xlfn.XLOOKUP(Order_Details[[#This Row],[Order ID]], List_of_orders[Order ID], List_of_orders[City])</f>
        <v>Patna</v>
      </c>
      <c r="K196" s="8" t="str">
        <f>TEXT(Order_Details[[#This Row],[Order Date]], "YY-MMM")</f>
        <v>18-May</v>
      </c>
      <c r="L196" s="11">
        <f>Order_Details[[#This Row],[Profit]]/Order_Details[[#This Row],[Amount]]</f>
        <v>6.6242038216560509E-2</v>
      </c>
      <c r="M196" s="8">
        <f>YEAR(Order_Details[[#This Row],[Order Date]])</f>
        <v>2018</v>
      </c>
      <c r="N196" s="8">
        <f>ROUNDUP(MONTH(Order_Details[[#This Row],[Order Date]])/3, 0)</f>
        <v>2</v>
      </c>
    </row>
    <row r="197" spans="1:14">
      <c r="A197" s="1" t="s">
        <v>192</v>
      </c>
      <c r="B197" s="1">
        <v>258</v>
      </c>
      <c r="C197" s="1">
        <v>-27</v>
      </c>
      <c r="D197" s="1">
        <v>2</v>
      </c>
      <c r="E197" s="1" t="s">
        <v>1077</v>
      </c>
      <c r="F197" s="1" t="s">
        <v>1105</v>
      </c>
      <c r="G197" s="7" t="str">
        <f>_xlfn.XLOOKUP(Order_Details[[#This Row],[Order ID]], List_of_orders[Order ID], List_of_orders[State])</f>
        <v>Bihar</v>
      </c>
      <c r="H197" s="10">
        <f>_xlfn.XLOOKUP(Order_Details[[#This Row],[Order ID]], List_of_orders[Order ID], List_of_orders[Order Date (Clean)])</f>
        <v>43240</v>
      </c>
      <c r="I197" s="7" t="str">
        <f>_xlfn.XLOOKUP(Order_Details[[#This Row],[Order ID]], List_of_orders[Order ID], List_of_orders[CustomerName])</f>
        <v>Pratyusmita</v>
      </c>
      <c r="J197" s="7" t="str">
        <f>_xlfn.XLOOKUP(Order_Details[[#This Row],[Order ID]], List_of_orders[Order ID], List_of_orders[City])</f>
        <v>Patna</v>
      </c>
      <c r="K197" s="8" t="str">
        <f>TEXT(Order_Details[[#This Row],[Order Date]], "YY-MMM")</f>
        <v>18-May</v>
      </c>
      <c r="L197" s="11">
        <f>Order_Details[[#This Row],[Profit]]/Order_Details[[#This Row],[Amount]]</f>
        <v>-0.10465116279069768</v>
      </c>
      <c r="M197" s="8">
        <f>YEAR(Order_Details[[#This Row],[Order Date]])</f>
        <v>2018</v>
      </c>
      <c r="N197" s="8">
        <f>ROUNDUP(MONTH(Order_Details[[#This Row],[Order Date]])/3, 0)</f>
        <v>2</v>
      </c>
    </row>
    <row r="198" spans="1:14">
      <c r="A198" s="1" t="s">
        <v>192</v>
      </c>
      <c r="B198" s="1">
        <v>83</v>
      </c>
      <c r="C198" s="1">
        <v>-48</v>
      </c>
      <c r="D198" s="1">
        <v>1</v>
      </c>
      <c r="E198" s="1" t="s">
        <v>1075</v>
      </c>
      <c r="F198" s="1" t="s">
        <v>1101</v>
      </c>
      <c r="G198" s="7" t="str">
        <f>_xlfn.XLOOKUP(Order_Details[[#This Row],[Order ID]], List_of_orders[Order ID], List_of_orders[State])</f>
        <v>Bihar</v>
      </c>
      <c r="H198" s="10">
        <f>_xlfn.XLOOKUP(Order_Details[[#This Row],[Order ID]], List_of_orders[Order ID], List_of_orders[Order Date (Clean)])</f>
        <v>43240</v>
      </c>
      <c r="I198" s="7" t="str">
        <f>_xlfn.XLOOKUP(Order_Details[[#This Row],[Order ID]], List_of_orders[Order ID], List_of_orders[CustomerName])</f>
        <v>Pratyusmita</v>
      </c>
      <c r="J198" s="7" t="str">
        <f>_xlfn.XLOOKUP(Order_Details[[#This Row],[Order ID]], List_of_orders[Order ID], List_of_orders[City])</f>
        <v>Patna</v>
      </c>
      <c r="K198" s="8" t="str">
        <f>TEXT(Order_Details[[#This Row],[Order Date]], "YY-MMM")</f>
        <v>18-May</v>
      </c>
      <c r="L198" s="11">
        <f>Order_Details[[#This Row],[Profit]]/Order_Details[[#This Row],[Amount]]</f>
        <v>-0.57831325301204817</v>
      </c>
      <c r="M198" s="8">
        <f>YEAR(Order_Details[[#This Row],[Order Date]])</f>
        <v>2018</v>
      </c>
      <c r="N198" s="8">
        <f>ROUNDUP(MONTH(Order_Details[[#This Row],[Order Date]])/3, 0)</f>
        <v>2</v>
      </c>
    </row>
    <row r="199" spans="1:14">
      <c r="A199" s="1" t="s">
        <v>195</v>
      </c>
      <c r="B199" s="1">
        <v>166</v>
      </c>
      <c r="C199" s="1">
        <v>-113</v>
      </c>
      <c r="D199" s="1">
        <v>4</v>
      </c>
      <c r="E199" s="1" t="s">
        <v>1077</v>
      </c>
      <c r="F199" s="1" t="s">
        <v>1115</v>
      </c>
      <c r="G199" s="7" t="str">
        <f>_xlfn.XLOOKUP(Order_Details[[#This Row],[Order ID]], List_of_orders[Order ID], List_of_orders[State])</f>
        <v xml:space="preserve">Kerala </v>
      </c>
      <c r="H199" s="10">
        <f>_xlfn.XLOOKUP(Order_Details[[#This Row],[Order ID]], List_of_orders[Order ID], List_of_orders[Order Date (Clean)])</f>
        <v>43241</v>
      </c>
      <c r="I199" s="7" t="str">
        <f>_xlfn.XLOOKUP(Order_Details[[#This Row],[Order ID]], List_of_orders[Order ID], List_of_orders[CustomerName])</f>
        <v>Chayanika</v>
      </c>
      <c r="J199" s="7" t="str">
        <f>_xlfn.XLOOKUP(Order_Details[[#This Row],[Order ID]], List_of_orders[Order ID], List_of_orders[City])</f>
        <v>Thiruvananthapuram</v>
      </c>
      <c r="K199" s="8" t="str">
        <f>TEXT(Order_Details[[#This Row],[Order Date]], "YY-MMM")</f>
        <v>18-May</v>
      </c>
      <c r="L199" s="11">
        <f>Order_Details[[#This Row],[Profit]]/Order_Details[[#This Row],[Amount]]</f>
        <v>-0.68072289156626509</v>
      </c>
      <c r="M199" s="8">
        <f>YEAR(Order_Details[[#This Row],[Order Date]])</f>
        <v>2018</v>
      </c>
      <c r="N199" s="8">
        <f>ROUNDUP(MONTH(Order_Details[[#This Row],[Order Date]])/3, 0)</f>
        <v>2</v>
      </c>
    </row>
    <row r="200" spans="1:14">
      <c r="A200" s="1" t="s">
        <v>198</v>
      </c>
      <c r="B200" s="1">
        <v>934</v>
      </c>
      <c r="C200" s="1">
        <v>-916</v>
      </c>
      <c r="D200" s="1">
        <v>7</v>
      </c>
      <c r="E200" s="1" t="s">
        <v>1077</v>
      </c>
      <c r="F200" s="1" t="s">
        <v>1104</v>
      </c>
      <c r="G200" s="7" t="str">
        <f>_xlfn.XLOOKUP(Order_Details[[#This Row],[Order ID]], List_of_orders[Order ID], List_of_orders[State])</f>
        <v>Punjab</v>
      </c>
      <c r="H200" s="10">
        <f>_xlfn.XLOOKUP(Order_Details[[#This Row],[Order ID]], List_of_orders[Order ID], List_of_orders[Order Date (Clean)])</f>
        <v>43242</v>
      </c>
      <c r="I200" s="7" t="str">
        <f>_xlfn.XLOOKUP(Order_Details[[#This Row],[Order ID]], List_of_orders[Order ID], List_of_orders[CustomerName])</f>
        <v>Tanvi</v>
      </c>
      <c r="J200" s="7" t="str">
        <f>_xlfn.XLOOKUP(Order_Details[[#This Row],[Order ID]], List_of_orders[Order ID], List_of_orders[City])</f>
        <v>Chandigarh</v>
      </c>
      <c r="K200" s="8" t="str">
        <f>TEXT(Order_Details[[#This Row],[Order Date]], "YY-MMM")</f>
        <v>18-May</v>
      </c>
      <c r="L200" s="11">
        <f>Order_Details[[#This Row],[Profit]]/Order_Details[[#This Row],[Amount]]</f>
        <v>-0.98072805139186292</v>
      </c>
      <c r="M200" s="8">
        <f>YEAR(Order_Details[[#This Row],[Order Date]])</f>
        <v>2018</v>
      </c>
      <c r="N200" s="8">
        <f>ROUNDUP(MONTH(Order_Details[[#This Row],[Order Date]])/3, 0)</f>
        <v>2</v>
      </c>
    </row>
    <row r="201" spans="1:14">
      <c r="A201" s="1" t="s">
        <v>201</v>
      </c>
      <c r="B201" s="1">
        <v>11</v>
      </c>
      <c r="C201" s="1">
        <v>-2</v>
      </c>
      <c r="D201" s="1">
        <v>4</v>
      </c>
      <c r="E201" s="1" t="s">
        <v>1076</v>
      </c>
      <c r="F201" s="1" t="s">
        <v>1103</v>
      </c>
      <c r="G201" s="7" t="str">
        <f>_xlfn.XLOOKUP(Order_Details[[#This Row],[Order ID]], List_of_orders[Order ID], List_of_orders[State])</f>
        <v>Haryana</v>
      </c>
      <c r="H201" s="10">
        <f>_xlfn.XLOOKUP(Order_Details[[#This Row],[Order ID]], List_of_orders[Order ID], List_of_orders[Order Date (Clean)])</f>
        <v>43243</v>
      </c>
      <c r="I201" s="7" t="str">
        <f>_xlfn.XLOOKUP(Order_Details[[#This Row],[Order ID]], List_of_orders[Order ID], List_of_orders[CustomerName])</f>
        <v>Anjali</v>
      </c>
      <c r="J201" s="7" t="str">
        <f>_xlfn.XLOOKUP(Order_Details[[#This Row],[Order ID]], List_of_orders[Order ID], List_of_orders[City])</f>
        <v>Chandigarh</v>
      </c>
      <c r="K201" s="8" t="str">
        <f>TEXT(Order_Details[[#This Row],[Order Date]], "YY-MMM")</f>
        <v>18-May</v>
      </c>
      <c r="L201" s="11">
        <f>Order_Details[[#This Row],[Profit]]/Order_Details[[#This Row],[Amount]]</f>
        <v>-0.18181818181818182</v>
      </c>
      <c r="M201" s="8">
        <f>YEAR(Order_Details[[#This Row],[Order Date]])</f>
        <v>2018</v>
      </c>
      <c r="N201" s="8">
        <f>ROUNDUP(MONTH(Order_Details[[#This Row],[Order Date]])/3, 0)</f>
        <v>2</v>
      </c>
    </row>
    <row r="202" spans="1:14">
      <c r="A202" s="1" t="s">
        <v>201</v>
      </c>
      <c r="B202" s="1">
        <v>41</v>
      </c>
      <c r="C202" s="1">
        <v>6</v>
      </c>
      <c r="D202" s="1">
        <v>5</v>
      </c>
      <c r="E202" s="1" t="s">
        <v>1076</v>
      </c>
      <c r="F202" s="1" t="s">
        <v>1117</v>
      </c>
      <c r="G202" s="7" t="str">
        <f>_xlfn.XLOOKUP(Order_Details[[#This Row],[Order ID]], List_of_orders[Order ID], List_of_orders[State])</f>
        <v>Haryana</v>
      </c>
      <c r="H202" s="10">
        <f>_xlfn.XLOOKUP(Order_Details[[#This Row],[Order ID]], List_of_orders[Order ID], List_of_orders[Order Date (Clean)])</f>
        <v>43243</v>
      </c>
      <c r="I202" s="7" t="str">
        <f>_xlfn.XLOOKUP(Order_Details[[#This Row],[Order ID]], List_of_orders[Order ID], List_of_orders[CustomerName])</f>
        <v>Anjali</v>
      </c>
      <c r="J202" s="7" t="str">
        <f>_xlfn.XLOOKUP(Order_Details[[#This Row],[Order ID]], List_of_orders[Order ID], List_of_orders[City])</f>
        <v>Chandigarh</v>
      </c>
      <c r="K202" s="8" t="str">
        <f>TEXT(Order_Details[[#This Row],[Order Date]], "YY-MMM")</f>
        <v>18-May</v>
      </c>
      <c r="L202" s="11">
        <f>Order_Details[[#This Row],[Profit]]/Order_Details[[#This Row],[Amount]]</f>
        <v>0.14634146341463414</v>
      </c>
      <c r="M202" s="8">
        <f>YEAR(Order_Details[[#This Row],[Order Date]])</f>
        <v>2018</v>
      </c>
      <c r="N202" s="8">
        <f>ROUNDUP(MONTH(Order_Details[[#This Row],[Order Date]])/3, 0)</f>
        <v>2</v>
      </c>
    </row>
    <row r="203" spans="1:14">
      <c r="A203" s="1" t="s">
        <v>201</v>
      </c>
      <c r="B203" s="1">
        <v>344</v>
      </c>
      <c r="C203" s="1">
        <v>-34</v>
      </c>
      <c r="D203" s="1">
        <v>3</v>
      </c>
      <c r="E203" s="1" t="s">
        <v>1076</v>
      </c>
      <c r="F203" s="1" t="s">
        <v>1106</v>
      </c>
      <c r="G203" s="7" t="str">
        <f>_xlfn.XLOOKUP(Order_Details[[#This Row],[Order ID]], List_of_orders[Order ID], List_of_orders[State])</f>
        <v>Haryana</v>
      </c>
      <c r="H203" s="10">
        <f>_xlfn.XLOOKUP(Order_Details[[#This Row],[Order ID]], List_of_orders[Order ID], List_of_orders[Order Date (Clean)])</f>
        <v>43243</v>
      </c>
      <c r="I203" s="7" t="str">
        <f>_xlfn.XLOOKUP(Order_Details[[#This Row],[Order ID]], List_of_orders[Order ID], List_of_orders[CustomerName])</f>
        <v>Anjali</v>
      </c>
      <c r="J203" s="7" t="str">
        <f>_xlfn.XLOOKUP(Order_Details[[#This Row],[Order ID]], List_of_orders[Order ID], List_of_orders[City])</f>
        <v>Chandigarh</v>
      </c>
      <c r="K203" s="8" t="str">
        <f>TEXT(Order_Details[[#This Row],[Order Date]], "YY-MMM")</f>
        <v>18-May</v>
      </c>
      <c r="L203" s="11">
        <f>Order_Details[[#This Row],[Profit]]/Order_Details[[#This Row],[Amount]]</f>
        <v>-9.8837209302325577E-2</v>
      </c>
      <c r="M203" s="8">
        <f>YEAR(Order_Details[[#This Row],[Order Date]])</f>
        <v>2018</v>
      </c>
      <c r="N203" s="8">
        <f>ROUNDUP(MONTH(Order_Details[[#This Row],[Order Date]])/3, 0)</f>
        <v>2</v>
      </c>
    </row>
    <row r="204" spans="1:14">
      <c r="A204" s="1" t="s">
        <v>201</v>
      </c>
      <c r="B204" s="1">
        <v>1030</v>
      </c>
      <c r="C204" s="1">
        <v>206</v>
      </c>
      <c r="D204" s="1">
        <v>8</v>
      </c>
      <c r="E204" s="1" t="s">
        <v>1077</v>
      </c>
      <c r="F204" s="1" t="s">
        <v>1114</v>
      </c>
      <c r="G204" s="7" t="str">
        <f>_xlfn.XLOOKUP(Order_Details[[#This Row],[Order ID]], List_of_orders[Order ID], List_of_orders[State])</f>
        <v>Haryana</v>
      </c>
      <c r="H204" s="10">
        <f>_xlfn.XLOOKUP(Order_Details[[#This Row],[Order ID]], List_of_orders[Order ID], List_of_orders[Order Date (Clean)])</f>
        <v>43243</v>
      </c>
      <c r="I204" s="7" t="str">
        <f>_xlfn.XLOOKUP(Order_Details[[#This Row],[Order ID]], List_of_orders[Order ID], List_of_orders[CustomerName])</f>
        <v>Anjali</v>
      </c>
      <c r="J204" s="7" t="str">
        <f>_xlfn.XLOOKUP(Order_Details[[#This Row],[Order ID]], List_of_orders[Order ID], List_of_orders[City])</f>
        <v>Chandigarh</v>
      </c>
      <c r="K204" s="8" t="str">
        <f>TEXT(Order_Details[[#This Row],[Order Date]], "YY-MMM")</f>
        <v>18-May</v>
      </c>
      <c r="L204" s="11">
        <f>Order_Details[[#This Row],[Profit]]/Order_Details[[#This Row],[Amount]]</f>
        <v>0.2</v>
      </c>
      <c r="M204" s="8">
        <f>YEAR(Order_Details[[#This Row],[Order Date]])</f>
        <v>2018</v>
      </c>
      <c r="N204" s="8">
        <f>ROUNDUP(MONTH(Order_Details[[#This Row],[Order Date]])/3, 0)</f>
        <v>2</v>
      </c>
    </row>
    <row r="205" spans="1:14">
      <c r="A205" s="1" t="s">
        <v>201</v>
      </c>
      <c r="B205" s="1">
        <v>516</v>
      </c>
      <c r="C205" s="1">
        <v>69</v>
      </c>
      <c r="D205" s="1">
        <v>4</v>
      </c>
      <c r="E205" s="1" t="s">
        <v>1075</v>
      </c>
      <c r="F205" s="1" t="s">
        <v>1101</v>
      </c>
      <c r="G205" s="7" t="str">
        <f>_xlfn.XLOOKUP(Order_Details[[#This Row],[Order ID]], List_of_orders[Order ID], List_of_orders[State])</f>
        <v>Haryana</v>
      </c>
      <c r="H205" s="10">
        <f>_xlfn.XLOOKUP(Order_Details[[#This Row],[Order ID]], List_of_orders[Order ID], List_of_orders[Order Date (Clean)])</f>
        <v>43243</v>
      </c>
      <c r="I205" s="7" t="str">
        <f>_xlfn.XLOOKUP(Order_Details[[#This Row],[Order ID]], List_of_orders[Order ID], List_of_orders[CustomerName])</f>
        <v>Anjali</v>
      </c>
      <c r="J205" s="7" t="str">
        <f>_xlfn.XLOOKUP(Order_Details[[#This Row],[Order ID]], List_of_orders[Order ID], List_of_orders[City])</f>
        <v>Chandigarh</v>
      </c>
      <c r="K205" s="8" t="str">
        <f>TEXT(Order_Details[[#This Row],[Order Date]], "YY-MMM")</f>
        <v>18-May</v>
      </c>
      <c r="L205" s="11">
        <f>Order_Details[[#This Row],[Profit]]/Order_Details[[#This Row],[Amount]]</f>
        <v>0.13372093023255813</v>
      </c>
      <c r="M205" s="8">
        <f>YEAR(Order_Details[[#This Row],[Order Date]])</f>
        <v>2018</v>
      </c>
      <c r="N205" s="8">
        <f>ROUNDUP(MONTH(Order_Details[[#This Row],[Order Date]])/3, 0)</f>
        <v>2</v>
      </c>
    </row>
    <row r="206" spans="1:14">
      <c r="A206" s="1" t="s">
        <v>204</v>
      </c>
      <c r="B206" s="1">
        <v>123</v>
      </c>
      <c r="C206" s="1">
        <v>17</v>
      </c>
      <c r="D206" s="1">
        <v>3</v>
      </c>
      <c r="E206" s="1" t="s">
        <v>1075</v>
      </c>
      <c r="F206" s="1" t="s">
        <v>1116</v>
      </c>
      <c r="G206" s="7" t="str">
        <f>_xlfn.XLOOKUP(Order_Details[[#This Row],[Order ID]], List_of_orders[Order ID], List_of_orders[State])</f>
        <v>Himachal Pradesh</v>
      </c>
      <c r="H206" s="10">
        <f>_xlfn.XLOOKUP(Order_Details[[#This Row],[Order ID]], List_of_orders[Order ID], List_of_orders[Order Date (Clean)])</f>
        <v>43244</v>
      </c>
      <c r="I206" s="7" t="str">
        <f>_xlfn.XLOOKUP(Order_Details[[#This Row],[Order ID]], List_of_orders[Order ID], List_of_orders[CustomerName])</f>
        <v>Rhea</v>
      </c>
      <c r="J206" s="7" t="str">
        <f>_xlfn.XLOOKUP(Order_Details[[#This Row],[Order ID]], List_of_orders[Order ID], List_of_orders[City])</f>
        <v>Simla</v>
      </c>
      <c r="K206" s="8" t="str">
        <f>TEXT(Order_Details[[#This Row],[Order Date]], "YY-MMM")</f>
        <v>18-May</v>
      </c>
      <c r="L206" s="11">
        <f>Order_Details[[#This Row],[Profit]]/Order_Details[[#This Row],[Amount]]</f>
        <v>0.13821138211382114</v>
      </c>
      <c r="M206" s="8">
        <f>YEAR(Order_Details[[#This Row],[Order Date]])</f>
        <v>2018</v>
      </c>
      <c r="N206" s="8">
        <f>ROUNDUP(MONTH(Order_Details[[#This Row],[Order Date]])/3, 0)</f>
        <v>2</v>
      </c>
    </row>
    <row r="207" spans="1:14">
      <c r="A207" s="1" t="s">
        <v>207</v>
      </c>
      <c r="B207" s="1">
        <v>610</v>
      </c>
      <c r="C207" s="1">
        <v>-66</v>
      </c>
      <c r="D207" s="1">
        <v>2</v>
      </c>
      <c r="E207" s="1" t="s">
        <v>1075</v>
      </c>
      <c r="F207" s="1" t="s">
        <v>1113</v>
      </c>
      <c r="G207" s="7" t="str">
        <f>_xlfn.XLOOKUP(Order_Details[[#This Row],[Order ID]], List_of_orders[Order ID], List_of_orders[State])</f>
        <v>Sikkim</v>
      </c>
      <c r="H207" s="10">
        <f>_xlfn.XLOOKUP(Order_Details[[#This Row],[Order ID]], List_of_orders[Order ID], List_of_orders[Order Date (Clean)])</f>
        <v>43245</v>
      </c>
      <c r="I207" s="7" t="str">
        <f>_xlfn.XLOOKUP(Order_Details[[#This Row],[Order ID]], List_of_orders[Order ID], List_of_orders[CustomerName])</f>
        <v>Piyali</v>
      </c>
      <c r="J207" s="7" t="str">
        <f>_xlfn.XLOOKUP(Order_Details[[#This Row],[Order ID]], List_of_orders[Order ID], List_of_orders[City])</f>
        <v>Gangtok</v>
      </c>
      <c r="K207" s="8" t="str">
        <f>TEXT(Order_Details[[#This Row],[Order Date]], "YY-MMM")</f>
        <v>18-May</v>
      </c>
      <c r="L207" s="11">
        <f>Order_Details[[#This Row],[Profit]]/Order_Details[[#This Row],[Amount]]</f>
        <v>-0.10819672131147541</v>
      </c>
      <c r="M207" s="8">
        <f>YEAR(Order_Details[[#This Row],[Order Date]])</f>
        <v>2018</v>
      </c>
      <c r="N207" s="8">
        <f>ROUNDUP(MONTH(Order_Details[[#This Row],[Order Date]])/3, 0)</f>
        <v>2</v>
      </c>
    </row>
    <row r="208" spans="1:14">
      <c r="A208" s="1" t="s">
        <v>210</v>
      </c>
      <c r="B208" s="1">
        <v>74</v>
      </c>
      <c r="C208" s="1">
        <v>29</v>
      </c>
      <c r="D208" s="1">
        <v>3</v>
      </c>
      <c r="E208" s="1" t="s">
        <v>1076</v>
      </c>
      <c r="F208" s="1" t="s">
        <v>1102</v>
      </c>
      <c r="G208" s="7" t="str">
        <f>_xlfn.XLOOKUP(Order_Details[[#This Row],[Order ID]], List_of_orders[Order ID], List_of_orders[State])</f>
        <v>Goa</v>
      </c>
      <c r="H208" s="10">
        <f>_xlfn.XLOOKUP(Order_Details[[#This Row],[Order ID]], List_of_orders[Order ID], List_of_orders[Order Date (Clean)])</f>
        <v>43245</v>
      </c>
      <c r="I208" s="7" t="str">
        <f>_xlfn.XLOOKUP(Order_Details[[#This Row],[Order ID]], List_of_orders[Order ID], List_of_orders[CustomerName])</f>
        <v>Charika</v>
      </c>
      <c r="J208" s="7" t="str">
        <f>_xlfn.XLOOKUP(Order_Details[[#This Row],[Order ID]], List_of_orders[Order ID], List_of_orders[City])</f>
        <v>Goa</v>
      </c>
      <c r="K208" s="8" t="str">
        <f>TEXT(Order_Details[[#This Row],[Order Date]], "YY-MMM")</f>
        <v>18-May</v>
      </c>
      <c r="L208" s="11">
        <f>Order_Details[[#This Row],[Profit]]/Order_Details[[#This Row],[Amount]]</f>
        <v>0.39189189189189189</v>
      </c>
      <c r="M208" s="8">
        <f>YEAR(Order_Details[[#This Row],[Order Date]])</f>
        <v>2018</v>
      </c>
      <c r="N208" s="8">
        <f>ROUNDUP(MONTH(Order_Details[[#This Row],[Order Date]])/3, 0)</f>
        <v>2</v>
      </c>
    </row>
    <row r="209" spans="1:14">
      <c r="A209" s="1" t="s">
        <v>210</v>
      </c>
      <c r="B209" s="1">
        <v>24</v>
      </c>
      <c r="C209" s="1">
        <v>1</v>
      </c>
      <c r="D209" s="1">
        <v>2</v>
      </c>
      <c r="E209" s="1" t="s">
        <v>1076</v>
      </c>
      <c r="F209" s="1" t="s">
        <v>1103</v>
      </c>
      <c r="G209" s="7" t="str">
        <f>_xlfn.XLOOKUP(Order_Details[[#This Row],[Order ID]], List_of_orders[Order ID], List_of_orders[State])</f>
        <v>Goa</v>
      </c>
      <c r="H209" s="10">
        <f>_xlfn.XLOOKUP(Order_Details[[#This Row],[Order ID]], List_of_orders[Order ID], List_of_orders[Order Date (Clean)])</f>
        <v>43245</v>
      </c>
      <c r="I209" s="7" t="str">
        <f>_xlfn.XLOOKUP(Order_Details[[#This Row],[Order ID]], List_of_orders[Order ID], List_of_orders[CustomerName])</f>
        <v>Charika</v>
      </c>
      <c r="J209" s="7" t="str">
        <f>_xlfn.XLOOKUP(Order_Details[[#This Row],[Order ID]], List_of_orders[Order ID], List_of_orders[City])</f>
        <v>Goa</v>
      </c>
      <c r="K209" s="8" t="str">
        <f>TEXT(Order_Details[[#This Row],[Order Date]], "YY-MMM")</f>
        <v>18-May</v>
      </c>
      <c r="L209" s="11">
        <f>Order_Details[[#This Row],[Profit]]/Order_Details[[#This Row],[Amount]]</f>
        <v>4.1666666666666664E-2</v>
      </c>
      <c r="M209" s="8">
        <f>YEAR(Order_Details[[#This Row],[Order Date]])</f>
        <v>2018</v>
      </c>
      <c r="N209" s="8">
        <f>ROUNDUP(MONTH(Order_Details[[#This Row],[Order Date]])/3, 0)</f>
        <v>2</v>
      </c>
    </row>
    <row r="210" spans="1:14">
      <c r="A210" s="1" t="s">
        <v>210</v>
      </c>
      <c r="B210" s="1">
        <v>14</v>
      </c>
      <c r="C210" s="1">
        <v>2</v>
      </c>
      <c r="D210" s="1">
        <v>1</v>
      </c>
      <c r="E210" s="1" t="s">
        <v>1076</v>
      </c>
      <c r="F210" s="1" t="s">
        <v>1103</v>
      </c>
      <c r="G210" s="7" t="str">
        <f>_xlfn.XLOOKUP(Order_Details[[#This Row],[Order ID]], List_of_orders[Order ID], List_of_orders[State])</f>
        <v>Goa</v>
      </c>
      <c r="H210" s="10">
        <f>_xlfn.XLOOKUP(Order_Details[[#This Row],[Order ID]], List_of_orders[Order ID], List_of_orders[Order Date (Clean)])</f>
        <v>43245</v>
      </c>
      <c r="I210" s="7" t="str">
        <f>_xlfn.XLOOKUP(Order_Details[[#This Row],[Order ID]], List_of_orders[Order ID], List_of_orders[CustomerName])</f>
        <v>Charika</v>
      </c>
      <c r="J210" s="7" t="str">
        <f>_xlfn.XLOOKUP(Order_Details[[#This Row],[Order ID]], List_of_orders[Order ID], List_of_orders[City])</f>
        <v>Goa</v>
      </c>
      <c r="K210" s="8" t="str">
        <f>TEXT(Order_Details[[#This Row],[Order Date]], "YY-MMM")</f>
        <v>18-May</v>
      </c>
      <c r="L210" s="11">
        <f>Order_Details[[#This Row],[Profit]]/Order_Details[[#This Row],[Amount]]</f>
        <v>0.14285714285714285</v>
      </c>
      <c r="M210" s="8">
        <f>YEAR(Order_Details[[#This Row],[Order Date]])</f>
        <v>2018</v>
      </c>
      <c r="N210" s="8">
        <f>ROUNDUP(MONTH(Order_Details[[#This Row],[Order Date]])/3, 0)</f>
        <v>2</v>
      </c>
    </row>
    <row r="211" spans="1:14">
      <c r="A211" s="1" t="s">
        <v>210</v>
      </c>
      <c r="B211" s="1">
        <v>656</v>
      </c>
      <c r="C211" s="1">
        <v>-36</v>
      </c>
      <c r="D211" s="1">
        <v>2</v>
      </c>
      <c r="E211" s="1" t="s">
        <v>1075</v>
      </c>
      <c r="F211" s="1" t="s">
        <v>1101</v>
      </c>
      <c r="G211" s="7" t="str">
        <f>_xlfn.XLOOKUP(Order_Details[[#This Row],[Order ID]], List_of_orders[Order ID], List_of_orders[State])</f>
        <v>Goa</v>
      </c>
      <c r="H211" s="10">
        <f>_xlfn.XLOOKUP(Order_Details[[#This Row],[Order ID]], List_of_orders[Order ID], List_of_orders[Order Date (Clean)])</f>
        <v>43245</v>
      </c>
      <c r="I211" s="7" t="str">
        <f>_xlfn.XLOOKUP(Order_Details[[#This Row],[Order ID]], List_of_orders[Order ID], List_of_orders[CustomerName])</f>
        <v>Charika</v>
      </c>
      <c r="J211" s="7" t="str">
        <f>_xlfn.XLOOKUP(Order_Details[[#This Row],[Order ID]], List_of_orders[Order ID], List_of_orders[City])</f>
        <v>Goa</v>
      </c>
      <c r="K211" s="8" t="str">
        <f>TEXT(Order_Details[[#This Row],[Order Date]], "YY-MMM")</f>
        <v>18-May</v>
      </c>
      <c r="L211" s="11">
        <f>Order_Details[[#This Row],[Profit]]/Order_Details[[#This Row],[Amount]]</f>
        <v>-5.4878048780487805E-2</v>
      </c>
      <c r="M211" s="8">
        <f>YEAR(Order_Details[[#This Row],[Order Date]])</f>
        <v>2018</v>
      </c>
      <c r="N211" s="8">
        <f>ROUNDUP(MONTH(Order_Details[[#This Row],[Order Date]])/3, 0)</f>
        <v>2</v>
      </c>
    </row>
    <row r="212" spans="1:14">
      <c r="A212" s="1" t="s">
        <v>212</v>
      </c>
      <c r="B212" s="1">
        <v>832</v>
      </c>
      <c r="C212" s="1">
        <v>0</v>
      </c>
      <c r="D212" s="1">
        <v>3</v>
      </c>
      <c r="E212" s="1" t="s">
        <v>1076</v>
      </c>
      <c r="F212" s="1" t="s">
        <v>1107</v>
      </c>
      <c r="G212" s="7" t="str">
        <f>_xlfn.XLOOKUP(Order_Details[[#This Row],[Order ID]], List_of_orders[Order ID], List_of_orders[State])</f>
        <v>Nagaland</v>
      </c>
      <c r="H212" s="10">
        <f>_xlfn.XLOOKUP(Order_Details[[#This Row],[Order ID]], List_of_orders[Order ID], List_of_orders[Order Date (Clean)])</f>
        <v>43247</v>
      </c>
      <c r="I212" s="7" t="str">
        <f>_xlfn.XLOOKUP(Order_Details[[#This Row],[Order ID]], List_of_orders[Order ID], List_of_orders[CustomerName])</f>
        <v>Mitali</v>
      </c>
      <c r="J212" s="7" t="str">
        <f>_xlfn.XLOOKUP(Order_Details[[#This Row],[Order ID]], List_of_orders[Order ID], List_of_orders[City])</f>
        <v>Kohima</v>
      </c>
      <c r="K212" s="8" t="str">
        <f>TEXT(Order_Details[[#This Row],[Order Date]], "YY-MMM")</f>
        <v>18-May</v>
      </c>
      <c r="L212" s="11">
        <f>Order_Details[[#This Row],[Profit]]/Order_Details[[#This Row],[Amount]]</f>
        <v>0</v>
      </c>
      <c r="M212" s="8">
        <f>YEAR(Order_Details[[#This Row],[Order Date]])</f>
        <v>2018</v>
      </c>
      <c r="N212" s="8">
        <f>ROUNDUP(MONTH(Order_Details[[#This Row],[Order Date]])/3, 0)</f>
        <v>2</v>
      </c>
    </row>
    <row r="213" spans="1:14">
      <c r="A213" s="1" t="s">
        <v>215</v>
      </c>
      <c r="B213" s="1">
        <v>27</v>
      </c>
      <c r="C213" s="1">
        <v>-15</v>
      </c>
      <c r="D213" s="1">
        <v>1</v>
      </c>
      <c r="E213" s="1" t="s">
        <v>1076</v>
      </c>
      <c r="F213" s="1" t="s">
        <v>1102</v>
      </c>
      <c r="G213" s="7" t="str">
        <f>_xlfn.XLOOKUP(Order_Details[[#This Row],[Order ID]], List_of_orders[Order ID], List_of_orders[State])</f>
        <v>Andhra Pradesh</v>
      </c>
      <c r="H213" s="10">
        <f>_xlfn.XLOOKUP(Order_Details[[#This Row],[Order ID]], List_of_orders[Order ID], List_of_orders[Order Date (Clean)])</f>
        <v>43248</v>
      </c>
      <c r="I213" s="7" t="str">
        <f>_xlfn.XLOOKUP(Order_Details[[#This Row],[Order ID]], List_of_orders[Order ID], List_of_orders[CustomerName])</f>
        <v>Akanksha</v>
      </c>
      <c r="J213" s="7" t="str">
        <f>_xlfn.XLOOKUP(Order_Details[[#This Row],[Order ID]], List_of_orders[Order ID], List_of_orders[City])</f>
        <v>Hyderabad</v>
      </c>
      <c r="K213" s="8" t="str">
        <f>TEXT(Order_Details[[#This Row],[Order Date]], "YY-MMM")</f>
        <v>18-May</v>
      </c>
      <c r="L213" s="11">
        <f>Order_Details[[#This Row],[Profit]]/Order_Details[[#This Row],[Amount]]</f>
        <v>-0.55555555555555558</v>
      </c>
      <c r="M213" s="8">
        <f>YEAR(Order_Details[[#This Row],[Order Date]])</f>
        <v>2018</v>
      </c>
      <c r="N213" s="8">
        <f>ROUNDUP(MONTH(Order_Details[[#This Row],[Order Date]])/3, 0)</f>
        <v>2</v>
      </c>
    </row>
    <row r="214" spans="1:14">
      <c r="A214" s="1" t="s">
        <v>218</v>
      </c>
      <c r="B214" s="1">
        <v>143</v>
      </c>
      <c r="C214" s="1">
        <v>-124</v>
      </c>
      <c r="D214" s="1">
        <v>5</v>
      </c>
      <c r="E214" s="1" t="s">
        <v>1076</v>
      </c>
      <c r="F214" s="1" t="s">
        <v>1106</v>
      </c>
      <c r="G214" s="7" t="str">
        <f>_xlfn.XLOOKUP(Order_Details[[#This Row],[Order ID]], List_of_orders[Order ID], List_of_orders[State])</f>
        <v>Gujarat</v>
      </c>
      <c r="H214" s="10">
        <f>_xlfn.XLOOKUP(Order_Details[[#This Row],[Order ID]], List_of_orders[Order ID], List_of_orders[Order Date (Clean)])</f>
        <v>43248</v>
      </c>
      <c r="I214" s="7" t="str">
        <f>_xlfn.XLOOKUP(Order_Details[[#This Row],[Order ID]], List_of_orders[Order ID], List_of_orders[CustomerName])</f>
        <v>Arsheen</v>
      </c>
      <c r="J214" s="7" t="str">
        <f>_xlfn.XLOOKUP(Order_Details[[#This Row],[Order ID]], List_of_orders[Order ID], List_of_orders[City])</f>
        <v>Ahmedabad</v>
      </c>
      <c r="K214" s="8" t="str">
        <f>TEXT(Order_Details[[#This Row],[Order Date]], "YY-MMM")</f>
        <v>18-May</v>
      </c>
      <c r="L214" s="11">
        <f>Order_Details[[#This Row],[Profit]]/Order_Details[[#This Row],[Amount]]</f>
        <v>-0.86713286713286708</v>
      </c>
      <c r="M214" s="8">
        <f>YEAR(Order_Details[[#This Row],[Order Date]])</f>
        <v>2018</v>
      </c>
      <c r="N214" s="8">
        <f>ROUNDUP(MONTH(Order_Details[[#This Row],[Order Date]])/3, 0)</f>
        <v>2</v>
      </c>
    </row>
    <row r="215" spans="1:14">
      <c r="A215" s="1" t="s">
        <v>218</v>
      </c>
      <c r="B215" s="1">
        <v>44</v>
      </c>
      <c r="C215" s="1">
        <v>-17</v>
      </c>
      <c r="D215" s="1">
        <v>5</v>
      </c>
      <c r="E215" s="1" t="s">
        <v>1076</v>
      </c>
      <c r="F215" s="1" t="s">
        <v>1106</v>
      </c>
      <c r="G215" s="7" t="str">
        <f>_xlfn.XLOOKUP(Order_Details[[#This Row],[Order ID]], List_of_orders[Order ID], List_of_orders[State])</f>
        <v>Gujarat</v>
      </c>
      <c r="H215" s="10">
        <f>_xlfn.XLOOKUP(Order_Details[[#This Row],[Order ID]], List_of_orders[Order ID], List_of_orders[Order Date (Clean)])</f>
        <v>43248</v>
      </c>
      <c r="I215" s="7" t="str">
        <f>_xlfn.XLOOKUP(Order_Details[[#This Row],[Order ID]], List_of_orders[Order ID], List_of_orders[CustomerName])</f>
        <v>Arsheen</v>
      </c>
      <c r="J215" s="7" t="str">
        <f>_xlfn.XLOOKUP(Order_Details[[#This Row],[Order ID]], List_of_orders[Order ID], List_of_orders[City])</f>
        <v>Ahmedabad</v>
      </c>
      <c r="K215" s="8" t="str">
        <f>TEXT(Order_Details[[#This Row],[Order Date]], "YY-MMM")</f>
        <v>18-May</v>
      </c>
      <c r="L215" s="11">
        <f>Order_Details[[#This Row],[Profit]]/Order_Details[[#This Row],[Amount]]</f>
        <v>-0.38636363636363635</v>
      </c>
      <c r="M215" s="8">
        <f>YEAR(Order_Details[[#This Row],[Order Date]])</f>
        <v>2018</v>
      </c>
      <c r="N215" s="8">
        <f>ROUNDUP(MONTH(Order_Details[[#This Row],[Order Date]])/3, 0)</f>
        <v>2</v>
      </c>
    </row>
    <row r="216" spans="1:14">
      <c r="A216" s="1" t="s">
        <v>218</v>
      </c>
      <c r="B216" s="1">
        <v>45</v>
      </c>
      <c r="C216" s="1">
        <v>-2</v>
      </c>
      <c r="D216" s="1">
        <v>4</v>
      </c>
      <c r="E216" s="1" t="s">
        <v>1076</v>
      </c>
      <c r="F216" s="1" t="s">
        <v>1111</v>
      </c>
      <c r="G216" s="7" t="str">
        <f>_xlfn.XLOOKUP(Order_Details[[#This Row],[Order ID]], List_of_orders[Order ID], List_of_orders[State])</f>
        <v>Gujarat</v>
      </c>
      <c r="H216" s="10">
        <f>_xlfn.XLOOKUP(Order_Details[[#This Row],[Order ID]], List_of_orders[Order ID], List_of_orders[Order Date (Clean)])</f>
        <v>43248</v>
      </c>
      <c r="I216" s="7" t="str">
        <f>_xlfn.XLOOKUP(Order_Details[[#This Row],[Order ID]], List_of_orders[Order ID], List_of_orders[CustomerName])</f>
        <v>Arsheen</v>
      </c>
      <c r="J216" s="7" t="str">
        <f>_xlfn.XLOOKUP(Order_Details[[#This Row],[Order ID]], List_of_orders[Order ID], List_of_orders[City])</f>
        <v>Ahmedabad</v>
      </c>
      <c r="K216" s="8" t="str">
        <f>TEXT(Order_Details[[#This Row],[Order Date]], "YY-MMM")</f>
        <v>18-May</v>
      </c>
      <c r="L216" s="11">
        <f>Order_Details[[#This Row],[Profit]]/Order_Details[[#This Row],[Amount]]</f>
        <v>-4.4444444444444446E-2</v>
      </c>
      <c r="M216" s="8">
        <f>YEAR(Order_Details[[#This Row],[Order Date]])</f>
        <v>2018</v>
      </c>
      <c r="N216" s="8">
        <f>ROUNDUP(MONTH(Order_Details[[#This Row],[Order Date]])/3, 0)</f>
        <v>2</v>
      </c>
    </row>
    <row r="217" spans="1:14">
      <c r="A217" s="1" t="s">
        <v>218</v>
      </c>
      <c r="B217" s="1">
        <v>16</v>
      </c>
      <c r="C217" s="1">
        <v>-1</v>
      </c>
      <c r="D217" s="1">
        <v>1</v>
      </c>
      <c r="E217" s="1" t="s">
        <v>1076</v>
      </c>
      <c r="F217" s="1" t="s">
        <v>1106</v>
      </c>
      <c r="G217" s="7" t="str">
        <f>_xlfn.XLOOKUP(Order_Details[[#This Row],[Order ID]], List_of_orders[Order ID], List_of_orders[State])</f>
        <v>Gujarat</v>
      </c>
      <c r="H217" s="10">
        <f>_xlfn.XLOOKUP(Order_Details[[#This Row],[Order ID]], List_of_orders[Order ID], List_of_orders[Order Date (Clean)])</f>
        <v>43248</v>
      </c>
      <c r="I217" s="7" t="str">
        <f>_xlfn.XLOOKUP(Order_Details[[#This Row],[Order ID]], List_of_orders[Order ID], List_of_orders[CustomerName])</f>
        <v>Arsheen</v>
      </c>
      <c r="J217" s="7" t="str">
        <f>_xlfn.XLOOKUP(Order_Details[[#This Row],[Order ID]], List_of_orders[Order ID], List_of_orders[City])</f>
        <v>Ahmedabad</v>
      </c>
      <c r="K217" s="8" t="str">
        <f>TEXT(Order_Details[[#This Row],[Order Date]], "YY-MMM")</f>
        <v>18-May</v>
      </c>
      <c r="L217" s="11">
        <f>Order_Details[[#This Row],[Profit]]/Order_Details[[#This Row],[Amount]]</f>
        <v>-6.25E-2</v>
      </c>
      <c r="M217" s="8">
        <f>YEAR(Order_Details[[#This Row],[Order Date]])</f>
        <v>2018</v>
      </c>
      <c r="N217" s="8">
        <f>ROUNDUP(MONTH(Order_Details[[#This Row],[Order Date]])/3, 0)</f>
        <v>2</v>
      </c>
    </row>
    <row r="218" spans="1:14">
      <c r="A218" s="1" t="s">
        <v>218</v>
      </c>
      <c r="B218" s="1">
        <v>37</v>
      </c>
      <c r="C218" s="1">
        <v>-5</v>
      </c>
      <c r="D218" s="1">
        <v>3</v>
      </c>
      <c r="E218" s="1" t="s">
        <v>1076</v>
      </c>
      <c r="F218" s="1" t="s">
        <v>1110</v>
      </c>
      <c r="G218" s="7" t="str">
        <f>_xlfn.XLOOKUP(Order_Details[[#This Row],[Order ID]], List_of_orders[Order ID], List_of_orders[State])</f>
        <v>Gujarat</v>
      </c>
      <c r="H218" s="10">
        <f>_xlfn.XLOOKUP(Order_Details[[#This Row],[Order ID]], List_of_orders[Order ID], List_of_orders[Order Date (Clean)])</f>
        <v>43248</v>
      </c>
      <c r="I218" s="7" t="str">
        <f>_xlfn.XLOOKUP(Order_Details[[#This Row],[Order ID]], List_of_orders[Order ID], List_of_orders[CustomerName])</f>
        <v>Arsheen</v>
      </c>
      <c r="J218" s="7" t="str">
        <f>_xlfn.XLOOKUP(Order_Details[[#This Row],[Order ID]], List_of_orders[Order ID], List_of_orders[City])</f>
        <v>Ahmedabad</v>
      </c>
      <c r="K218" s="8" t="str">
        <f>TEXT(Order_Details[[#This Row],[Order Date]], "YY-MMM")</f>
        <v>18-May</v>
      </c>
      <c r="L218" s="11">
        <f>Order_Details[[#This Row],[Profit]]/Order_Details[[#This Row],[Amount]]</f>
        <v>-0.13513513513513514</v>
      </c>
      <c r="M218" s="8">
        <f>YEAR(Order_Details[[#This Row],[Order Date]])</f>
        <v>2018</v>
      </c>
      <c r="N218" s="8">
        <f>ROUNDUP(MONTH(Order_Details[[#This Row],[Order Date]])/3, 0)</f>
        <v>2</v>
      </c>
    </row>
    <row r="219" spans="1:14">
      <c r="A219" s="1" t="s">
        <v>220</v>
      </c>
      <c r="B219" s="1">
        <v>17</v>
      </c>
      <c r="C219" s="1">
        <v>-12</v>
      </c>
      <c r="D219" s="1">
        <v>5</v>
      </c>
      <c r="E219" s="1" t="s">
        <v>1076</v>
      </c>
      <c r="F219" s="1" t="s">
        <v>1117</v>
      </c>
      <c r="G219" s="7" t="str">
        <f>_xlfn.XLOOKUP(Order_Details[[#This Row],[Order ID]], List_of_orders[Order ID], List_of_orders[State])</f>
        <v>Maharashtra</v>
      </c>
      <c r="H219" s="10">
        <f>_xlfn.XLOOKUP(Order_Details[[#This Row],[Order ID]], List_of_orders[Order ID], List_of_orders[Order Date (Clean)])</f>
        <v>43248</v>
      </c>
      <c r="I219" s="7" t="str">
        <f>_xlfn.XLOOKUP(Order_Details[[#This Row],[Order ID]], List_of_orders[Order ID], List_of_orders[CustomerName])</f>
        <v>Mahima</v>
      </c>
      <c r="J219" s="7" t="str">
        <f>_xlfn.XLOOKUP(Order_Details[[#This Row],[Order ID]], List_of_orders[Order ID], List_of_orders[City])</f>
        <v>Pune</v>
      </c>
      <c r="K219" s="8" t="str">
        <f>TEXT(Order_Details[[#This Row],[Order Date]], "YY-MMM")</f>
        <v>18-May</v>
      </c>
      <c r="L219" s="11">
        <f>Order_Details[[#This Row],[Profit]]/Order_Details[[#This Row],[Amount]]</f>
        <v>-0.70588235294117652</v>
      </c>
      <c r="M219" s="8">
        <f>YEAR(Order_Details[[#This Row],[Order Date]])</f>
        <v>2018</v>
      </c>
      <c r="N219" s="8">
        <f>ROUNDUP(MONTH(Order_Details[[#This Row],[Order Date]])/3, 0)</f>
        <v>2</v>
      </c>
    </row>
    <row r="220" spans="1:14">
      <c r="A220" s="1" t="s">
        <v>222</v>
      </c>
      <c r="B220" s="1">
        <v>929</v>
      </c>
      <c r="C220" s="1">
        <v>-93</v>
      </c>
      <c r="D220" s="1">
        <v>9</v>
      </c>
      <c r="E220" s="1" t="s">
        <v>1076</v>
      </c>
      <c r="F220" s="1" t="s">
        <v>1106</v>
      </c>
      <c r="G220" s="7" t="str">
        <f>_xlfn.XLOOKUP(Order_Details[[#This Row],[Order ID]], List_of_orders[Order ID], List_of_orders[State])</f>
        <v>Madhya Pradesh</v>
      </c>
      <c r="H220" s="10">
        <f>_xlfn.XLOOKUP(Order_Details[[#This Row],[Order ID]], List_of_orders[Order ID], List_of_orders[Order Date (Clean)])</f>
        <v>43251</v>
      </c>
      <c r="I220" s="7" t="str">
        <f>_xlfn.XLOOKUP(Order_Details[[#This Row],[Order ID]], List_of_orders[Order ID], List_of_orders[CustomerName])</f>
        <v>Shreya</v>
      </c>
      <c r="J220" s="7" t="str">
        <f>_xlfn.XLOOKUP(Order_Details[[#This Row],[Order ID]], List_of_orders[Order ID], List_of_orders[City])</f>
        <v>Bhopal</v>
      </c>
      <c r="K220" s="8" t="str">
        <f>TEXT(Order_Details[[#This Row],[Order Date]], "YY-MMM")</f>
        <v>18-May</v>
      </c>
      <c r="L220" s="11">
        <f>Order_Details[[#This Row],[Profit]]/Order_Details[[#This Row],[Amount]]</f>
        <v>-0.10010764262648009</v>
      </c>
      <c r="M220" s="8">
        <f>YEAR(Order_Details[[#This Row],[Order Date]])</f>
        <v>2018</v>
      </c>
      <c r="N220" s="8">
        <f>ROUNDUP(MONTH(Order_Details[[#This Row],[Order Date]])/3, 0)</f>
        <v>2</v>
      </c>
    </row>
    <row r="221" spans="1:14">
      <c r="A221" s="1" t="s">
        <v>225</v>
      </c>
      <c r="B221" s="1">
        <v>342</v>
      </c>
      <c r="C221" s="1">
        <v>-103</v>
      </c>
      <c r="D221" s="1">
        <v>4</v>
      </c>
      <c r="E221" s="1" t="s">
        <v>1077</v>
      </c>
      <c r="F221" s="1" t="s">
        <v>1104</v>
      </c>
      <c r="G221" s="7" t="str">
        <f>_xlfn.XLOOKUP(Order_Details[[#This Row],[Order ID]], List_of_orders[Order ID], List_of_orders[State])</f>
        <v>Rajasthan</v>
      </c>
      <c r="H221" s="10">
        <f>_xlfn.XLOOKUP(Order_Details[[#This Row],[Order ID]], List_of_orders[Order ID], List_of_orders[Order Date (Clean)])</f>
        <v>43252</v>
      </c>
      <c r="I221" s="7" t="str">
        <f>_xlfn.XLOOKUP(Order_Details[[#This Row],[Order ID]], List_of_orders[Order ID], List_of_orders[CustomerName])</f>
        <v>Chandni</v>
      </c>
      <c r="J221" s="7" t="str">
        <f>_xlfn.XLOOKUP(Order_Details[[#This Row],[Order ID]], List_of_orders[Order ID], List_of_orders[City])</f>
        <v>Jaipur</v>
      </c>
      <c r="K221" s="8" t="str">
        <f>TEXT(Order_Details[[#This Row],[Order Date]], "YY-MMM")</f>
        <v>18-Jun</v>
      </c>
      <c r="L221" s="11">
        <f>Order_Details[[#This Row],[Profit]]/Order_Details[[#This Row],[Amount]]</f>
        <v>-0.30116959064327486</v>
      </c>
      <c r="M221" s="8">
        <f>YEAR(Order_Details[[#This Row],[Order Date]])</f>
        <v>2018</v>
      </c>
      <c r="N221" s="8">
        <f>ROUNDUP(MONTH(Order_Details[[#This Row],[Order Date]])/3, 0)</f>
        <v>2</v>
      </c>
    </row>
    <row r="222" spans="1:14">
      <c r="A222" s="1" t="s">
        <v>225</v>
      </c>
      <c r="B222" s="1">
        <v>1263</v>
      </c>
      <c r="C222" s="1">
        <v>-56</v>
      </c>
      <c r="D222" s="1">
        <v>5</v>
      </c>
      <c r="E222" s="1" t="s">
        <v>1076</v>
      </c>
      <c r="F222" s="1" t="s">
        <v>1107</v>
      </c>
      <c r="G222" s="7" t="str">
        <f>_xlfn.XLOOKUP(Order_Details[[#This Row],[Order ID]], List_of_orders[Order ID], List_of_orders[State])</f>
        <v>Rajasthan</v>
      </c>
      <c r="H222" s="10">
        <f>_xlfn.XLOOKUP(Order_Details[[#This Row],[Order ID]], List_of_orders[Order ID], List_of_orders[Order Date (Clean)])</f>
        <v>43252</v>
      </c>
      <c r="I222" s="7" t="str">
        <f>_xlfn.XLOOKUP(Order_Details[[#This Row],[Order ID]], List_of_orders[Order ID], List_of_orders[CustomerName])</f>
        <v>Chandni</v>
      </c>
      <c r="J222" s="7" t="str">
        <f>_xlfn.XLOOKUP(Order_Details[[#This Row],[Order ID]], List_of_orders[Order ID], List_of_orders[City])</f>
        <v>Jaipur</v>
      </c>
      <c r="K222" s="8" t="str">
        <f>TEXT(Order_Details[[#This Row],[Order Date]], "YY-MMM")</f>
        <v>18-Jun</v>
      </c>
      <c r="L222" s="11">
        <f>Order_Details[[#This Row],[Profit]]/Order_Details[[#This Row],[Amount]]</f>
        <v>-4.4338875692794932E-2</v>
      </c>
      <c r="M222" s="8">
        <f>YEAR(Order_Details[[#This Row],[Order Date]])</f>
        <v>2018</v>
      </c>
      <c r="N222" s="8">
        <f>ROUNDUP(MONTH(Order_Details[[#This Row],[Order Date]])/3, 0)</f>
        <v>2</v>
      </c>
    </row>
    <row r="223" spans="1:14">
      <c r="A223" s="1" t="s">
        <v>225</v>
      </c>
      <c r="B223" s="1">
        <v>674</v>
      </c>
      <c r="C223" s="1">
        <v>-187</v>
      </c>
      <c r="D223" s="1">
        <v>2</v>
      </c>
      <c r="E223" s="1" t="s">
        <v>1075</v>
      </c>
      <c r="F223" s="1" t="s">
        <v>1113</v>
      </c>
      <c r="G223" s="7" t="str">
        <f>_xlfn.XLOOKUP(Order_Details[[#This Row],[Order ID]], List_of_orders[Order ID], List_of_orders[State])</f>
        <v>Rajasthan</v>
      </c>
      <c r="H223" s="10">
        <f>_xlfn.XLOOKUP(Order_Details[[#This Row],[Order ID]], List_of_orders[Order ID], List_of_orders[Order Date (Clean)])</f>
        <v>43252</v>
      </c>
      <c r="I223" s="7" t="str">
        <f>_xlfn.XLOOKUP(Order_Details[[#This Row],[Order ID]], List_of_orders[Order ID], List_of_orders[CustomerName])</f>
        <v>Chandni</v>
      </c>
      <c r="J223" s="7" t="str">
        <f>_xlfn.XLOOKUP(Order_Details[[#This Row],[Order ID]], List_of_orders[Order ID], List_of_orders[City])</f>
        <v>Jaipur</v>
      </c>
      <c r="K223" s="8" t="str">
        <f>TEXT(Order_Details[[#This Row],[Order Date]], "YY-MMM")</f>
        <v>18-Jun</v>
      </c>
      <c r="L223" s="11">
        <f>Order_Details[[#This Row],[Profit]]/Order_Details[[#This Row],[Amount]]</f>
        <v>-0.27744807121661719</v>
      </c>
      <c r="M223" s="8">
        <f>YEAR(Order_Details[[#This Row],[Order Date]])</f>
        <v>2018</v>
      </c>
      <c r="N223" s="8">
        <f>ROUNDUP(MONTH(Order_Details[[#This Row],[Order Date]])/3, 0)</f>
        <v>2</v>
      </c>
    </row>
    <row r="224" spans="1:14">
      <c r="A224" s="1" t="s">
        <v>225</v>
      </c>
      <c r="B224" s="1">
        <v>32</v>
      </c>
      <c r="C224" s="1">
        <v>6</v>
      </c>
      <c r="D224" s="1">
        <v>3</v>
      </c>
      <c r="E224" s="1" t="s">
        <v>1076</v>
      </c>
      <c r="F224" s="1" t="s">
        <v>1111</v>
      </c>
      <c r="G224" s="7" t="str">
        <f>_xlfn.XLOOKUP(Order_Details[[#This Row],[Order ID]], List_of_orders[Order ID], List_of_orders[State])</f>
        <v>Rajasthan</v>
      </c>
      <c r="H224" s="10">
        <f>_xlfn.XLOOKUP(Order_Details[[#This Row],[Order ID]], List_of_orders[Order ID], List_of_orders[Order Date (Clean)])</f>
        <v>43252</v>
      </c>
      <c r="I224" s="7" t="str">
        <f>_xlfn.XLOOKUP(Order_Details[[#This Row],[Order ID]], List_of_orders[Order ID], List_of_orders[CustomerName])</f>
        <v>Chandni</v>
      </c>
      <c r="J224" s="7" t="str">
        <f>_xlfn.XLOOKUP(Order_Details[[#This Row],[Order ID]], List_of_orders[Order ID], List_of_orders[City])</f>
        <v>Jaipur</v>
      </c>
      <c r="K224" s="8" t="str">
        <f>TEXT(Order_Details[[#This Row],[Order Date]], "YY-MMM")</f>
        <v>18-Jun</v>
      </c>
      <c r="L224" s="11">
        <f>Order_Details[[#This Row],[Profit]]/Order_Details[[#This Row],[Amount]]</f>
        <v>0.1875</v>
      </c>
      <c r="M224" s="8">
        <f>YEAR(Order_Details[[#This Row],[Order Date]])</f>
        <v>2018</v>
      </c>
      <c r="N224" s="8">
        <f>ROUNDUP(MONTH(Order_Details[[#This Row],[Order Date]])/3, 0)</f>
        <v>2</v>
      </c>
    </row>
    <row r="225" spans="1:14">
      <c r="A225" s="1" t="s">
        <v>225</v>
      </c>
      <c r="B225" s="1">
        <v>79</v>
      </c>
      <c r="C225" s="1">
        <v>36</v>
      </c>
      <c r="D225" s="1">
        <v>4</v>
      </c>
      <c r="E225" s="1" t="s">
        <v>1076</v>
      </c>
      <c r="F225" s="1" t="s">
        <v>1111</v>
      </c>
      <c r="G225" s="7" t="str">
        <f>_xlfn.XLOOKUP(Order_Details[[#This Row],[Order ID]], List_of_orders[Order ID], List_of_orders[State])</f>
        <v>Rajasthan</v>
      </c>
      <c r="H225" s="10">
        <f>_xlfn.XLOOKUP(Order_Details[[#This Row],[Order ID]], List_of_orders[Order ID], List_of_orders[Order Date (Clean)])</f>
        <v>43252</v>
      </c>
      <c r="I225" s="7" t="str">
        <f>_xlfn.XLOOKUP(Order_Details[[#This Row],[Order ID]], List_of_orders[Order ID], List_of_orders[CustomerName])</f>
        <v>Chandni</v>
      </c>
      <c r="J225" s="7" t="str">
        <f>_xlfn.XLOOKUP(Order_Details[[#This Row],[Order ID]], List_of_orders[Order ID], List_of_orders[City])</f>
        <v>Jaipur</v>
      </c>
      <c r="K225" s="8" t="str">
        <f>TEXT(Order_Details[[#This Row],[Order Date]], "YY-MMM")</f>
        <v>18-Jun</v>
      </c>
      <c r="L225" s="11">
        <f>Order_Details[[#This Row],[Profit]]/Order_Details[[#This Row],[Amount]]</f>
        <v>0.45569620253164556</v>
      </c>
      <c r="M225" s="8">
        <f>YEAR(Order_Details[[#This Row],[Order Date]])</f>
        <v>2018</v>
      </c>
      <c r="N225" s="8">
        <f>ROUNDUP(MONTH(Order_Details[[#This Row],[Order Date]])/3, 0)</f>
        <v>2</v>
      </c>
    </row>
    <row r="226" spans="1:14">
      <c r="A226" s="1" t="s">
        <v>227</v>
      </c>
      <c r="B226" s="1">
        <v>20</v>
      </c>
      <c r="C226" s="1">
        <v>-2</v>
      </c>
      <c r="D226" s="1">
        <v>1</v>
      </c>
      <c r="E226" s="1" t="s">
        <v>1077</v>
      </c>
      <c r="F226" s="1" t="s">
        <v>1115</v>
      </c>
      <c r="G226" s="7" t="str">
        <f>_xlfn.XLOOKUP(Order_Details[[#This Row],[Order ID]], List_of_orders[Order ID], List_of_orders[State])</f>
        <v>West Bengal</v>
      </c>
      <c r="H226" s="10">
        <f>_xlfn.XLOOKUP(Order_Details[[#This Row],[Order ID]], List_of_orders[Order ID], List_of_orders[Order Date (Clean)])</f>
        <v>43253</v>
      </c>
      <c r="I226" s="7" t="str">
        <f>_xlfn.XLOOKUP(Order_Details[[#This Row],[Order ID]], List_of_orders[Order ID], List_of_orders[CustomerName])</f>
        <v>Ekta</v>
      </c>
      <c r="J226" s="7" t="str">
        <f>_xlfn.XLOOKUP(Order_Details[[#This Row],[Order ID]], List_of_orders[Order ID], List_of_orders[City])</f>
        <v>Kolkata</v>
      </c>
      <c r="K226" s="8" t="str">
        <f>TEXT(Order_Details[[#This Row],[Order Date]], "YY-MMM")</f>
        <v>18-Jun</v>
      </c>
      <c r="L226" s="11">
        <f>Order_Details[[#This Row],[Profit]]/Order_Details[[#This Row],[Amount]]</f>
        <v>-0.1</v>
      </c>
      <c r="M226" s="8">
        <f>YEAR(Order_Details[[#This Row],[Order Date]])</f>
        <v>2018</v>
      </c>
      <c r="N226" s="8">
        <f>ROUNDUP(MONTH(Order_Details[[#This Row],[Order Date]])/3, 0)</f>
        <v>2</v>
      </c>
    </row>
    <row r="227" spans="1:14">
      <c r="A227" s="1" t="s">
        <v>229</v>
      </c>
      <c r="B227" s="1">
        <v>64</v>
      </c>
      <c r="C227" s="1">
        <v>-7</v>
      </c>
      <c r="D227" s="1">
        <v>3</v>
      </c>
      <c r="E227" s="1" t="s">
        <v>1076</v>
      </c>
      <c r="F227" s="1" t="s">
        <v>1106</v>
      </c>
      <c r="G227" s="7" t="str">
        <f>_xlfn.XLOOKUP(Order_Details[[#This Row],[Order ID]], List_of_orders[Order ID], List_of_orders[State])</f>
        <v>Karnataka</v>
      </c>
      <c r="H227" s="10">
        <f>_xlfn.XLOOKUP(Order_Details[[#This Row],[Order ID]], List_of_orders[Order ID], List_of_orders[Order Date (Clean)])</f>
        <v>43254</v>
      </c>
      <c r="I227" s="7" t="str">
        <f>_xlfn.XLOOKUP(Order_Details[[#This Row],[Order ID]], List_of_orders[Order ID], List_of_orders[CustomerName])</f>
        <v>Bathina</v>
      </c>
      <c r="J227" s="7" t="str">
        <f>_xlfn.XLOOKUP(Order_Details[[#This Row],[Order ID]], List_of_orders[Order ID], List_of_orders[City])</f>
        <v>Bangalore</v>
      </c>
      <c r="K227" s="8" t="str">
        <f>TEXT(Order_Details[[#This Row],[Order Date]], "YY-MMM")</f>
        <v>18-Jun</v>
      </c>
      <c r="L227" s="11">
        <f>Order_Details[[#This Row],[Profit]]/Order_Details[[#This Row],[Amount]]</f>
        <v>-0.109375</v>
      </c>
      <c r="M227" s="8">
        <f>YEAR(Order_Details[[#This Row],[Order Date]])</f>
        <v>2018</v>
      </c>
      <c r="N227" s="8">
        <f>ROUNDUP(MONTH(Order_Details[[#This Row],[Order Date]])/3, 0)</f>
        <v>2</v>
      </c>
    </row>
    <row r="228" spans="1:14">
      <c r="A228" s="1" t="s">
        <v>229</v>
      </c>
      <c r="B228" s="1">
        <v>7</v>
      </c>
      <c r="C228" s="1">
        <v>-3</v>
      </c>
      <c r="D228" s="1">
        <v>2</v>
      </c>
      <c r="E228" s="1" t="s">
        <v>1076</v>
      </c>
      <c r="F228" s="1" t="s">
        <v>1117</v>
      </c>
      <c r="G228" s="7" t="str">
        <f>_xlfn.XLOOKUP(Order_Details[[#This Row],[Order ID]], List_of_orders[Order ID], List_of_orders[State])</f>
        <v>Karnataka</v>
      </c>
      <c r="H228" s="10">
        <f>_xlfn.XLOOKUP(Order_Details[[#This Row],[Order ID]], List_of_orders[Order ID], List_of_orders[Order Date (Clean)])</f>
        <v>43254</v>
      </c>
      <c r="I228" s="7" t="str">
        <f>_xlfn.XLOOKUP(Order_Details[[#This Row],[Order ID]], List_of_orders[Order ID], List_of_orders[CustomerName])</f>
        <v>Bathina</v>
      </c>
      <c r="J228" s="7" t="str">
        <f>_xlfn.XLOOKUP(Order_Details[[#This Row],[Order ID]], List_of_orders[Order ID], List_of_orders[City])</f>
        <v>Bangalore</v>
      </c>
      <c r="K228" s="8" t="str">
        <f>TEXT(Order_Details[[#This Row],[Order Date]], "YY-MMM")</f>
        <v>18-Jun</v>
      </c>
      <c r="L228" s="11">
        <f>Order_Details[[#This Row],[Profit]]/Order_Details[[#This Row],[Amount]]</f>
        <v>-0.42857142857142855</v>
      </c>
      <c r="M228" s="8">
        <f>YEAR(Order_Details[[#This Row],[Order Date]])</f>
        <v>2018</v>
      </c>
      <c r="N228" s="8">
        <f>ROUNDUP(MONTH(Order_Details[[#This Row],[Order Date]])/3, 0)</f>
        <v>2</v>
      </c>
    </row>
    <row r="229" spans="1:14">
      <c r="A229" s="1" t="s">
        <v>229</v>
      </c>
      <c r="B229" s="1">
        <v>327</v>
      </c>
      <c r="C229" s="1">
        <v>-39</v>
      </c>
      <c r="D229" s="1">
        <v>1</v>
      </c>
      <c r="E229" s="1" t="s">
        <v>1077</v>
      </c>
      <c r="F229" s="1" t="s">
        <v>1105</v>
      </c>
      <c r="G229" s="7" t="str">
        <f>_xlfn.XLOOKUP(Order_Details[[#This Row],[Order ID]], List_of_orders[Order ID], List_of_orders[State])</f>
        <v>Karnataka</v>
      </c>
      <c r="H229" s="10">
        <f>_xlfn.XLOOKUP(Order_Details[[#This Row],[Order ID]], List_of_orders[Order ID], List_of_orders[Order Date (Clean)])</f>
        <v>43254</v>
      </c>
      <c r="I229" s="7" t="str">
        <f>_xlfn.XLOOKUP(Order_Details[[#This Row],[Order ID]], List_of_orders[Order ID], List_of_orders[CustomerName])</f>
        <v>Bathina</v>
      </c>
      <c r="J229" s="7" t="str">
        <f>_xlfn.XLOOKUP(Order_Details[[#This Row],[Order ID]], List_of_orders[Order ID], List_of_orders[City])</f>
        <v>Bangalore</v>
      </c>
      <c r="K229" s="8" t="str">
        <f>TEXT(Order_Details[[#This Row],[Order Date]], "YY-MMM")</f>
        <v>18-Jun</v>
      </c>
      <c r="L229" s="11">
        <f>Order_Details[[#This Row],[Profit]]/Order_Details[[#This Row],[Amount]]</f>
        <v>-0.11926605504587157</v>
      </c>
      <c r="M229" s="8">
        <f>YEAR(Order_Details[[#This Row],[Order Date]])</f>
        <v>2018</v>
      </c>
      <c r="N229" s="8">
        <f>ROUNDUP(MONTH(Order_Details[[#This Row],[Order Date]])/3, 0)</f>
        <v>2</v>
      </c>
    </row>
    <row r="230" spans="1:14">
      <c r="A230" s="1" t="s">
        <v>229</v>
      </c>
      <c r="B230" s="1">
        <v>27</v>
      </c>
      <c r="C230" s="1">
        <v>-25</v>
      </c>
      <c r="D230" s="1">
        <v>2</v>
      </c>
      <c r="E230" s="1" t="s">
        <v>1076</v>
      </c>
      <c r="F230" s="1" t="s">
        <v>1111</v>
      </c>
      <c r="G230" s="7" t="str">
        <f>_xlfn.XLOOKUP(Order_Details[[#This Row],[Order ID]], List_of_orders[Order ID], List_of_orders[State])</f>
        <v>Karnataka</v>
      </c>
      <c r="H230" s="10">
        <f>_xlfn.XLOOKUP(Order_Details[[#This Row],[Order ID]], List_of_orders[Order ID], List_of_orders[Order Date (Clean)])</f>
        <v>43254</v>
      </c>
      <c r="I230" s="7" t="str">
        <f>_xlfn.XLOOKUP(Order_Details[[#This Row],[Order ID]], List_of_orders[Order ID], List_of_orders[CustomerName])</f>
        <v>Bathina</v>
      </c>
      <c r="J230" s="7" t="str">
        <f>_xlfn.XLOOKUP(Order_Details[[#This Row],[Order ID]], List_of_orders[Order ID], List_of_orders[City])</f>
        <v>Bangalore</v>
      </c>
      <c r="K230" s="8" t="str">
        <f>TEXT(Order_Details[[#This Row],[Order Date]], "YY-MMM")</f>
        <v>18-Jun</v>
      </c>
      <c r="L230" s="11">
        <f>Order_Details[[#This Row],[Profit]]/Order_Details[[#This Row],[Amount]]</f>
        <v>-0.92592592592592593</v>
      </c>
      <c r="M230" s="8">
        <f>YEAR(Order_Details[[#This Row],[Order Date]])</f>
        <v>2018</v>
      </c>
      <c r="N230" s="8">
        <f>ROUNDUP(MONTH(Order_Details[[#This Row],[Order Date]])/3, 0)</f>
        <v>2</v>
      </c>
    </row>
    <row r="231" spans="1:14">
      <c r="A231" s="1" t="s">
        <v>231</v>
      </c>
      <c r="B231" s="1">
        <v>76</v>
      </c>
      <c r="C231" s="1">
        <v>-50</v>
      </c>
      <c r="D231" s="1">
        <v>1</v>
      </c>
      <c r="E231" s="1" t="s">
        <v>1076</v>
      </c>
      <c r="F231" s="1" t="s">
        <v>1106</v>
      </c>
      <c r="G231" s="7" t="str">
        <f>_xlfn.XLOOKUP(Order_Details[[#This Row],[Order ID]], List_of_orders[Order ID], List_of_orders[State])</f>
        <v>Maharashtra</v>
      </c>
      <c r="H231" s="10">
        <f>_xlfn.XLOOKUP(Order_Details[[#This Row],[Order ID]], List_of_orders[Order ID], List_of_orders[Order Date (Clean)])</f>
        <v>43255</v>
      </c>
      <c r="I231" s="7" t="str">
        <f>_xlfn.XLOOKUP(Order_Details[[#This Row],[Order ID]], List_of_orders[Order ID], List_of_orders[CustomerName])</f>
        <v>Avni</v>
      </c>
      <c r="J231" s="7" t="str">
        <f>_xlfn.XLOOKUP(Order_Details[[#This Row],[Order ID]], List_of_orders[Order ID], List_of_orders[City])</f>
        <v>Mumbai</v>
      </c>
      <c r="K231" s="8" t="str">
        <f>TEXT(Order_Details[[#This Row],[Order Date]], "YY-MMM")</f>
        <v>18-Jun</v>
      </c>
      <c r="L231" s="11">
        <f>Order_Details[[#This Row],[Profit]]/Order_Details[[#This Row],[Amount]]</f>
        <v>-0.65789473684210531</v>
      </c>
      <c r="M231" s="8">
        <f>YEAR(Order_Details[[#This Row],[Order Date]])</f>
        <v>2018</v>
      </c>
      <c r="N231" s="8">
        <f>ROUNDUP(MONTH(Order_Details[[#This Row],[Order Date]])/3, 0)</f>
        <v>2</v>
      </c>
    </row>
    <row r="232" spans="1:14">
      <c r="A232" s="1" t="s">
        <v>233</v>
      </c>
      <c r="B232" s="1">
        <v>73</v>
      </c>
      <c r="C232" s="1">
        <v>-25</v>
      </c>
      <c r="D232" s="1">
        <v>3</v>
      </c>
      <c r="E232" s="1" t="s">
        <v>1076</v>
      </c>
      <c r="F232" s="1" t="s">
        <v>1106</v>
      </c>
      <c r="G232" s="7" t="str">
        <f>_xlfn.XLOOKUP(Order_Details[[#This Row],[Order ID]], List_of_orders[Order ID], List_of_orders[State])</f>
        <v>Madhya Pradesh</v>
      </c>
      <c r="H232" s="10">
        <f>_xlfn.XLOOKUP(Order_Details[[#This Row],[Order ID]], List_of_orders[Order ID], List_of_orders[Order Date (Clean)])</f>
        <v>43255</v>
      </c>
      <c r="I232" s="7" t="str">
        <f>_xlfn.XLOOKUP(Order_Details[[#This Row],[Order ID]], List_of_orders[Order ID], List_of_orders[CustomerName])</f>
        <v>Aayushi</v>
      </c>
      <c r="J232" s="7" t="str">
        <f>_xlfn.XLOOKUP(Order_Details[[#This Row],[Order ID]], List_of_orders[Order ID], List_of_orders[City])</f>
        <v>Indore</v>
      </c>
      <c r="K232" s="8" t="str">
        <f>TEXT(Order_Details[[#This Row],[Order Date]], "YY-MMM")</f>
        <v>18-Jun</v>
      </c>
      <c r="L232" s="11">
        <f>Order_Details[[#This Row],[Profit]]/Order_Details[[#This Row],[Amount]]</f>
        <v>-0.34246575342465752</v>
      </c>
      <c r="M232" s="8">
        <f>YEAR(Order_Details[[#This Row],[Order Date]])</f>
        <v>2018</v>
      </c>
      <c r="N232" s="8">
        <f>ROUNDUP(MONTH(Order_Details[[#This Row],[Order Date]])/3, 0)</f>
        <v>2</v>
      </c>
    </row>
    <row r="233" spans="1:14">
      <c r="A233" s="1" t="s">
        <v>235</v>
      </c>
      <c r="B233" s="1">
        <v>68</v>
      </c>
      <c r="C233" s="1">
        <v>-27</v>
      </c>
      <c r="D233" s="1">
        <v>3</v>
      </c>
      <c r="E233" s="1" t="s">
        <v>1077</v>
      </c>
      <c r="F233" s="1" t="s">
        <v>1115</v>
      </c>
      <c r="G233" s="7" t="str">
        <f>_xlfn.XLOOKUP(Order_Details[[#This Row],[Order ID]], List_of_orders[Order ID], List_of_orders[State])</f>
        <v>Madhya Pradesh</v>
      </c>
      <c r="H233" s="10">
        <f>_xlfn.XLOOKUP(Order_Details[[#This Row],[Order ID]], List_of_orders[Order ID], List_of_orders[Order Date (Clean)])</f>
        <v>43255</v>
      </c>
      <c r="I233" s="7" t="str">
        <f>_xlfn.XLOOKUP(Order_Details[[#This Row],[Order ID]], List_of_orders[Order ID], List_of_orders[CustomerName])</f>
        <v>Bhawna</v>
      </c>
      <c r="J233" s="7" t="str">
        <f>_xlfn.XLOOKUP(Order_Details[[#This Row],[Order ID]], List_of_orders[Order ID], List_of_orders[City])</f>
        <v>Indore</v>
      </c>
      <c r="K233" s="8" t="str">
        <f>TEXT(Order_Details[[#This Row],[Order Date]], "YY-MMM")</f>
        <v>18-Jun</v>
      </c>
      <c r="L233" s="11">
        <f>Order_Details[[#This Row],[Profit]]/Order_Details[[#This Row],[Amount]]</f>
        <v>-0.39705882352941174</v>
      </c>
      <c r="M233" s="8">
        <f>YEAR(Order_Details[[#This Row],[Order Date]])</f>
        <v>2018</v>
      </c>
      <c r="N233" s="8">
        <f>ROUNDUP(MONTH(Order_Details[[#This Row],[Order Date]])/3, 0)</f>
        <v>2</v>
      </c>
    </row>
    <row r="234" spans="1:14">
      <c r="A234" s="1" t="s">
        <v>235</v>
      </c>
      <c r="B234" s="1">
        <v>523</v>
      </c>
      <c r="C234" s="1">
        <v>204</v>
      </c>
      <c r="D234" s="1">
        <v>7</v>
      </c>
      <c r="E234" s="1" t="s">
        <v>1076</v>
      </c>
      <c r="F234" s="1" t="s">
        <v>1107</v>
      </c>
      <c r="G234" s="7" t="str">
        <f>_xlfn.XLOOKUP(Order_Details[[#This Row],[Order ID]], List_of_orders[Order ID], List_of_orders[State])</f>
        <v>Madhya Pradesh</v>
      </c>
      <c r="H234" s="10">
        <f>_xlfn.XLOOKUP(Order_Details[[#This Row],[Order ID]], List_of_orders[Order ID], List_of_orders[Order Date (Clean)])</f>
        <v>43255</v>
      </c>
      <c r="I234" s="7" t="str">
        <f>_xlfn.XLOOKUP(Order_Details[[#This Row],[Order ID]], List_of_orders[Order ID], List_of_orders[CustomerName])</f>
        <v>Bhawna</v>
      </c>
      <c r="J234" s="7" t="str">
        <f>_xlfn.XLOOKUP(Order_Details[[#This Row],[Order ID]], List_of_orders[Order ID], List_of_orders[City])</f>
        <v>Indore</v>
      </c>
      <c r="K234" s="8" t="str">
        <f>TEXT(Order_Details[[#This Row],[Order Date]], "YY-MMM")</f>
        <v>18-Jun</v>
      </c>
      <c r="L234" s="11">
        <f>Order_Details[[#This Row],[Profit]]/Order_Details[[#This Row],[Amount]]</f>
        <v>0.39005736137667302</v>
      </c>
      <c r="M234" s="8">
        <f>YEAR(Order_Details[[#This Row],[Order Date]])</f>
        <v>2018</v>
      </c>
      <c r="N234" s="8">
        <f>ROUNDUP(MONTH(Order_Details[[#This Row],[Order Date]])/3, 0)</f>
        <v>2</v>
      </c>
    </row>
    <row r="235" spans="1:14">
      <c r="A235" s="1" t="s">
        <v>235</v>
      </c>
      <c r="B235" s="1">
        <v>44</v>
      </c>
      <c r="C235" s="1">
        <v>-3</v>
      </c>
      <c r="D235" s="1">
        <v>1</v>
      </c>
      <c r="E235" s="1" t="s">
        <v>1076</v>
      </c>
      <c r="F235" s="1" t="s">
        <v>1106</v>
      </c>
      <c r="G235" s="7" t="str">
        <f>_xlfn.XLOOKUP(Order_Details[[#This Row],[Order ID]], List_of_orders[Order ID], List_of_orders[State])</f>
        <v>Madhya Pradesh</v>
      </c>
      <c r="H235" s="10">
        <f>_xlfn.XLOOKUP(Order_Details[[#This Row],[Order ID]], List_of_orders[Order ID], List_of_orders[Order Date (Clean)])</f>
        <v>43255</v>
      </c>
      <c r="I235" s="7" t="str">
        <f>_xlfn.XLOOKUP(Order_Details[[#This Row],[Order ID]], List_of_orders[Order ID], List_of_orders[CustomerName])</f>
        <v>Bhawna</v>
      </c>
      <c r="J235" s="7" t="str">
        <f>_xlfn.XLOOKUP(Order_Details[[#This Row],[Order ID]], List_of_orders[Order ID], List_of_orders[City])</f>
        <v>Indore</v>
      </c>
      <c r="K235" s="8" t="str">
        <f>TEXT(Order_Details[[#This Row],[Order Date]], "YY-MMM")</f>
        <v>18-Jun</v>
      </c>
      <c r="L235" s="11">
        <f>Order_Details[[#This Row],[Profit]]/Order_Details[[#This Row],[Amount]]</f>
        <v>-6.8181818181818177E-2</v>
      </c>
      <c r="M235" s="8">
        <f>YEAR(Order_Details[[#This Row],[Order Date]])</f>
        <v>2018</v>
      </c>
      <c r="N235" s="8">
        <f>ROUNDUP(MONTH(Order_Details[[#This Row],[Order Date]])/3, 0)</f>
        <v>2</v>
      </c>
    </row>
    <row r="236" spans="1:14">
      <c r="A236" s="1" t="s">
        <v>235</v>
      </c>
      <c r="B236" s="1">
        <v>243</v>
      </c>
      <c r="C236" s="1">
        <v>-14</v>
      </c>
      <c r="D236" s="1">
        <v>2</v>
      </c>
      <c r="E236" s="1" t="s">
        <v>1075</v>
      </c>
      <c r="F236" s="1" t="s">
        <v>1108</v>
      </c>
      <c r="G236" s="7" t="str">
        <f>_xlfn.XLOOKUP(Order_Details[[#This Row],[Order ID]], List_of_orders[Order ID], List_of_orders[State])</f>
        <v>Madhya Pradesh</v>
      </c>
      <c r="H236" s="10">
        <f>_xlfn.XLOOKUP(Order_Details[[#This Row],[Order ID]], List_of_orders[Order ID], List_of_orders[Order Date (Clean)])</f>
        <v>43255</v>
      </c>
      <c r="I236" s="7" t="str">
        <f>_xlfn.XLOOKUP(Order_Details[[#This Row],[Order ID]], List_of_orders[Order ID], List_of_orders[CustomerName])</f>
        <v>Bhawna</v>
      </c>
      <c r="J236" s="7" t="str">
        <f>_xlfn.XLOOKUP(Order_Details[[#This Row],[Order ID]], List_of_orders[Order ID], List_of_orders[City])</f>
        <v>Indore</v>
      </c>
      <c r="K236" s="8" t="str">
        <f>TEXT(Order_Details[[#This Row],[Order Date]], "YY-MMM")</f>
        <v>18-Jun</v>
      </c>
      <c r="L236" s="11">
        <f>Order_Details[[#This Row],[Profit]]/Order_Details[[#This Row],[Amount]]</f>
        <v>-5.7613168724279837E-2</v>
      </c>
      <c r="M236" s="8">
        <f>YEAR(Order_Details[[#This Row],[Order Date]])</f>
        <v>2018</v>
      </c>
      <c r="N236" s="8">
        <f>ROUNDUP(MONTH(Order_Details[[#This Row],[Order Date]])/3, 0)</f>
        <v>2</v>
      </c>
    </row>
    <row r="237" spans="1:14">
      <c r="A237" s="1" t="s">
        <v>235</v>
      </c>
      <c r="B237" s="1">
        <v>1625</v>
      </c>
      <c r="C237" s="1">
        <v>-77</v>
      </c>
      <c r="D237" s="1">
        <v>3</v>
      </c>
      <c r="E237" s="1" t="s">
        <v>1077</v>
      </c>
      <c r="F237" s="1" t="s">
        <v>1105</v>
      </c>
      <c r="G237" s="7" t="str">
        <f>_xlfn.XLOOKUP(Order_Details[[#This Row],[Order ID]], List_of_orders[Order ID], List_of_orders[State])</f>
        <v>Madhya Pradesh</v>
      </c>
      <c r="H237" s="10">
        <f>_xlfn.XLOOKUP(Order_Details[[#This Row],[Order ID]], List_of_orders[Order ID], List_of_orders[Order Date (Clean)])</f>
        <v>43255</v>
      </c>
      <c r="I237" s="7" t="str">
        <f>_xlfn.XLOOKUP(Order_Details[[#This Row],[Order ID]], List_of_orders[Order ID], List_of_orders[CustomerName])</f>
        <v>Bhawna</v>
      </c>
      <c r="J237" s="7" t="str">
        <f>_xlfn.XLOOKUP(Order_Details[[#This Row],[Order ID]], List_of_orders[Order ID], List_of_orders[City])</f>
        <v>Indore</v>
      </c>
      <c r="K237" s="8" t="str">
        <f>TEXT(Order_Details[[#This Row],[Order Date]], "YY-MMM")</f>
        <v>18-Jun</v>
      </c>
      <c r="L237" s="11">
        <f>Order_Details[[#This Row],[Profit]]/Order_Details[[#This Row],[Amount]]</f>
        <v>-4.7384615384615386E-2</v>
      </c>
      <c r="M237" s="8">
        <f>YEAR(Order_Details[[#This Row],[Order Date]])</f>
        <v>2018</v>
      </c>
      <c r="N237" s="8">
        <f>ROUNDUP(MONTH(Order_Details[[#This Row],[Order Date]])/3, 0)</f>
        <v>2</v>
      </c>
    </row>
    <row r="238" spans="1:14">
      <c r="A238" s="1" t="s">
        <v>235</v>
      </c>
      <c r="B238" s="1">
        <v>1096</v>
      </c>
      <c r="C238" s="1">
        <v>-658</v>
      </c>
      <c r="D238" s="1">
        <v>7</v>
      </c>
      <c r="E238" s="1" t="s">
        <v>1077</v>
      </c>
      <c r="F238" s="1" t="s">
        <v>1104</v>
      </c>
      <c r="G238" s="7" t="str">
        <f>_xlfn.XLOOKUP(Order_Details[[#This Row],[Order ID]], List_of_orders[Order ID], List_of_orders[State])</f>
        <v>Madhya Pradesh</v>
      </c>
      <c r="H238" s="10">
        <f>_xlfn.XLOOKUP(Order_Details[[#This Row],[Order ID]], List_of_orders[Order ID], List_of_orders[Order Date (Clean)])</f>
        <v>43255</v>
      </c>
      <c r="I238" s="7" t="str">
        <f>_xlfn.XLOOKUP(Order_Details[[#This Row],[Order ID]], List_of_orders[Order ID], List_of_orders[CustomerName])</f>
        <v>Bhawna</v>
      </c>
      <c r="J238" s="7" t="str">
        <f>_xlfn.XLOOKUP(Order_Details[[#This Row],[Order ID]], List_of_orders[Order ID], List_of_orders[City])</f>
        <v>Indore</v>
      </c>
      <c r="K238" s="8" t="str">
        <f>TEXT(Order_Details[[#This Row],[Order Date]], "YY-MMM")</f>
        <v>18-Jun</v>
      </c>
      <c r="L238" s="11">
        <f>Order_Details[[#This Row],[Profit]]/Order_Details[[#This Row],[Amount]]</f>
        <v>-0.60036496350364965</v>
      </c>
      <c r="M238" s="8">
        <f>YEAR(Order_Details[[#This Row],[Order Date]])</f>
        <v>2018</v>
      </c>
      <c r="N238" s="8">
        <f>ROUNDUP(MONTH(Order_Details[[#This Row],[Order Date]])/3, 0)</f>
        <v>2</v>
      </c>
    </row>
    <row r="239" spans="1:14">
      <c r="A239" s="1" t="s">
        <v>237</v>
      </c>
      <c r="B239" s="1">
        <v>545</v>
      </c>
      <c r="C239" s="1">
        <v>-73</v>
      </c>
      <c r="D239" s="1">
        <v>11</v>
      </c>
      <c r="E239" s="1" t="s">
        <v>1077</v>
      </c>
      <c r="F239" s="1" t="s">
        <v>1105</v>
      </c>
      <c r="G239" s="7" t="str">
        <f>_xlfn.XLOOKUP(Order_Details[[#This Row],[Order ID]], List_of_orders[Order ID], List_of_orders[State])</f>
        <v>Bihar</v>
      </c>
      <c r="H239" s="10">
        <f>_xlfn.XLOOKUP(Order_Details[[#This Row],[Order ID]], List_of_orders[Order ID], List_of_orders[Order Date (Clean)])</f>
        <v>43258</v>
      </c>
      <c r="I239" s="7" t="str">
        <f>_xlfn.XLOOKUP(Order_Details[[#This Row],[Order ID]], List_of_orders[Order ID], List_of_orders[CustomerName])</f>
        <v>Krutika</v>
      </c>
      <c r="J239" s="7" t="str">
        <f>_xlfn.XLOOKUP(Order_Details[[#This Row],[Order ID]], List_of_orders[Order ID], List_of_orders[City])</f>
        <v>Patna</v>
      </c>
      <c r="K239" s="8" t="str">
        <f>TEXT(Order_Details[[#This Row],[Order Date]], "YY-MMM")</f>
        <v>18-Jun</v>
      </c>
      <c r="L239" s="11">
        <f>Order_Details[[#This Row],[Profit]]/Order_Details[[#This Row],[Amount]]</f>
        <v>-0.13394495412844037</v>
      </c>
      <c r="M239" s="8">
        <f>YEAR(Order_Details[[#This Row],[Order Date]])</f>
        <v>2018</v>
      </c>
      <c r="N239" s="8">
        <f>ROUNDUP(MONTH(Order_Details[[#This Row],[Order Date]])/3, 0)</f>
        <v>2</v>
      </c>
    </row>
    <row r="240" spans="1:14">
      <c r="A240" s="1" t="s">
        <v>239</v>
      </c>
      <c r="B240" s="1">
        <v>433</v>
      </c>
      <c r="C240" s="1">
        <v>26</v>
      </c>
      <c r="D240" s="1">
        <v>3</v>
      </c>
      <c r="E240" s="1" t="s">
        <v>1077</v>
      </c>
      <c r="F240" s="1" t="s">
        <v>1114</v>
      </c>
      <c r="G240" s="7" t="str">
        <f>_xlfn.XLOOKUP(Order_Details[[#This Row],[Order ID]], List_of_orders[Order ID], List_of_orders[State])</f>
        <v xml:space="preserve">Kerala </v>
      </c>
      <c r="H240" s="10">
        <f>_xlfn.XLOOKUP(Order_Details[[#This Row],[Order ID]], List_of_orders[Order ID], List_of_orders[Order Date (Clean)])</f>
        <v>43259</v>
      </c>
      <c r="I240" s="7" t="str">
        <f>_xlfn.XLOOKUP(Order_Details[[#This Row],[Order ID]], List_of_orders[Order ID], List_of_orders[CustomerName])</f>
        <v>Shreya</v>
      </c>
      <c r="J240" s="7" t="str">
        <f>_xlfn.XLOOKUP(Order_Details[[#This Row],[Order ID]], List_of_orders[Order ID], List_of_orders[City])</f>
        <v>Thiruvananthapuram</v>
      </c>
      <c r="K240" s="8" t="str">
        <f>TEXT(Order_Details[[#This Row],[Order Date]], "YY-MMM")</f>
        <v>18-Jun</v>
      </c>
      <c r="L240" s="11">
        <f>Order_Details[[#This Row],[Profit]]/Order_Details[[#This Row],[Amount]]</f>
        <v>6.0046189376443418E-2</v>
      </c>
      <c r="M240" s="8">
        <f>YEAR(Order_Details[[#This Row],[Order Date]])</f>
        <v>2018</v>
      </c>
      <c r="N240" s="8">
        <f>ROUNDUP(MONTH(Order_Details[[#This Row],[Order Date]])/3, 0)</f>
        <v>2</v>
      </c>
    </row>
    <row r="241" spans="1:14">
      <c r="A241" s="1" t="s">
        <v>239</v>
      </c>
      <c r="B241" s="1">
        <v>245</v>
      </c>
      <c r="C241" s="1">
        <v>-3</v>
      </c>
      <c r="D241" s="1">
        <v>4</v>
      </c>
      <c r="E241" s="1" t="s">
        <v>1077</v>
      </c>
      <c r="F241" s="1" t="s">
        <v>1105</v>
      </c>
      <c r="G241" s="7" t="str">
        <f>_xlfn.XLOOKUP(Order_Details[[#This Row],[Order ID]], List_of_orders[Order ID], List_of_orders[State])</f>
        <v xml:space="preserve">Kerala </v>
      </c>
      <c r="H241" s="10">
        <f>_xlfn.XLOOKUP(Order_Details[[#This Row],[Order ID]], List_of_orders[Order ID], List_of_orders[Order Date (Clean)])</f>
        <v>43259</v>
      </c>
      <c r="I241" s="7" t="str">
        <f>_xlfn.XLOOKUP(Order_Details[[#This Row],[Order ID]], List_of_orders[Order ID], List_of_orders[CustomerName])</f>
        <v>Shreya</v>
      </c>
      <c r="J241" s="7" t="str">
        <f>_xlfn.XLOOKUP(Order_Details[[#This Row],[Order ID]], List_of_orders[Order ID], List_of_orders[City])</f>
        <v>Thiruvananthapuram</v>
      </c>
      <c r="K241" s="8" t="str">
        <f>TEXT(Order_Details[[#This Row],[Order Date]], "YY-MMM")</f>
        <v>18-Jun</v>
      </c>
      <c r="L241" s="11">
        <f>Order_Details[[#This Row],[Profit]]/Order_Details[[#This Row],[Amount]]</f>
        <v>-1.2244897959183673E-2</v>
      </c>
      <c r="M241" s="8">
        <f>YEAR(Order_Details[[#This Row],[Order Date]])</f>
        <v>2018</v>
      </c>
      <c r="N241" s="8">
        <f>ROUNDUP(MONTH(Order_Details[[#This Row],[Order Date]])/3, 0)</f>
        <v>2</v>
      </c>
    </row>
    <row r="242" spans="1:14">
      <c r="A242" s="1" t="s">
        <v>239</v>
      </c>
      <c r="B242" s="1">
        <v>155</v>
      </c>
      <c r="C242" s="1">
        <v>56</v>
      </c>
      <c r="D242" s="1">
        <v>3</v>
      </c>
      <c r="E242" s="1" t="s">
        <v>1075</v>
      </c>
      <c r="F242" s="1" t="s">
        <v>1116</v>
      </c>
      <c r="G242" s="7" t="str">
        <f>_xlfn.XLOOKUP(Order_Details[[#This Row],[Order ID]], List_of_orders[Order ID], List_of_orders[State])</f>
        <v xml:space="preserve">Kerala </v>
      </c>
      <c r="H242" s="10">
        <f>_xlfn.XLOOKUP(Order_Details[[#This Row],[Order ID]], List_of_orders[Order ID], List_of_orders[Order Date (Clean)])</f>
        <v>43259</v>
      </c>
      <c r="I242" s="7" t="str">
        <f>_xlfn.XLOOKUP(Order_Details[[#This Row],[Order ID]], List_of_orders[Order ID], List_of_orders[CustomerName])</f>
        <v>Shreya</v>
      </c>
      <c r="J242" s="7" t="str">
        <f>_xlfn.XLOOKUP(Order_Details[[#This Row],[Order ID]], List_of_orders[Order ID], List_of_orders[City])</f>
        <v>Thiruvananthapuram</v>
      </c>
      <c r="K242" s="8" t="str">
        <f>TEXT(Order_Details[[#This Row],[Order Date]], "YY-MMM")</f>
        <v>18-Jun</v>
      </c>
      <c r="L242" s="11">
        <f>Order_Details[[#This Row],[Profit]]/Order_Details[[#This Row],[Amount]]</f>
        <v>0.36129032258064514</v>
      </c>
      <c r="M242" s="8">
        <f>YEAR(Order_Details[[#This Row],[Order Date]])</f>
        <v>2018</v>
      </c>
      <c r="N242" s="8">
        <f>ROUNDUP(MONTH(Order_Details[[#This Row],[Order Date]])/3, 0)</f>
        <v>2</v>
      </c>
    </row>
    <row r="243" spans="1:14">
      <c r="A243" s="1" t="s">
        <v>239</v>
      </c>
      <c r="B243" s="1">
        <v>148</v>
      </c>
      <c r="C243" s="1">
        <v>52</v>
      </c>
      <c r="D243" s="1">
        <v>5</v>
      </c>
      <c r="E243" s="1" t="s">
        <v>1076</v>
      </c>
      <c r="F243" s="1" t="s">
        <v>1102</v>
      </c>
      <c r="G243" s="7" t="str">
        <f>_xlfn.XLOOKUP(Order_Details[[#This Row],[Order ID]], List_of_orders[Order ID], List_of_orders[State])</f>
        <v xml:space="preserve">Kerala </v>
      </c>
      <c r="H243" s="10">
        <f>_xlfn.XLOOKUP(Order_Details[[#This Row],[Order ID]], List_of_orders[Order ID], List_of_orders[Order Date (Clean)])</f>
        <v>43259</v>
      </c>
      <c r="I243" s="7" t="str">
        <f>_xlfn.XLOOKUP(Order_Details[[#This Row],[Order ID]], List_of_orders[Order ID], List_of_orders[CustomerName])</f>
        <v>Shreya</v>
      </c>
      <c r="J243" s="7" t="str">
        <f>_xlfn.XLOOKUP(Order_Details[[#This Row],[Order ID]], List_of_orders[Order ID], List_of_orders[City])</f>
        <v>Thiruvananthapuram</v>
      </c>
      <c r="K243" s="8" t="str">
        <f>TEXT(Order_Details[[#This Row],[Order Date]], "YY-MMM")</f>
        <v>18-Jun</v>
      </c>
      <c r="L243" s="11">
        <f>Order_Details[[#This Row],[Profit]]/Order_Details[[#This Row],[Amount]]</f>
        <v>0.35135135135135137</v>
      </c>
      <c r="M243" s="8">
        <f>YEAR(Order_Details[[#This Row],[Order Date]])</f>
        <v>2018</v>
      </c>
      <c r="N243" s="8">
        <f>ROUNDUP(MONTH(Order_Details[[#This Row],[Order Date]])/3, 0)</f>
        <v>2</v>
      </c>
    </row>
    <row r="244" spans="1:14">
      <c r="A244" s="1" t="s">
        <v>239</v>
      </c>
      <c r="B244" s="1">
        <v>86</v>
      </c>
      <c r="C244" s="1">
        <v>-55</v>
      </c>
      <c r="D244" s="1">
        <v>6</v>
      </c>
      <c r="E244" s="1" t="s">
        <v>1076</v>
      </c>
      <c r="F244" s="1" t="s">
        <v>1106</v>
      </c>
      <c r="G244" s="7" t="str">
        <f>_xlfn.XLOOKUP(Order_Details[[#This Row],[Order ID]], List_of_orders[Order ID], List_of_orders[State])</f>
        <v xml:space="preserve">Kerala </v>
      </c>
      <c r="H244" s="10">
        <f>_xlfn.XLOOKUP(Order_Details[[#This Row],[Order ID]], List_of_orders[Order ID], List_of_orders[Order Date (Clean)])</f>
        <v>43259</v>
      </c>
      <c r="I244" s="7" t="str">
        <f>_xlfn.XLOOKUP(Order_Details[[#This Row],[Order ID]], List_of_orders[Order ID], List_of_orders[CustomerName])</f>
        <v>Shreya</v>
      </c>
      <c r="J244" s="7" t="str">
        <f>_xlfn.XLOOKUP(Order_Details[[#This Row],[Order ID]], List_of_orders[Order ID], List_of_orders[City])</f>
        <v>Thiruvananthapuram</v>
      </c>
      <c r="K244" s="8" t="str">
        <f>TEXT(Order_Details[[#This Row],[Order Date]], "YY-MMM")</f>
        <v>18-Jun</v>
      </c>
      <c r="L244" s="11">
        <f>Order_Details[[#This Row],[Profit]]/Order_Details[[#This Row],[Amount]]</f>
        <v>-0.63953488372093026</v>
      </c>
      <c r="M244" s="8">
        <f>YEAR(Order_Details[[#This Row],[Order Date]])</f>
        <v>2018</v>
      </c>
      <c r="N244" s="8">
        <f>ROUNDUP(MONTH(Order_Details[[#This Row],[Order Date]])/3, 0)</f>
        <v>2</v>
      </c>
    </row>
    <row r="245" spans="1:14">
      <c r="A245" s="1" t="s">
        <v>240</v>
      </c>
      <c r="B245" s="1">
        <v>134</v>
      </c>
      <c r="C245" s="1">
        <v>42</v>
      </c>
      <c r="D245" s="1">
        <v>2</v>
      </c>
      <c r="E245" s="1" t="s">
        <v>1075</v>
      </c>
      <c r="F245" s="1" t="s">
        <v>1108</v>
      </c>
      <c r="G245" s="7" t="str">
        <f>_xlfn.XLOOKUP(Order_Details[[#This Row],[Order ID]], List_of_orders[Order ID], List_of_orders[State])</f>
        <v>Maharashtra</v>
      </c>
      <c r="H245" s="10">
        <f>_xlfn.XLOOKUP(Order_Details[[#This Row],[Order ID]], List_of_orders[Order ID], List_of_orders[Order Date (Clean)])</f>
        <v>43260</v>
      </c>
      <c r="I245" s="7" t="str">
        <f>_xlfn.XLOOKUP(Order_Details[[#This Row],[Order ID]], List_of_orders[Order ID], List_of_orders[CustomerName])</f>
        <v>Samiksha</v>
      </c>
      <c r="J245" s="7" t="str">
        <f>_xlfn.XLOOKUP(Order_Details[[#This Row],[Order ID]], List_of_orders[Order ID], List_of_orders[City])</f>
        <v>Mumbai</v>
      </c>
      <c r="K245" s="8" t="str">
        <f>TEXT(Order_Details[[#This Row],[Order Date]], "YY-MMM")</f>
        <v>18-Jun</v>
      </c>
      <c r="L245" s="11">
        <f>Order_Details[[#This Row],[Profit]]/Order_Details[[#This Row],[Amount]]</f>
        <v>0.31343283582089554</v>
      </c>
      <c r="M245" s="8">
        <f>YEAR(Order_Details[[#This Row],[Order Date]])</f>
        <v>2018</v>
      </c>
      <c r="N245" s="8">
        <f>ROUNDUP(MONTH(Order_Details[[#This Row],[Order Date]])/3, 0)</f>
        <v>2</v>
      </c>
    </row>
    <row r="246" spans="1:14">
      <c r="A246" s="1" t="s">
        <v>242</v>
      </c>
      <c r="B246" s="1">
        <v>51</v>
      </c>
      <c r="C246" s="1">
        <v>7</v>
      </c>
      <c r="D246" s="1">
        <v>2</v>
      </c>
      <c r="E246" s="1" t="s">
        <v>1075</v>
      </c>
      <c r="F246" s="1" t="s">
        <v>1116</v>
      </c>
      <c r="G246" s="7" t="str">
        <f>_xlfn.XLOOKUP(Order_Details[[#This Row],[Order ID]], List_of_orders[Order ID], List_of_orders[State])</f>
        <v>Madhya Pradesh</v>
      </c>
      <c r="H246" s="10">
        <f>_xlfn.XLOOKUP(Order_Details[[#This Row],[Order ID]], List_of_orders[Order ID], List_of_orders[Order Date (Clean)])</f>
        <v>43261</v>
      </c>
      <c r="I246" s="7" t="str">
        <f>_xlfn.XLOOKUP(Order_Details[[#This Row],[Order ID]], List_of_orders[Order ID], List_of_orders[CustomerName])</f>
        <v>Sheetal</v>
      </c>
      <c r="J246" s="7" t="str">
        <f>_xlfn.XLOOKUP(Order_Details[[#This Row],[Order ID]], List_of_orders[Order ID], List_of_orders[City])</f>
        <v>Indore</v>
      </c>
      <c r="K246" s="8" t="str">
        <f>TEXT(Order_Details[[#This Row],[Order Date]], "YY-MMM")</f>
        <v>18-Jun</v>
      </c>
      <c r="L246" s="11">
        <f>Order_Details[[#This Row],[Profit]]/Order_Details[[#This Row],[Amount]]</f>
        <v>0.13725490196078433</v>
      </c>
      <c r="M246" s="8">
        <f>YEAR(Order_Details[[#This Row],[Order Date]])</f>
        <v>2018</v>
      </c>
      <c r="N246" s="8">
        <f>ROUNDUP(MONTH(Order_Details[[#This Row],[Order Date]])/3, 0)</f>
        <v>2</v>
      </c>
    </row>
    <row r="247" spans="1:14">
      <c r="A247" s="1" t="s">
        <v>242</v>
      </c>
      <c r="B247" s="1">
        <v>529</v>
      </c>
      <c r="C247" s="1">
        <v>137</v>
      </c>
      <c r="D247" s="1">
        <v>3</v>
      </c>
      <c r="E247" s="1" t="s">
        <v>1077</v>
      </c>
      <c r="F247" s="1" t="s">
        <v>1105</v>
      </c>
      <c r="G247" s="7" t="str">
        <f>_xlfn.XLOOKUP(Order_Details[[#This Row],[Order ID]], List_of_orders[Order ID], List_of_orders[State])</f>
        <v>Madhya Pradesh</v>
      </c>
      <c r="H247" s="10">
        <f>_xlfn.XLOOKUP(Order_Details[[#This Row],[Order ID]], List_of_orders[Order ID], List_of_orders[Order Date (Clean)])</f>
        <v>43261</v>
      </c>
      <c r="I247" s="7" t="str">
        <f>_xlfn.XLOOKUP(Order_Details[[#This Row],[Order ID]], List_of_orders[Order ID], List_of_orders[CustomerName])</f>
        <v>Sheetal</v>
      </c>
      <c r="J247" s="7" t="str">
        <f>_xlfn.XLOOKUP(Order_Details[[#This Row],[Order ID]], List_of_orders[Order ID], List_of_orders[City])</f>
        <v>Indore</v>
      </c>
      <c r="K247" s="8" t="str">
        <f>TEXT(Order_Details[[#This Row],[Order Date]], "YY-MMM")</f>
        <v>18-Jun</v>
      </c>
      <c r="L247" s="11">
        <f>Order_Details[[#This Row],[Profit]]/Order_Details[[#This Row],[Amount]]</f>
        <v>0.25897920604914931</v>
      </c>
      <c r="M247" s="8">
        <f>YEAR(Order_Details[[#This Row],[Order Date]])</f>
        <v>2018</v>
      </c>
      <c r="N247" s="8">
        <f>ROUNDUP(MONTH(Order_Details[[#This Row],[Order Date]])/3, 0)</f>
        <v>2</v>
      </c>
    </row>
    <row r="248" spans="1:14">
      <c r="A248" s="1" t="s">
        <v>242</v>
      </c>
      <c r="B248" s="1">
        <v>264</v>
      </c>
      <c r="C248" s="1">
        <v>-30</v>
      </c>
      <c r="D248" s="1">
        <v>3</v>
      </c>
      <c r="E248" s="1" t="s">
        <v>1075</v>
      </c>
      <c r="F248" s="1" t="s">
        <v>1116</v>
      </c>
      <c r="G248" s="7" t="str">
        <f>_xlfn.XLOOKUP(Order_Details[[#This Row],[Order ID]], List_of_orders[Order ID], List_of_orders[State])</f>
        <v>Madhya Pradesh</v>
      </c>
      <c r="H248" s="10">
        <f>_xlfn.XLOOKUP(Order_Details[[#This Row],[Order ID]], List_of_orders[Order ID], List_of_orders[Order Date (Clean)])</f>
        <v>43261</v>
      </c>
      <c r="I248" s="7" t="str">
        <f>_xlfn.XLOOKUP(Order_Details[[#This Row],[Order ID]], List_of_orders[Order ID], List_of_orders[CustomerName])</f>
        <v>Sheetal</v>
      </c>
      <c r="J248" s="7" t="str">
        <f>_xlfn.XLOOKUP(Order_Details[[#This Row],[Order ID]], List_of_orders[Order ID], List_of_orders[City])</f>
        <v>Indore</v>
      </c>
      <c r="K248" s="8" t="str">
        <f>TEXT(Order_Details[[#This Row],[Order Date]], "YY-MMM")</f>
        <v>18-Jun</v>
      </c>
      <c r="L248" s="11">
        <f>Order_Details[[#This Row],[Profit]]/Order_Details[[#This Row],[Amount]]</f>
        <v>-0.11363636363636363</v>
      </c>
      <c r="M248" s="8">
        <f>YEAR(Order_Details[[#This Row],[Order Date]])</f>
        <v>2018</v>
      </c>
      <c r="N248" s="8">
        <f>ROUNDUP(MONTH(Order_Details[[#This Row],[Order Date]])/3, 0)</f>
        <v>2</v>
      </c>
    </row>
    <row r="249" spans="1:14">
      <c r="A249" s="1" t="s">
        <v>242</v>
      </c>
      <c r="B249" s="1">
        <v>45</v>
      </c>
      <c r="C249" s="1">
        <v>-2</v>
      </c>
      <c r="D249" s="1">
        <v>4</v>
      </c>
      <c r="E249" s="1" t="s">
        <v>1076</v>
      </c>
      <c r="F249" s="1" t="s">
        <v>1111</v>
      </c>
      <c r="G249" s="7" t="str">
        <f>_xlfn.XLOOKUP(Order_Details[[#This Row],[Order ID]], List_of_orders[Order ID], List_of_orders[State])</f>
        <v>Madhya Pradesh</v>
      </c>
      <c r="H249" s="10">
        <f>_xlfn.XLOOKUP(Order_Details[[#This Row],[Order ID]], List_of_orders[Order ID], List_of_orders[Order Date (Clean)])</f>
        <v>43261</v>
      </c>
      <c r="I249" s="7" t="str">
        <f>_xlfn.XLOOKUP(Order_Details[[#This Row],[Order ID]], List_of_orders[Order ID], List_of_orders[CustomerName])</f>
        <v>Sheetal</v>
      </c>
      <c r="J249" s="7" t="str">
        <f>_xlfn.XLOOKUP(Order_Details[[#This Row],[Order ID]], List_of_orders[Order ID], List_of_orders[City])</f>
        <v>Indore</v>
      </c>
      <c r="K249" s="8" t="str">
        <f>TEXT(Order_Details[[#This Row],[Order Date]], "YY-MMM")</f>
        <v>18-Jun</v>
      </c>
      <c r="L249" s="11">
        <f>Order_Details[[#This Row],[Profit]]/Order_Details[[#This Row],[Amount]]</f>
        <v>-4.4444444444444446E-2</v>
      </c>
      <c r="M249" s="8">
        <f>YEAR(Order_Details[[#This Row],[Order Date]])</f>
        <v>2018</v>
      </c>
      <c r="N249" s="8">
        <f>ROUNDUP(MONTH(Order_Details[[#This Row],[Order Date]])/3, 0)</f>
        <v>2</v>
      </c>
    </row>
    <row r="250" spans="1:14">
      <c r="A250" s="1" t="s">
        <v>244</v>
      </c>
      <c r="B250" s="1">
        <v>381</v>
      </c>
      <c r="C250" s="1">
        <v>-13</v>
      </c>
      <c r="D250" s="1">
        <v>2</v>
      </c>
      <c r="E250" s="1" t="s">
        <v>1076</v>
      </c>
      <c r="F250" s="1" t="s">
        <v>1106</v>
      </c>
      <c r="G250" s="7" t="str">
        <f>_xlfn.XLOOKUP(Order_Details[[#This Row],[Order ID]], List_of_orders[Order ID], List_of_orders[State])</f>
        <v>Himachal Pradesh</v>
      </c>
      <c r="H250" s="10">
        <f>_xlfn.XLOOKUP(Order_Details[[#This Row],[Order ID]], List_of_orders[Order ID], List_of_orders[Order Date (Clean)])</f>
        <v>43262</v>
      </c>
      <c r="I250" s="7" t="str">
        <f>_xlfn.XLOOKUP(Order_Details[[#This Row],[Order ID]], List_of_orders[Order ID], List_of_orders[CustomerName])</f>
        <v>Pooja</v>
      </c>
      <c r="J250" s="7" t="str">
        <f>_xlfn.XLOOKUP(Order_Details[[#This Row],[Order ID]], List_of_orders[Order ID], List_of_orders[City])</f>
        <v>Simla</v>
      </c>
      <c r="K250" s="8" t="str">
        <f>TEXT(Order_Details[[#This Row],[Order Date]], "YY-MMM")</f>
        <v>18-Jun</v>
      </c>
      <c r="L250" s="11">
        <f>Order_Details[[#This Row],[Profit]]/Order_Details[[#This Row],[Amount]]</f>
        <v>-3.4120734908136482E-2</v>
      </c>
      <c r="M250" s="8">
        <f>YEAR(Order_Details[[#This Row],[Order Date]])</f>
        <v>2018</v>
      </c>
      <c r="N250" s="8">
        <f>ROUNDUP(MONTH(Order_Details[[#This Row],[Order Date]])/3, 0)</f>
        <v>2</v>
      </c>
    </row>
    <row r="251" spans="1:14">
      <c r="A251" s="1" t="s">
        <v>244</v>
      </c>
      <c r="B251" s="1">
        <v>332</v>
      </c>
      <c r="C251" s="1">
        <v>-503</v>
      </c>
      <c r="D251" s="1">
        <v>3</v>
      </c>
      <c r="E251" s="1" t="s">
        <v>1077</v>
      </c>
      <c r="F251" s="1" t="s">
        <v>1114</v>
      </c>
      <c r="G251" s="7" t="str">
        <f>_xlfn.XLOOKUP(Order_Details[[#This Row],[Order ID]], List_of_orders[Order ID], List_of_orders[State])</f>
        <v>Himachal Pradesh</v>
      </c>
      <c r="H251" s="10">
        <f>_xlfn.XLOOKUP(Order_Details[[#This Row],[Order ID]], List_of_orders[Order ID], List_of_orders[Order Date (Clean)])</f>
        <v>43262</v>
      </c>
      <c r="I251" s="7" t="str">
        <f>_xlfn.XLOOKUP(Order_Details[[#This Row],[Order ID]], List_of_orders[Order ID], List_of_orders[CustomerName])</f>
        <v>Pooja</v>
      </c>
      <c r="J251" s="7" t="str">
        <f>_xlfn.XLOOKUP(Order_Details[[#This Row],[Order ID]], List_of_orders[Order ID], List_of_orders[City])</f>
        <v>Simla</v>
      </c>
      <c r="K251" s="8" t="str">
        <f>TEXT(Order_Details[[#This Row],[Order Date]], "YY-MMM")</f>
        <v>18-Jun</v>
      </c>
      <c r="L251" s="11">
        <f>Order_Details[[#This Row],[Profit]]/Order_Details[[#This Row],[Amount]]</f>
        <v>-1.5150602409638554</v>
      </c>
      <c r="M251" s="8">
        <f>YEAR(Order_Details[[#This Row],[Order Date]])</f>
        <v>2018</v>
      </c>
      <c r="N251" s="8">
        <f>ROUNDUP(MONTH(Order_Details[[#This Row],[Order Date]])/3, 0)</f>
        <v>2</v>
      </c>
    </row>
    <row r="252" spans="1:14">
      <c r="A252" s="1" t="s">
        <v>244</v>
      </c>
      <c r="B252" s="1">
        <v>1829</v>
      </c>
      <c r="C252" s="1">
        <v>-56</v>
      </c>
      <c r="D252" s="1">
        <v>6</v>
      </c>
      <c r="E252" s="1" t="s">
        <v>1075</v>
      </c>
      <c r="F252" s="1" t="s">
        <v>1113</v>
      </c>
      <c r="G252" s="7" t="str">
        <f>_xlfn.XLOOKUP(Order_Details[[#This Row],[Order ID]], List_of_orders[Order ID], List_of_orders[State])</f>
        <v>Himachal Pradesh</v>
      </c>
      <c r="H252" s="10">
        <f>_xlfn.XLOOKUP(Order_Details[[#This Row],[Order ID]], List_of_orders[Order ID], List_of_orders[Order Date (Clean)])</f>
        <v>43262</v>
      </c>
      <c r="I252" s="7" t="str">
        <f>_xlfn.XLOOKUP(Order_Details[[#This Row],[Order ID]], List_of_orders[Order ID], List_of_orders[CustomerName])</f>
        <v>Pooja</v>
      </c>
      <c r="J252" s="7" t="str">
        <f>_xlfn.XLOOKUP(Order_Details[[#This Row],[Order ID]], List_of_orders[Order ID], List_of_orders[City])</f>
        <v>Simla</v>
      </c>
      <c r="K252" s="8" t="str">
        <f>TEXT(Order_Details[[#This Row],[Order Date]], "YY-MMM")</f>
        <v>18-Jun</v>
      </c>
      <c r="L252" s="11">
        <f>Order_Details[[#This Row],[Profit]]/Order_Details[[#This Row],[Amount]]</f>
        <v>-3.06178239475123E-2</v>
      </c>
      <c r="M252" s="8">
        <f>YEAR(Order_Details[[#This Row],[Order Date]])</f>
        <v>2018</v>
      </c>
      <c r="N252" s="8">
        <f>ROUNDUP(MONTH(Order_Details[[#This Row],[Order Date]])/3, 0)</f>
        <v>2</v>
      </c>
    </row>
    <row r="253" spans="1:14">
      <c r="A253" s="1" t="s">
        <v>245</v>
      </c>
      <c r="B253" s="1">
        <v>17</v>
      </c>
      <c r="C253" s="1">
        <v>6</v>
      </c>
      <c r="D253" s="1">
        <v>1</v>
      </c>
      <c r="E253" s="1" t="s">
        <v>1076</v>
      </c>
      <c r="F253" s="1" t="s">
        <v>1102</v>
      </c>
      <c r="G253" s="7" t="str">
        <f>_xlfn.XLOOKUP(Order_Details[[#This Row],[Order ID]], List_of_orders[Order ID], List_of_orders[State])</f>
        <v>Maharashtra</v>
      </c>
      <c r="H253" s="10">
        <f>_xlfn.XLOOKUP(Order_Details[[#This Row],[Order ID]], List_of_orders[Order ID], List_of_orders[Order Date (Clean)])</f>
        <v>43262</v>
      </c>
      <c r="I253" s="7" t="str">
        <f>_xlfn.XLOOKUP(Order_Details[[#This Row],[Order ID]], List_of_orders[Order ID], List_of_orders[CustomerName])</f>
        <v>Sanjna</v>
      </c>
      <c r="J253" s="7" t="str">
        <f>_xlfn.XLOOKUP(Order_Details[[#This Row],[Order ID]], List_of_orders[Order ID], List_of_orders[City])</f>
        <v>Mumbai</v>
      </c>
      <c r="K253" s="8" t="str">
        <f>TEXT(Order_Details[[#This Row],[Order Date]], "YY-MMM")</f>
        <v>18-Jun</v>
      </c>
      <c r="L253" s="11">
        <f>Order_Details[[#This Row],[Profit]]/Order_Details[[#This Row],[Amount]]</f>
        <v>0.35294117647058826</v>
      </c>
      <c r="M253" s="8">
        <f>YEAR(Order_Details[[#This Row],[Order Date]])</f>
        <v>2018</v>
      </c>
      <c r="N253" s="8">
        <f>ROUNDUP(MONTH(Order_Details[[#This Row],[Order Date]])/3, 0)</f>
        <v>2</v>
      </c>
    </row>
    <row r="254" spans="1:14">
      <c r="A254" s="1" t="s">
        <v>245</v>
      </c>
      <c r="B254" s="1">
        <v>357</v>
      </c>
      <c r="C254" s="1">
        <v>139</v>
      </c>
      <c r="D254" s="1">
        <v>2</v>
      </c>
      <c r="E254" s="1" t="s">
        <v>1076</v>
      </c>
      <c r="F254" s="1" t="s">
        <v>1106</v>
      </c>
      <c r="G254" s="7" t="str">
        <f>_xlfn.XLOOKUP(Order_Details[[#This Row],[Order ID]], List_of_orders[Order ID], List_of_orders[State])</f>
        <v>Maharashtra</v>
      </c>
      <c r="H254" s="10">
        <f>_xlfn.XLOOKUP(Order_Details[[#This Row],[Order ID]], List_of_orders[Order ID], List_of_orders[Order Date (Clean)])</f>
        <v>43262</v>
      </c>
      <c r="I254" s="7" t="str">
        <f>_xlfn.XLOOKUP(Order_Details[[#This Row],[Order ID]], List_of_orders[Order ID], List_of_orders[CustomerName])</f>
        <v>Sanjna</v>
      </c>
      <c r="J254" s="7" t="str">
        <f>_xlfn.XLOOKUP(Order_Details[[#This Row],[Order ID]], List_of_orders[Order ID], List_of_orders[City])</f>
        <v>Mumbai</v>
      </c>
      <c r="K254" s="8" t="str">
        <f>TEXT(Order_Details[[#This Row],[Order Date]], "YY-MMM")</f>
        <v>18-Jun</v>
      </c>
      <c r="L254" s="11">
        <f>Order_Details[[#This Row],[Profit]]/Order_Details[[#This Row],[Amount]]</f>
        <v>0.38935574229691877</v>
      </c>
      <c r="M254" s="8">
        <f>YEAR(Order_Details[[#This Row],[Order Date]])</f>
        <v>2018</v>
      </c>
      <c r="N254" s="8">
        <f>ROUNDUP(MONTH(Order_Details[[#This Row],[Order Date]])/3, 0)</f>
        <v>2</v>
      </c>
    </row>
    <row r="255" spans="1:14">
      <c r="A255" s="1" t="s">
        <v>245</v>
      </c>
      <c r="B255" s="1">
        <v>51</v>
      </c>
      <c r="C255" s="1">
        <v>21</v>
      </c>
      <c r="D255" s="1">
        <v>3</v>
      </c>
      <c r="E255" s="1" t="s">
        <v>1076</v>
      </c>
      <c r="F255" s="1" t="s">
        <v>1110</v>
      </c>
      <c r="G255" s="7" t="str">
        <f>_xlfn.XLOOKUP(Order_Details[[#This Row],[Order ID]], List_of_orders[Order ID], List_of_orders[State])</f>
        <v>Maharashtra</v>
      </c>
      <c r="H255" s="10">
        <f>_xlfn.XLOOKUP(Order_Details[[#This Row],[Order ID]], List_of_orders[Order ID], List_of_orders[Order Date (Clean)])</f>
        <v>43262</v>
      </c>
      <c r="I255" s="7" t="str">
        <f>_xlfn.XLOOKUP(Order_Details[[#This Row],[Order ID]], List_of_orders[Order ID], List_of_orders[CustomerName])</f>
        <v>Sanjna</v>
      </c>
      <c r="J255" s="7" t="str">
        <f>_xlfn.XLOOKUP(Order_Details[[#This Row],[Order ID]], List_of_orders[Order ID], List_of_orders[City])</f>
        <v>Mumbai</v>
      </c>
      <c r="K255" s="8" t="str">
        <f>TEXT(Order_Details[[#This Row],[Order Date]], "YY-MMM")</f>
        <v>18-Jun</v>
      </c>
      <c r="L255" s="11">
        <f>Order_Details[[#This Row],[Profit]]/Order_Details[[#This Row],[Amount]]</f>
        <v>0.41176470588235292</v>
      </c>
      <c r="M255" s="8">
        <f>YEAR(Order_Details[[#This Row],[Order Date]])</f>
        <v>2018</v>
      </c>
      <c r="N255" s="8">
        <f>ROUNDUP(MONTH(Order_Details[[#This Row],[Order Date]])/3, 0)</f>
        <v>2</v>
      </c>
    </row>
    <row r="256" spans="1:14">
      <c r="A256" s="1" t="s">
        <v>245</v>
      </c>
      <c r="B256" s="1">
        <v>387</v>
      </c>
      <c r="C256" s="1">
        <v>-213</v>
      </c>
      <c r="D256" s="1">
        <v>5</v>
      </c>
      <c r="E256" s="1" t="s">
        <v>1076</v>
      </c>
      <c r="F256" s="1" t="s">
        <v>1106</v>
      </c>
      <c r="G256" s="7" t="str">
        <f>_xlfn.XLOOKUP(Order_Details[[#This Row],[Order ID]], List_of_orders[Order ID], List_of_orders[State])</f>
        <v>Maharashtra</v>
      </c>
      <c r="H256" s="10">
        <f>_xlfn.XLOOKUP(Order_Details[[#This Row],[Order ID]], List_of_orders[Order ID], List_of_orders[Order Date (Clean)])</f>
        <v>43262</v>
      </c>
      <c r="I256" s="7" t="str">
        <f>_xlfn.XLOOKUP(Order_Details[[#This Row],[Order ID]], List_of_orders[Order ID], List_of_orders[CustomerName])</f>
        <v>Sanjna</v>
      </c>
      <c r="J256" s="7" t="str">
        <f>_xlfn.XLOOKUP(Order_Details[[#This Row],[Order ID]], List_of_orders[Order ID], List_of_orders[City])</f>
        <v>Mumbai</v>
      </c>
      <c r="K256" s="8" t="str">
        <f>TEXT(Order_Details[[#This Row],[Order Date]], "YY-MMM")</f>
        <v>18-Jun</v>
      </c>
      <c r="L256" s="11">
        <f>Order_Details[[#This Row],[Profit]]/Order_Details[[#This Row],[Amount]]</f>
        <v>-0.55038759689922478</v>
      </c>
      <c r="M256" s="8">
        <f>YEAR(Order_Details[[#This Row],[Order Date]])</f>
        <v>2018</v>
      </c>
      <c r="N256" s="8">
        <f>ROUNDUP(MONTH(Order_Details[[#This Row],[Order Date]])/3, 0)</f>
        <v>2</v>
      </c>
    </row>
    <row r="257" spans="1:14">
      <c r="A257" s="1" t="s">
        <v>245</v>
      </c>
      <c r="B257" s="1">
        <v>14</v>
      </c>
      <c r="C257" s="1">
        <v>-1</v>
      </c>
      <c r="D257" s="1">
        <v>4</v>
      </c>
      <c r="E257" s="1" t="s">
        <v>1076</v>
      </c>
      <c r="F257" s="1" t="s">
        <v>1109</v>
      </c>
      <c r="G257" s="7" t="str">
        <f>_xlfn.XLOOKUP(Order_Details[[#This Row],[Order ID]], List_of_orders[Order ID], List_of_orders[State])</f>
        <v>Maharashtra</v>
      </c>
      <c r="H257" s="10">
        <f>_xlfn.XLOOKUP(Order_Details[[#This Row],[Order ID]], List_of_orders[Order ID], List_of_orders[Order Date (Clean)])</f>
        <v>43262</v>
      </c>
      <c r="I257" s="7" t="str">
        <f>_xlfn.XLOOKUP(Order_Details[[#This Row],[Order ID]], List_of_orders[Order ID], List_of_orders[CustomerName])</f>
        <v>Sanjna</v>
      </c>
      <c r="J257" s="7" t="str">
        <f>_xlfn.XLOOKUP(Order_Details[[#This Row],[Order ID]], List_of_orders[Order ID], List_of_orders[City])</f>
        <v>Mumbai</v>
      </c>
      <c r="K257" s="8" t="str">
        <f>TEXT(Order_Details[[#This Row],[Order Date]], "YY-MMM")</f>
        <v>18-Jun</v>
      </c>
      <c r="L257" s="11">
        <f>Order_Details[[#This Row],[Profit]]/Order_Details[[#This Row],[Amount]]</f>
        <v>-7.1428571428571425E-2</v>
      </c>
      <c r="M257" s="8">
        <f>YEAR(Order_Details[[#This Row],[Order Date]])</f>
        <v>2018</v>
      </c>
      <c r="N257" s="8">
        <f>ROUNDUP(MONTH(Order_Details[[#This Row],[Order Date]])/3, 0)</f>
        <v>2</v>
      </c>
    </row>
    <row r="258" spans="1:14">
      <c r="A258" s="1" t="s">
        <v>247</v>
      </c>
      <c r="B258" s="1">
        <v>352</v>
      </c>
      <c r="C258" s="1">
        <v>-345</v>
      </c>
      <c r="D258" s="1">
        <v>5</v>
      </c>
      <c r="E258" s="1" t="s">
        <v>1076</v>
      </c>
      <c r="F258" s="1" t="s">
        <v>1106</v>
      </c>
      <c r="G258" s="7" t="str">
        <f>_xlfn.XLOOKUP(Order_Details[[#This Row],[Order ID]], List_of_orders[Order ID], List_of_orders[State])</f>
        <v>Madhya Pradesh</v>
      </c>
      <c r="H258" s="10">
        <f>_xlfn.XLOOKUP(Order_Details[[#This Row],[Order ID]], List_of_orders[Order ID], List_of_orders[Order Date (Clean)])</f>
        <v>43262</v>
      </c>
      <c r="I258" s="7" t="str">
        <f>_xlfn.XLOOKUP(Order_Details[[#This Row],[Order ID]], List_of_orders[Order ID], List_of_orders[CustomerName])</f>
        <v>Swetha</v>
      </c>
      <c r="J258" s="7" t="str">
        <f>_xlfn.XLOOKUP(Order_Details[[#This Row],[Order ID]], List_of_orders[Order ID], List_of_orders[City])</f>
        <v>Indore</v>
      </c>
      <c r="K258" s="8" t="str">
        <f>TEXT(Order_Details[[#This Row],[Order Date]], "YY-MMM")</f>
        <v>18-Jun</v>
      </c>
      <c r="L258" s="11">
        <f>Order_Details[[#This Row],[Profit]]/Order_Details[[#This Row],[Amount]]</f>
        <v>-0.98011363636363635</v>
      </c>
      <c r="M258" s="8">
        <f>YEAR(Order_Details[[#This Row],[Order Date]])</f>
        <v>2018</v>
      </c>
      <c r="N258" s="8">
        <f>ROUNDUP(MONTH(Order_Details[[#This Row],[Order Date]])/3, 0)</f>
        <v>2</v>
      </c>
    </row>
    <row r="259" spans="1:14">
      <c r="A259" s="1" t="s">
        <v>249</v>
      </c>
      <c r="B259" s="1">
        <v>469</v>
      </c>
      <c r="C259" s="1">
        <v>-459</v>
      </c>
      <c r="D259" s="1">
        <v>3</v>
      </c>
      <c r="E259" s="1" t="s">
        <v>1077</v>
      </c>
      <c r="F259" s="1" t="s">
        <v>1104</v>
      </c>
      <c r="G259" s="7" t="str">
        <f>_xlfn.XLOOKUP(Order_Details[[#This Row],[Order ID]], List_of_orders[Order ID], List_of_orders[State])</f>
        <v>Maharashtra</v>
      </c>
      <c r="H259" s="10">
        <f>_xlfn.XLOOKUP(Order_Details[[#This Row],[Order ID]], List_of_orders[Order ID], List_of_orders[Order Date (Clean)])</f>
        <v>43265</v>
      </c>
      <c r="I259" s="7" t="str">
        <f>_xlfn.XLOOKUP(Order_Details[[#This Row],[Order ID]], List_of_orders[Order ID], List_of_orders[CustomerName])</f>
        <v>Bhaggyasree</v>
      </c>
      <c r="J259" s="7" t="str">
        <f>_xlfn.XLOOKUP(Order_Details[[#This Row],[Order ID]], List_of_orders[Order ID], List_of_orders[City])</f>
        <v>Mumbai</v>
      </c>
      <c r="K259" s="8" t="str">
        <f>TEXT(Order_Details[[#This Row],[Order Date]], "YY-MMM")</f>
        <v>18-Jun</v>
      </c>
      <c r="L259" s="11">
        <f>Order_Details[[#This Row],[Profit]]/Order_Details[[#This Row],[Amount]]</f>
        <v>-0.97867803837953093</v>
      </c>
      <c r="M259" s="8">
        <f>YEAR(Order_Details[[#This Row],[Order Date]])</f>
        <v>2018</v>
      </c>
      <c r="N259" s="8">
        <f>ROUNDUP(MONTH(Order_Details[[#This Row],[Order Date]])/3, 0)</f>
        <v>2</v>
      </c>
    </row>
    <row r="260" spans="1:14">
      <c r="A260" s="1" t="s">
        <v>249</v>
      </c>
      <c r="B260" s="1">
        <v>97</v>
      </c>
      <c r="C260" s="1">
        <v>17</v>
      </c>
      <c r="D260" s="1">
        <v>2</v>
      </c>
      <c r="E260" s="1" t="s">
        <v>1076</v>
      </c>
      <c r="F260" s="1" t="s">
        <v>1102</v>
      </c>
      <c r="G260" s="7" t="str">
        <f>_xlfn.XLOOKUP(Order_Details[[#This Row],[Order ID]], List_of_orders[Order ID], List_of_orders[State])</f>
        <v>Maharashtra</v>
      </c>
      <c r="H260" s="10">
        <f>_xlfn.XLOOKUP(Order_Details[[#This Row],[Order ID]], List_of_orders[Order ID], List_of_orders[Order Date (Clean)])</f>
        <v>43265</v>
      </c>
      <c r="I260" s="7" t="str">
        <f>_xlfn.XLOOKUP(Order_Details[[#This Row],[Order ID]], List_of_orders[Order ID], List_of_orders[CustomerName])</f>
        <v>Bhaggyasree</v>
      </c>
      <c r="J260" s="7" t="str">
        <f>_xlfn.XLOOKUP(Order_Details[[#This Row],[Order ID]], List_of_orders[Order ID], List_of_orders[City])</f>
        <v>Mumbai</v>
      </c>
      <c r="K260" s="8" t="str">
        <f>TEXT(Order_Details[[#This Row],[Order Date]], "YY-MMM")</f>
        <v>18-Jun</v>
      </c>
      <c r="L260" s="11">
        <f>Order_Details[[#This Row],[Profit]]/Order_Details[[#This Row],[Amount]]</f>
        <v>0.17525773195876287</v>
      </c>
      <c r="M260" s="8">
        <f>YEAR(Order_Details[[#This Row],[Order Date]])</f>
        <v>2018</v>
      </c>
      <c r="N260" s="8">
        <f>ROUNDUP(MONTH(Order_Details[[#This Row],[Order Date]])/3, 0)</f>
        <v>2</v>
      </c>
    </row>
    <row r="261" spans="1:14">
      <c r="A261" s="1" t="s">
        <v>249</v>
      </c>
      <c r="B261" s="1">
        <v>149</v>
      </c>
      <c r="C261" s="1">
        <v>36</v>
      </c>
      <c r="D261" s="1">
        <v>3</v>
      </c>
      <c r="E261" s="1" t="s">
        <v>1076</v>
      </c>
      <c r="F261" s="1" t="s">
        <v>1102</v>
      </c>
      <c r="G261" s="7" t="str">
        <f>_xlfn.XLOOKUP(Order_Details[[#This Row],[Order ID]], List_of_orders[Order ID], List_of_orders[State])</f>
        <v>Maharashtra</v>
      </c>
      <c r="H261" s="10">
        <f>_xlfn.XLOOKUP(Order_Details[[#This Row],[Order ID]], List_of_orders[Order ID], List_of_orders[Order Date (Clean)])</f>
        <v>43265</v>
      </c>
      <c r="I261" s="7" t="str">
        <f>_xlfn.XLOOKUP(Order_Details[[#This Row],[Order ID]], List_of_orders[Order ID], List_of_orders[CustomerName])</f>
        <v>Bhaggyasree</v>
      </c>
      <c r="J261" s="7" t="str">
        <f>_xlfn.XLOOKUP(Order_Details[[#This Row],[Order ID]], List_of_orders[Order ID], List_of_orders[City])</f>
        <v>Mumbai</v>
      </c>
      <c r="K261" s="8" t="str">
        <f>TEXT(Order_Details[[#This Row],[Order Date]], "YY-MMM")</f>
        <v>18-Jun</v>
      </c>
      <c r="L261" s="11">
        <f>Order_Details[[#This Row],[Profit]]/Order_Details[[#This Row],[Amount]]</f>
        <v>0.24161073825503357</v>
      </c>
      <c r="M261" s="8">
        <f>YEAR(Order_Details[[#This Row],[Order Date]])</f>
        <v>2018</v>
      </c>
      <c r="N261" s="8">
        <f>ROUNDUP(MONTH(Order_Details[[#This Row],[Order Date]])/3, 0)</f>
        <v>2</v>
      </c>
    </row>
    <row r="262" spans="1:14">
      <c r="A262" s="1" t="s">
        <v>252</v>
      </c>
      <c r="B262" s="1">
        <v>31</v>
      </c>
      <c r="C262" s="1">
        <v>10</v>
      </c>
      <c r="D262" s="1">
        <v>3</v>
      </c>
      <c r="E262" s="1" t="s">
        <v>1076</v>
      </c>
      <c r="F262" s="1" t="s">
        <v>1117</v>
      </c>
      <c r="G262" s="7" t="str">
        <f>_xlfn.XLOOKUP(Order_Details[[#This Row],[Order ID]], List_of_orders[Order ID], List_of_orders[State])</f>
        <v>Madhya Pradesh</v>
      </c>
      <c r="H262" s="10">
        <f>_xlfn.XLOOKUP(Order_Details[[#This Row],[Order ID]], List_of_orders[Order ID], List_of_orders[Order Date (Clean)])</f>
        <v>43266</v>
      </c>
      <c r="I262" s="7" t="str">
        <f>_xlfn.XLOOKUP(Order_Details[[#This Row],[Order ID]], List_of_orders[Order ID], List_of_orders[CustomerName])</f>
        <v>Gunjan</v>
      </c>
      <c r="J262" s="7" t="str">
        <f>_xlfn.XLOOKUP(Order_Details[[#This Row],[Order ID]], List_of_orders[Order ID], List_of_orders[City])</f>
        <v>Indore</v>
      </c>
      <c r="K262" s="8" t="str">
        <f>TEXT(Order_Details[[#This Row],[Order Date]], "YY-MMM")</f>
        <v>18-Jun</v>
      </c>
      <c r="L262" s="11">
        <f>Order_Details[[#This Row],[Profit]]/Order_Details[[#This Row],[Amount]]</f>
        <v>0.32258064516129031</v>
      </c>
      <c r="M262" s="8">
        <f>YEAR(Order_Details[[#This Row],[Order Date]])</f>
        <v>2018</v>
      </c>
      <c r="N262" s="8">
        <f>ROUNDUP(MONTH(Order_Details[[#This Row],[Order Date]])/3, 0)</f>
        <v>2</v>
      </c>
    </row>
    <row r="263" spans="1:14">
      <c r="A263" s="1" t="s">
        <v>255</v>
      </c>
      <c r="B263" s="1">
        <v>714</v>
      </c>
      <c r="C263" s="1">
        <v>56</v>
      </c>
      <c r="D263" s="1">
        <v>4</v>
      </c>
      <c r="E263" s="1" t="s">
        <v>1076</v>
      </c>
      <c r="F263" s="1" t="s">
        <v>1106</v>
      </c>
      <c r="G263" s="7" t="str">
        <f>_xlfn.XLOOKUP(Order_Details[[#This Row],[Order ID]], List_of_orders[Order ID], List_of_orders[State])</f>
        <v>Maharashtra</v>
      </c>
      <c r="H263" s="10">
        <f>_xlfn.XLOOKUP(Order_Details[[#This Row],[Order ID]], List_of_orders[Order ID], List_of_orders[Order Date (Clean)])</f>
        <v>43267</v>
      </c>
      <c r="I263" s="7" t="str">
        <f>_xlfn.XLOOKUP(Order_Details[[#This Row],[Order ID]], List_of_orders[Order ID], List_of_orders[CustomerName])</f>
        <v>Akancha</v>
      </c>
      <c r="J263" s="7" t="str">
        <f>_xlfn.XLOOKUP(Order_Details[[#This Row],[Order ID]], List_of_orders[Order ID], List_of_orders[City])</f>
        <v>Mumbai</v>
      </c>
      <c r="K263" s="8" t="str">
        <f>TEXT(Order_Details[[#This Row],[Order Date]], "YY-MMM")</f>
        <v>18-Jun</v>
      </c>
      <c r="L263" s="11">
        <f>Order_Details[[#This Row],[Profit]]/Order_Details[[#This Row],[Amount]]</f>
        <v>7.8431372549019607E-2</v>
      </c>
      <c r="M263" s="8">
        <f>YEAR(Order_Details[[#This Row],[Order Date]])</f>
        <v>2018</v>
      </c>
      <c r="N263" s="8">
        <f>ROUNDUP(MONTH(Order_Details[[#This Row],[Order Date]])/3, 0)</f>
        <v>2</v>
      </c>
    </row>
    <row r="264" spans="1:14">
      <c r="A264" s="1" t="s">
        <v>255</v>
      </c>
      <c r="B264" s="1">
        <v>75</v>
      </c>
      <c r="C264" s="1">
        <v>-25</v>
      </c>
      <c r="D264" s="1">
        <v>3</v>
      </c>
      <c r="E264" s="1" t="s">
        <v>1076</v>
      </c>
      <c r="F264" s="1" t="s">
        <v>1102</v>
      </c>
      <c r="G264" s="7" t="str">
        <f>_xlfn.XLOOKUP(Order_Details[[#This Row],[Order ID]], List_of_orders[Order ID], List_of_orders[State])</f>
        <v>Maharashtra</v>
      </c>
      <c r="H264" s="10">
        <f>_xlfn.XLOOKUP(Order_Details[[#This Row],[Order ID]], List_of_orders[Order ID], List_of_orders[Order Date (Clean)])</f>
        <v>43267</v>
      </c>
      <c r="I264" s="7" t="str">
        <f>_xlfn.XLOOKUP(Order_Details[[#This Row],[Order ID]], List_of_orders[Order ID], List_of_orders[CustomerName])</f>
        <v>Akancha</v>
      </c>
      <c r="J264" s="7" t="str">
        <f>_xlfn.XLOOKUP(Order_Details[[#This Row],[Order ID]], List_of_orders[Order ID], List_of_orders[City])</f>
        <v>Mumbai</v>
      </c>
      <c r="K264" s="8" t="str">
        <f>TEXT(Order_Details[[#This Row],[Order Date]], "YY-MMM")</f>
        <v>18-Jun</v>
      </c>
      <c r="L264" s="11">
        <f>Order_Details[[#This Row],[Profit]]/Order_Details[[#This Row],[Amount]]</f>
        <v>-0.33333333333333331</v>
      </c>
      <c r="M264" s="8">
        <f>YEAR(Order_Details[[#This Row],[Order Date]])</f>
        <v>2018</v>
      </c>
      <c r="N264" s="8">
        <f>ROUNDUP(MONTH(Order_Details[[#This Row],[Order Date]])/3, 0)</f>
        <v>2</v>
      </c>
    </row>
    <row r="265" spans="1:14">
      <c r="A265" s="1" t="s">
        <v>255</v>
      </c>
      <c r="B265" s="1">
        <v>17</v>
      </c>
      <c r="C265" s="1">
        <v>-9</v>
      </c>
      <c r="D265" s="1">
        <v>3</v>
      </c>
      <c r="E265" s="1" t="s">
        <v>1076</v>
      </c>
      <c r="F265" s="1" t="s">
        <v>1102</v>
      </c>
      <c r="G265" s="7" t="str">
        <f>_xlfn.XLOOKUP(Order_Details[[#This Row],[Order ID]], List_of_orders[Order ID], List_of_orders[State])</f>
        <v>Maharashtra</v>
      </c>
      <c r="H265" s="10">
        <f>_xlfn.XLOOKUP(Order_Details[[#This Row],[Order ID]], List_of_orders[Order ID], List_of_orders[Order Date (Clean)])</f>
        <v>43267</v>
      </c>
      <c r="I265" s="7" t="str">
        <f>_xlfn.XLOOKUP(Order_Details[[#This Row],[Order ID]], List_of_orders[Order ID], List_of_orders[CustomerName])</f>
        <v>Akancha</v>
      </c>
      <c r="J265" s="7" t="str">
        <f>_xlfn.XLOOKUP(Order_Details[[#This Row],[Order ID]], List_of_orders[Order ID], List_of_orders[City])</f>
        <v>Mumbai</v>
      </c>
      <c r="K265" s="8" t="str">
        <f>TEXT(Order_Details[[#This Row],[Order Date]], "YY-MMM")</f>
        <v>18-Jun</v>
      </c>
      <c r="L265" s="11">
        <f>Order_Details[[#This Row],[Profit]]/Order_Details[[#This Row],[Amount]]</f>
        <v>-0.52941176470588236</v>
      </c>
      <c r="M265" s="8">
        <f>YEAR(Order_Details[[#This Row],[Order Date]])</f>
        <v>2018</v>
      </c>
      <c r="N265" s="8">
        <f>ROUNDUP(MONTH(Order_Details[[#This Row],[Order Date]])/3, 0)</f>
        <v>2</v>
      </c>
    </row>
    <row r="266" spans="1:14">
      <c r="A266" s="1" t="s">
        <v>258</v>
      </c>
      <c r="B266" s="1">
        <v>141</v>
      </c>
      <c r="C266" s="1">
        <v>28</v>
      </c>
      <c r="D266" s="1">
        <v>7</v>
      </c>
      <c r="E266" s="1" t="s">
        <v>1075</v>
      </c>
      <c r="F266" s="1" t="s">
        <v>1116</v>
      </c>
      <c r="G266" s="7" t="str">
        <f>_xlfn.XLOOKUP(Order_Details[[#This Row],[Order ID]], List_of_orders[Order ID], List_of_orders[State])</f>
        <v>Madhya Pradesh</v>
      </c>
      <c r="H266" s="10">
        <f>_xlfn.XLOOKUP(Order_Details[[#This Row],[Order ID]], List_of_orders[Order ID], List_of_orders[Order Date (Clean)])</f>
        <v>43268</v>
      </c>
      <c r="I266" s="7" t="str">
        <f>_xlfn.XLOOKUP(Order_Details[[#This Row],[Order ID]], List_of_orders[Order ID], List_of_orders[CustomerName])</f>
        <v>Rashmi</v>
      </c>
      <c r="J266" s="7" t="str">
        <f>_xlfn.XLOOKUP(Order_Details[[#This Row],[Order ID]], List_of_orders[Order ID], List_of_orders[City])</f>
        <v>Indore</v>
      </c>
      <c r="K266" s="8" t="str">
        <f>TEXT(Order_Details[[#This Row],[Order Date]], "YY-MMM")</f>
        <v>18-Jun</v>
      </c>
      <c r="L266" s="11">
        <f>Order_Details[[#This Row],[Profit]]/Order_Details[[#This Row],[Amount]]</f>
        <v>0.19858156028368795</v>
      </c>
      <c r="M266" s="8">
        <f>YEAR(Order_Details[[#This Row],[Order Date]])</f>
        <v>2018</v>
      </c>
      <c r="N266" s="8">
        <f>ROUNDUP(MONTH(Order_Details[[#This Row],[Order Date]])/3, 0)</f>
        <v>2</v>
      </c>
    </row>
    <row r="267" spans="1:14">
      <c r="A267" s="1" t="s">
        <v>261</v>
      </c>
      <c r="B267" s="1">
        <v>76</v>
      </c>
      <c r="C267" s="1">
        <v>-72</v>
      </c>
      <c r="D267" s="1">
        <v>9</v>
      </c>
      <c r="E267" s="1" t="s">
        <v>1076</v>
      </c>
      <c r="F267" s="1" t="s">
        <v>1103</v>
      </c>
      <c r="G267" s="7" t="str">
        <f>_xlfn.XLOOKUP(Order_Details[[#This Row],[Order ID]], List_of_orders[Order ID], List_of_orders[State])</f>
        <v>Madhya Pradesh</v>
      </c>
      <c r="H267" s="10">
        <f>_xlfn.XLOOKUP(Order_Details[[#This Row],[Order ID]], List_of_orders[Order ID], List_of_orders[Order Date (Clean)])</f>
        <v>43269</v>
      </c>
      <c r="I267" s="7" t="str">
        <f>_xlfn.XLOOKUP(Order_Details[[#This Row],[Order ID]], List_of_orders[Order ID], List_of_orders[CustomerName])</f>
        <v>Parna</v>
      </c>
      <c r="J267" s="7" t="str">
        <f>_xlfn.XLOOKUP(Order_Details[[#This Row],[Order ID]], List_of_orders[Order ID], List_of_orders[City])</f>
        <v>Bhopal</v>
      </c>
      <c r="K267" s="8" t="str">
        <f>TEXT(Order_Details[[#This Row],[Order Date]], "YY-MMM")</f>
        <v>18-Jun</v>
      </c>
      <c r="L267" s="11">
        <f>Order_Details[[#This Row],[Profit]]/Order_Details[[#This Row],[Amount]]</f>
        <v>-0.94736842105263153</v>
      </c>
      <c r="M267" s="8">
        <f>YEAR(Order_Details[[#This Row],[Order Date]])</f>
        <v>2018</v>
      </c>
      <c r="N267" s="8">
        <f>ROUNDUP(MONTH(Order_Details[[#This Row],[Order Date]])/3, 0)</f>
        <v>2</v>
      </c>
    </row>
    <row r="268" spans="1:14">
      <c r="A268" s="1" t="s">
        <v>261</v>
      </c>
      <c r="B268" s="1">
        <v>632</v>
      </c>
      <c r="C268" s="1">
        <v>-316</v>
      </c>
      <c r="D268" s="1">
        <v>6</v>
      </c>
      <c r="E268" s="1" t="s">
        <v>1076</v>
      </c>
      <c r="F268" s="1" t="s">
        <v>1106</v>
      </c>
      <c r="G268" s="7" t="str">
        <f>_xlfn.XLOOKUP(Order_Details[[#This Row],[Order ID]], List_of_orders[Order ID], List_of_orders[State])</f>
        <v>Madhya Pradesh</v>
      </c>
      <c r="H268" s="10">
        <f>_xlfn.XLOOKUP(Order_Details[[#This Row],[Order ID]], List_of_orders[Order ID], List_of_orders[Order Date (Clean)])</f>
        <v>43269</v>
      </c>
      <c r="I268" s="7" t="str">
        <f>_xlfn.XLOOKUP(Order_Details[[#This Row],[Order ID]], List_of_orders[Order ID], List_of_orders[CustomerName])</f>
        <v>Parna</v>
      </c>
      <c r="J268" s="7" t="str">
        <f>_xlfn.XLOOKUP(Order_Details[[#This Row],[Order ID]], List_of_orders[Order ID], List_of_orders[City])</f>
        <v>Bhopal</v>
      </c>
      <c r="K268" s="8" t="str">
        <f>TEXT(Order_Details[[#This Row],[Order Date]], "YY-MMM")</f>
        <v>18-Jun</v>
      </c>
      <c r="L268" s="11">
        <f>Order_Details[[#This Row],[Profit]]/Order_Details[[#This Row],[Amount]]</f>
        <v>-0.5</v>
      </c>
      <c r="M268" s="8">
        <f>YEAR(Order_Details[[#This Row],[Order Date]])</f>
        <v>2018</v>
      </c>
      <c r="N268" s="8">
        <f>ROUNDUP(MONTH(Order_Details[[#This Row],[Order Date]])/3, 0)</f>
        <v>2</v>
      </c>
    </row>
    <row r="269" spans="1:14">
      <c r="A269" s="1" t="s">
        <v>261</v>
      </c>
      <c r="B269" s="1">
        <v>32</v>
      </c>
      <c r="C269" s="1">
        <v>-16</v>
      </c>
      <c r="D269" s="1">
        <v>6</v>
      </c>
      <c r="E269" s="1" t="s">
        <v>1076</v>
      </c>
      <c r="F269" s="1" t="s">
        <v>1106</v>
      </c>
      <c r="G269" s="7" t="str">
        <f>_xlfn.XLOOKUP(Order_Details[[#This Row],[Order ID]], List_of_orders[Order ID], List_of_orders[State])</f>
        <v>Madhya Pradesh</v>
      </c>
      <c r="H269" s="10">
        <f>_xlfn.XLOOKUP(Order_Details[[#This Row],[Order ID]], List_of_orders[Order ID], List_of_orders[Order Date (Clean)])</f>
        <v>43269</v>
      </c>
      <c r="I269" s="7" t="str">
        <f>_xlfn.XLOOKUP(Order_Details[[#This Row],[Order ID]], List_of_orders[Order ID], List_of_orders[CustomerName])</f>
        <v>Parna</v>
      </c>
      <c r="J269" s="7" t="str">
        <f>_xlfn.XLOOKUP(Order_Details[[#This Row],[Order ID]], List_of_orders[Order ID], List_of_orders[City])</f>
        <v>Bhopal</v>
      </c>
      <c r="K269" s="8" t="str">
        <f>TEXT(Order_Details[[#This Row],[Order Date]], "YY-MMM")</f>
        <v>18-Jun</v>
      </c>
      <c r="L269" s="11">
        <f>Order_Details[[#This Row],[Profit]]/Order_Details[[#This Row],[Amount]]</f>
        <v>-0.5</v>
      </c>
      <c r="M269" s="8">
        <f>YEAR(Order_Details[[#This Row],[Order Date]])</f>
        <v>2018</v>
      </c>
      <c r="N269" s="8">
        <f>ROUNDUP(MONTH(Order_Details[[#This Row],[Order Date]])/3, 0)</f>
        <v>2</v>
      </c>
    </row>
    <row r="270" spans="1:14">
      <c r="A270" s="1" t="s">
        <v>261</v>
      </c>
      <c r="B270" s="1">
        <v>68</v>
      </c>
      <c r="C270" s="1">
        <v>-30</v>
      </c>
      <c r="D270" s="1">
        <v>1</v>
      </c>
      <c r="E270" s="1" t="s">
        <v>1077</v>
      </c>
      <c r="F270" s="1" t="s">
        <v>1105</v>
      </c>
      <c r="G270" s="7" t="str">
        <f>_xlfn.XLOOKUP(Order_Details[[#This Row],[Order ID]], List_of_orders[Order ID], List_of_orders[State])</f>
        <v>Madhya Pradesh</v>
      </c>
      <c r="H270" s="10">
        <f>_xlfn.XLOOKUP(Order_Details[[#This Row],[Order ID]], List_of_orders[Order ID], List_of_orders[Order Date (Clean)])</f>
        <v>43269</v>
      </c>
      <c r="I270" s="7" t="str">
        <f>_xlfn.XLOOKUP(Order_Details[[#This Row],[Order ID]], List_of_orders[Order ID], List_of_orders[CustomerName])</f>
        <v>Parna</v>
      </c>
      <c r="J270" s="7" t="str">
        <f>_xlfn.XLOOKUP(Order_Details[[#This Row],[Order ID]], List_of_orders[Order ID], List_of_orders[City])</f>
        <v>Bhopal</v>
      </c>
      <c r="K270" s="8" t="str">
        <f>TEXT(Order_Details[[#This Row],[Order Date]], "YY-MMM")</f>
        <v>18-Jun</v>
      </c>
      <c r="L270" s="11">
        <f>Order_Details[[#This Row],[Profit]]/Order_Details[[#This Row],[Amount]]</f>
        <v>-0.44117647058823528</v>
      </c>
      <c r="M270" s="8">
        <f>YEAR(Order_Details[[#This Row],[Order Date]])</f>
        <v>2018</v>
      </c>
      <c r="N270" s="8">
        <f>ROUNDUP(MONTH(Order_Details[[#This Row],[Order Date]])/3, 0)</f>
        <v>2</v>
      </c>
    </row>
    <row r="271" spans="1:14">
      <c r="A271" s="1" t="s">
        <v>261</v>
      </c>
      <c r="B271" s="1">
        <v>82</v>
      </c>
      <c r="C271" s="1">
        <v>-39</v>
      </c>
      <c r="D271" s="1">
        <v>5</v>
      </c>
      <c r="E271" s="1" t="s">
        <v>1076</v>
      </c>
      <c r="F271" s="1" t="s">
        <v>1110</v>
      </c>
      <c r="G271" s="7" t="str">
        <f>_xlfn.XLOOKUP(Order_Details[[#This Row],[Order ID]], List_of_orders[Order ID], List_of_orders[State])</f>
        <v>Madhya Pradesh</v>
      </c>
      <c r="H271" s="10">
        <f>_xlfn.XLOOKUP(Order_Details[[#This Row],[Order ID]], List_of_orders[Order ID], List_of_orders[Order Date (Clean)])</f>
        <v>43269</v>
      </c>
      <c r="I271" s="7" t="str">
        <f>_xlfn.XLOOKUP(Order_Details[[#This Row],[Order ID]], List_of_orders[Order ID], List_of_orders[CustomerName])</f>
        <v>Parna</v>
      </c>
      <c r="J271" s="7" t="str">
        <f>_xlfn.XLOOKUP(Order_Details[[#This Row],[Order ID]], List_of_orders[Order ID], List_of_orders[City])</f>
        <v>Bhopal</v>
      </c>
      <c r="K271" s="8" t="str">
        <f>TEXT(Order_Details[[#This Row],[Order Date]], "YY-MMM")</f>
        <v>18-Jun</v>
      </c>
      <c r="L271" s="11">
        <f>Order_Details[[#This Row],[Profit]]/Order_Details[[#This Row],[Amount]]</f>
        <v>-0.47560975609756095</v>
      </c>
      <c r="M271" s="8">
        <f>YEAR(Order_Details[[#This Row],[Order Date]])</f>
        <v>2018</v>
      </c>
      <c r="N271" s="8">
        <f>ROUNDUP(MONTH(Order_Details[[#This Row],[Order Date]])/3, 0)</f>
        <v>2</v>
      </c>
    </row>
    <row r="272" spans="1:14">
      <c r="A272" s="1" t="s">
        <v>261</v>
      </c>
      <c r="B272" s="1">
        <v>72</v>
      </c>
      <c r="C272" s="1">
        <v>-49</v>
      </c>
      <c r="D272" s="1">
        <v>1</v>
      </c>
      <c r="E272" s="1" t="s">
        <v>1077</v>
      </c>
      <c r="F272" s="1" t="s">
        <v>1105</v>
      </c>
      <c r="G272" s="7" t="str">
        <f>_xlfn.XLOOKUP(Order_Details[[#This Row],[Order ID]], List_of_orders[Order ID], List_of_orders[State])</f>
        <v>Madhya Pradesh</v>
      </c>
      <c r="H272" s="10">
        <f>_xlfn.XLOOKUP(Order_Details[[#This Row],[Order ID]], List_of_orders[Order ID], List_of_orders[Order Date (Clean)])</f>
        <v>43269</v>
      </c>
      <c r="I272" s="7" t="str">
        <f>_xlfn.XLOOKUP(Order_Details[[#This Row],[Order ID]], List_of_orders[Order ID], List_of_orders[CustomerName])</f>
        <v>Parna</v>
      </c>
      <c r="J272" s="7" t="str">
        <f>_xlfn.XLOOKUP(Order_Details[[#This Row],[Order ID]], List_of_orders[Order ID], List_of_orders[City])</f>
        <v>Bhopal</v>
      </c>
      <c r="K272" s="8" t="str">
        <f>TEXT(Order_Details[[#This Row],[Order Date]], "YY-MMM")</f>
        <v>18-Jun</v>
      </c>
      <c r="L272" s="11">
        <f>Order_Details[[#This Row],[Profit]]/Order_Details[[#This Row],[Amount]]</f>
        <v>-0.68055555555555558</v>
      </c>
      <c r="M272" s="8">
        <f>YEAR(Order_Details[[#This Row],[Order Date]])</f>
        <v>2018</v>
      </c>
      <c r="N272" s="8">
        <f>ROUNDUP(MONTH(Order_Details[[#This Row],[Order Date]])/3, 0)</f>
        <v>2</v>
      </c>
    </row>
    <row r="273" spans="1:14">
      <c r="A273" s="1" t="s">
        <v>261</v>
      </c>
      <c r="B273" s="1">
        <v>13</v>
      </c>
      <c r="C273" s="1">
        <v>-13</v>
      </c>
      <c r="D273" s="1">
        <v>2</v>
      </c>
      <c r="E273" s="1" t="s">
        <v>1076</v>
      </c>
      <c r="F273" s="1" t="s">
        <v>1117</v>
      </c>
      <c r="G273" s="7" t="str">
        <f>_xlfn.XLOOKUP(Order_Details[[#This Row],[Order ID]], List_of_orders[Order ID], List_of_orders[State])</f>
        <v>Madhya Pradesh</v>
      </c>
      <c r="H273" s="10">
        <f>_xlfn.XLOOKUP(Order_Details[[#This Row],[Order ID]], List_of_orders[Order ID], List_of_orders[Order Date (Clean)])</f>
        <v>43269</v>
      </c>
      <c r="I273" s="7" t="str">
        <f>_xlfn.XLOOKUP(Order_Details[[#This Row],[Order ID]], List_of_orders[Order ID], List_of_orders[CustomerName])</f>
        <v>Parna</v>
      </c>
      <c r="J273" s="7" t="str">
        <f>_xlfn.XLOOKUP(Order_Details[[#This Row],[Order ID]], List_of_orders[Order ID], List_of_orders[City])</f>
        <v>Bhopal</v>
      </c>
      <c r="K273" s="8" t="str">
        <f>TEXT(Order_Details[[#This Row],[Order Date]], "YY-MMM")</f>
        <v>18-Jun</v>
      </c>
      <c r="L273" s="11">
        <f>Order_Details[[#This Row],[Profit]]/Order_Details[[#This Row],[Amount]]</f>
        <v>-1</v>
      </c>
      <c r="M273" s="8">
        <f>YEAR(Order_Details[[#This Row],[Order Date]])</f>
        <v>2018</v>
      </c>
      <c r="N273" s="8">
        <f>ROUNDUP(MONTH(Order_Details[[#This Row],[Order Date]])/3, 0)</f>
        <v>2</v>
      </c>
    </row>
    <row r="274" spans="1:14">
      <c r="A274" s="1" t="s">
        <v>264</v>
      </c>
      <c r="B274" s="1">
        <v>167</v>
      </c>
      <c r="C274" s="1">
        <v>43</v>
      </c>
      <c r="D274" s="1">
        <v>7</v>
      </c>
      <c r="E274" s="1" t="s">
        <v>1076</v>
      </c>
      <c r="F274" s="1" t="s">
        <v>1110</v>
      </c>
      <c r="G274" s="7" t="str">
        <f>_xlfn.XLOOKUP(Order_Details[[#This Row],[Order ID]], List_of_orders[Order ID], List_of_orders[State])</f>
        <v>Rajasthan</v>
      </c>
      <c r="H274" s="10">
        <f>_xlfn.XLOOKUP(Order_Details[[#This Row],[Order ID]], List_of_orders[Order ID], List_of_orders[Order Date (Clean)])</f>
        <v>43269</v>
      </c>
      <c r="I274" s="7" t="str">
        <f>_xlfn.XLOOKUP(Order_Details[[#This Row],[Order ID]], List_of_orders[Order ID], List_of_orders[CustomerName])</f>
        <v>Subhasmita</v>
      </c>
      <c r="J274" s="7" t="str">
        <f>_xlfn.XLOOKUP(Order_Details[[#This Row],[Order ID]], List_of_orders[Order ID], List_of_orders[City])</f>
        <v>Jaipur</v>
      </c>
      <c r="K274" s="8" t="str">
        <f>TEXT(Order_Details[[#This Row],[Order Date]], "YY-MMM")</f>
        <v>18-Jun</v>
      </c>
      <c r="L274" s="11">
        <f>Order_Details[[#This Row],[Profit]]/Order_Details[[#This Row],[Amount]]</f>
        <v>0.25748502994011974</v>
      </c>
      <c r="M274" s="8">
        <f>YEAR(Order_Details[[#This Row],[Order Date]])</f>
        <v>2018</v>
      </c>
      <c r="N274" s="8">
        <f>ROUNDUP(MONTH(Order_Details[[#This Row],[Order Date]])/3, 0)</f>
        <v>2</v>
      </c>
    </row>
    <row r="275" spans="1:14">
      <c r="A275" s="1" t="s">
        <v>266</v>
      </c>
      <c r="B275" s="1">
        <v>171</v>
      </c>
      <c r="C275" s="1">
        <v>14</v>
      </c>
      <c r="D275" s="1">
        <v>9</v>
      </c>
      <c r="E275" s="1" t="s">
        <v>1076</v>
      </c>
      <c r="F275" s="1" t="s">
        <v>1111</v>
      </c>
      <c r="G275" s="7" t="str">
        <f>_xlfn.XLOOKUP(Order_Details[[#This Row],[Order ID]], List_of_orders[Order ID], List_of_orders[State])</f>
        <v>West Bengal</v>
      </c>
      <c r="H275" s="10">
        <f>_xlfn.XLOOKUP(Order_Details[[#This Row],[Order ID]], List_of_orders[Order ID], List_of_orders[Order Date (Clean)])</f>
        <v>43269</v>
      </c>
      <c r="I275" s="7" t="str">
        <f>_xlfn.XLOOKUP(Order_Details[[#This Row],[Order ID]], List_of_orders[Order ID], List_of_orders[CustomerName])</f>
        <v>Suhani</v>
      </c>
      <c r="J275" s="7" t="str">
        <f>_xlfn.XLOOKUP(Order_Details[[#This Row],[Order ID]], List_of_orders[Order ID], List_of_orders[City])</f>
        <v>Kolkata</v>
      </c>
      <c r="K275" s="8" t="str">
        <f>TEXT(Order_Details[[#This Row],[Order Date]], "YY-MMM")</f>
        <v>18-Jun</v>
      </c>
      <c r="L275" s="11">
        <f>Order_Details[[#This Row],[Profit]]/Order_Details[[#This Row],[Amount]]</f>
        <v>8.1871345029239762E-2</v>
      </c>
      <c r="M275" s="8">
        <f>YEAR(Order_Details[[#This Row],[Order Date]])</f>
        <v>2018</v>
      </c>
      <c r="N275" s="8">
        <f>ROUNDUP(MONTH(Order_Details[[#This Row],[Order Date]])/3, 0)</f>
        <v>2</v>
      </c>
    </row>
    <row r="276" spans="1:14">
      <c r="A276" s="1" t="s">
        <v>268</v>
      </c>
      <c r="B276" s="1">
        <v>117</v>
      </c>
      <c r="C276" s="1">
        <v>-6</v>
      </c>
      <c r="D276" s="1">
        <v>3</v>
      </c>
      <c r="E276" s="1" t="s">
        <v>1077</v>
      </c>
      <c r="F276" s="1" t="s">
        <v>1105</v>
      </c>
      <c r="G276" s="7" t="str">
        <f>_xlfn.XLOOKUP(Order_Details[[#This Row],[Order ID]], List_of_orders[Order ID], List_of_orders[State])</f>
        <v>Karnataka</v>
      </c>
      <c r="H276" s="10">
        <f>_xlfn.XLOOKUP(Order_Details[[#This Row],[Order ID]], List_of_orders[Order ID], List_of_orders[Order Date (Clean)])</f>
        <v>43272</v>
      </c>
      <c r="I276" s="7" t="str">
        <f>_xlfn.XLOOKUP(Order_Details[[#This Row],[Order ID]], List_of_orders[Order ID], List_of_orders[CustomerName])</f>
        <v>Noopur</v>
      </c>
      <c r="J276" s="7" t="str">
        <f>_xlfn.XLOOKUP(Order_Details[[#This Row],[Order ID]], List_of_orders[Order ID], List_of_orders[City])</f>
        <v>Bangalore</v>
      </c>
      <c r="K276" s="8" t="str">
        <f>TEXT(Order_Details[[#This Row],[Order Date]], "YY-MMM")</f>
        <v>18-Jun</v>
      </c>
      <c r="L276" s="11">
        <f>Order_Details[[#This Row],[Profit]]/Order_Details[[#This Row],[Amount]]</f>
        <v>-5.128205128205128E-2</v>
      </c>
      <c r="M276" s="8">
        <f>YEAR(Order_Details[[#This Row],[Order Date]])</f>
        <v>2018</v>
      </c>
      <c r="N276" s="8">
        <f>ROUNDUP(MONTH(Order_Details[[#This Row],[Order Date]])/3, 0)</f>
        <v>2</v>
      </c>
    </row>
    <row r="277" spans="1:14">
      <c r="A277" s="1" t="s">
        <v>268</v>
      </c>
      <c r="B277" s="1">
        <v>116</v>
      </c>
      <c r="C277" s="1">
        <v>-4</v>
      </c>
      <c r="D277" s="1">
        <v>1</v>
      </c>
      <c r="E277" s="1" t="s">
        <v>1076</v>
      </c>
      <c r="F277" s="1" t="s">
        <v>1106</v>
      </c>
      <c r="G277" s="7" t="str">
        <f>_xlfn.XLOOKUP(Order_Details[[#This Row],[Order ID]], List_of_orders[Order ID], List_of_orders[State])</f>
        <v>Karnataka</v>
      </c>
      <c r="H277" s="10">
        <f>_xlfn.XLOOKUP(Order_Details[[#This Row],[Order ID]], List_of_orders[Order ID], List_of_orders[Order Date (Clean)])</f>
        <v>43272</v>
      </c>
      <c r="I277" s="7" t="str">
        <f>_xlfn.XLOOKUP(Order_Details[[#This Row],[Order ID]], List_of_orders[Order ID], List_of_orders[CustomerName])</f>
        <v>Noopur</v>
      </c>
      <c r="J277" s="7" t="str">
        <f>_xlfn.XLOOKUP(Order_Details[[#This Row],[Order ID]], List_of_orders[Order ID], List_of_orders[City])</f>
        <v>Bangalore</v>
      </c>
      <c r="K277" s="8" t="str">
        <f>TEXT(Order_Details[[#This Row],[Order Date]], "YY-MMM")</f>
        <v>18-Jun</v>
      </c>
      <c r="L277" s="11">
        <f>Order_Details[[#This Row],[Profit]]/Order_Details[[#This Row],[Amount]]</f>
        <v>-3.4482758620689655E-2</v>
      </c>
      <c r="M277" s="8">
        <f>YEAR(Order_Details[[#This Row],[Order Date]])</f>
        <v>2018</v>
      </c>
      <c r="N277" s="8">
        <f>ROUNDUP(MONTH(Order_Details[[#This Row],[Order Date]])/3, 0)</f>
        <v>2</v>
      </c>
    </row>
    <row r="278" spans="1:14">
      <c r="A278" s="1" t="s">
        <v>268</v>
      </c>
      <c r="B278" s="1">
        <v>887</v>
      </c>
      <c r="C278" s="1">
        <v>80</v>
      </c>
      <c r="D278" s="1">
        <v>3</v>
      </c>
      <c r="E278" s="1" t="s">
        <v>1077</v>
      </c>
      <c r="F278" s="1" t="s">
        <v>1114</v>
      </c>
      <c r="G278" s="7" t="str">
        <f>_xlfn.XLOOKUP(Order_Details[[#This Row],[Order ID]], List_of_orders[Order ID], List_of_orders[State])</f>
        <v>Karnataka</v>
      </c>
      <c r="H278" s="10">
        <f>_xlfn.XLOOKUP(Order_Details[[#This Row],[Order ID]], List_of_orders[Order ID], List_of_orders[Order Date (Clean)])</f>
        <v>43272</v>
      </c>
      <c r="I278" s="7" t="str">
        <f>_xlfn.XLOOKUP(Order_Details[[#This Row],[Order ID]], List_of_orders[Order ID], List_of_orders[CustomerName])</f>
        <v>Noopur</v>
      </c>
      <c r="J278" s="7" t="str">
        <f>_xlfn.XLOOKUP(Order_Details[[#This Row],[Order ID]], List_of_orders[Order ID], List_of_orders[City])</f>
        <v>Bangalore</v>
      </c>
      <c r="K278" s="8" t="str">
        <f>TEXT(Order_Details[[#This Row],[Order Date]], "YY-MMM")</f>
        <v>18-Jun</v>
      </c>
      <c r="L278" s="11">
        <f>Order_Details[[#This Row],[Profit]]/Order_Details[[#This Row],[Amount]]</f>
        <v>9.0191657271702363E-2</v>
      </c>
      <c r="M278" s="8">
        <f>YEAR(Order_Details[[#This Row],[Order Date]])</f>
        <v>2018</v>
      </c>
      <c r="N278" s="8">
        <f>ROUNDUP(MONTH(Order_Details[[#This Row],[Order Date]])/3, 0)</f>
        <v>2</v>
      </c>
    </row>
    <row r="279" spans="1:14">
      <c r="A279" s="1" t="s">
        <v>268</v>
      </c>
      <c r="B279" s="1">
        <v>275</v>
      </c>
      <c r="C279" s="1">
        <v>-275</v>
      </c>
      <c r="D279" s="1">
        <v>4</v>
      </c>
      <c r="E279" s="1" t="s">
        <v>1076</v>
      </c>
      <c r="F279" s="1" t="s">
        <v>1106</v>
      </c>
      <c r="G279" s="7" t="str">
        <f>_xlfn.XLOOKUP(Order_Details[[#This Row],[Order ID]], List_of_orders[Order ID], List_of_orders[State])</f>
        <v>Karnataka</v>
      </c>
      <c r="H279" s="10">
        <f>_xlfn.XLOOKUP(Order_Details[[#This Row],[Order ID]], List_of_orders[Order ID], List_of_orders[Order Date (Clean)])</f>
        <v>43272</v>
      </c>
      <c r="I279" s="7" t="str">
        <f>_xlfn.XLOOKUP(Order_Details[[#This Row],[Order ID]], List_of_orders[Order ID], List_of_orders[CustomerName])</f>
        <v>Noopur</v>
      </c>
      <c r="J279" s="7" t="str">
        <f>_xlfn.XLOOKUP(Order_Details[[#This Row],[Order ID]], List_of_orders[Order ID], List_of_orders[City])</f>
        <v>Bangalore</v>
      </c>
      <c r="K279" s="8" t="str">
        <f>TEXT(Order_Details[[#This Row],[Order Date]], "YY-MMM")</f>
        <v>18-Jun</v>
      </c>
      <c r="L279" s="11">
        <f>Order_Details[[#This Row],[Profit]]/Order_Details[[#This Row],[Amount]]</f>
        <v>-1</v>
      </c>
      <c r="M279" s="8">
        <f>YEAR(Order_Details[[#This Row],[Order Date]])</f>
        <v>2018</v>
      </c>
      <c r="N279" s="8">
        <f>ROUNDUP(MONTH(Order_Details[[#This Row],[Order Date]])/3, 0)</f>
        <v>2</v>
      </c>
    </row>
    <row r="280" spans="1:14">
      <c r="A280" s="1" t="s">
        <v>268</v>
      </c>
      <c r="B280" s="1">
        <v>44</v>
      </c>
      <c r="C280" s="1">
        <v>7</v>
      </c>
      <c r="D280" s="1">
        <v>3</v>
      </c>
      <c r="E280" s="1" t="s">
        <v>1076</v>
      </c>
      <c r="F280" s="1" t="s">
        <v>1109</v>
      </c>
      <c r="G280" s="7" t="str">
        <f>_xlfn.XLOOKUP(Order_Details[[#This Row],[Order ID]], List_of_orders[Order ID], List_of_orders[State])</f>
        <v>Karnataka</v>
      </c>
      <c r="H280" s="10">
        <f>_xlfn.XLOOKUP(Order_Details[[#This Row],[Order ID]], List_of_orders[Order ID], List_of_orders[Order Date (Clean)])</f>
        <v>43272</v>
      </c>
      <c r="I280" s="7" t="str">
        <f>_xlfn.XLOOKUP(Order_Details[[#This Row],[Order ID]], List_of_orders[Order ID], List_of_orders[CustomerName])</f>
        <v>Noopur</v>
      </c>
      <c r="J280" s="7" t="str">
        <f>_xlfn.XLOOKUP(Order_Details[[#This Row],[Order ID]], List_of_orders[Order ID], List_of_orders[City])</f>
        <v>Bangalore</v>
      </c>
      <c r="K280" s="8" t="str">
        <f>TEXT(Order_Details[[#This Row],[Order Date]], "YY-MMM")</f>
        <v>18-Jun</v>
      </c>
      <c r="L280" s="11">
        <f>Order_Details[[#This Row],[Profit]]/Order_Details[[#This Row],[Amount]]</f>
        <v>0.15909090909090909</v>
      </c>
      <c r="M280" s="8">
        <f>YEAR(Order_Details[[#This Row],[Order Date]])</f>
        <v>2018</v>
      </c>
      <c r="N280" s="8">
        <f>ROUNDUP(MONTH(Order_Details[[#This Row],[Order Date]])/3, 0)</f>
        <v>2</v>
      </c>
    </row>
    <row r="281" spans="1:14">
      <c r="A281" s="1" t="s">
        <v>268</v>
      </c>
      <c r="B281" s="1">
        <v>168</v>
      </c>
      <c r="C281" s="1">
        <v>-9</v>
      </c>
      <c r="D281" s="1">
        <v>3</v>
      </c>
      <c r="E281" s="1" t="s">
        <v>1076</v>
      </c>
      <c r="F281" s="1" t="s">
        <v>1106</v>
      </c>
      <c r="G281" s="7" t="str">
        <f>_xlfn.XLOOKUP(Order_Details[[#This Row],[Order ID]], List_of_orders[Order ID], List_of_orders[State])</f>
        <v>Karnataka</v>
      </c>
      <c r="H281" s="10">
        <f>_xlfn.XLOOKUP(Order_Details[[#This Row],[Order ID]], List_of_orders[Order ID], List_of_orders[Order Date (Clean)])</f>
        <v>43272</v>
      </c>
      <c r="I281" s="7" t="str">
        <f>_xlfn.XLOOKUP(Order_Details[[#This Row],[Order ID]], List_of_orders[Order ID], List_of_orders[CustomerName])</f>
        <v>Noopur</v>
      </c>
      <c r="J281" s="7" t="str">
        <f>_xlfn.XLOOKUP(Order_Details[[#This Row],[Order ID]], List_of_orders[Order ID], List_of_orders[City])</f>
        <v>Bangalore</v>
      </c>
      <c r="K281" s="8" t="str">
        <f>TEXT(Order_Details[[#This Row],[Order Date]], "YY-MMM")</f>
        <v>18-Jun</v>
      </c>
      <c r="L281" s="11">
        <f>Order_Details[[#This Row],[Profit]]/Order_Details[[#This Row],[Amount]]</f>
        <v>-5.3571428571428568E-2</v>
      </c>
      <c r="M281" s="8">
        <f>YEAR(Order_Details[[#This Row],[Order Date]])</f>
        <v>2018</v>
      </c>
      <c r="N281" s="8">
        <f>ROUNDUP(MONTH(Order_Details[[#This Row],[Order Date]])/3, 0)</f>
        <v>2</v>
      </c>
    </row>
    <row r="282" spans="1:14">
      <c r="A282" s="1" t="s">
        <v>271</v>
      </c>
      <c r="B282" s="1">
        <v>114</v>
      </c>
      <c r="C282" s="1">
        <v>8</v>
      </c>
      <c r="D282" s="1">
        <v>3</v>
      </c>
      <c r="E282" s="1" t="s">
        <v>1077</v>
      </c>
      <c r="F282" s="1" t="s">
        <v>1115</v>
      </c>
      <c r="G282" s="7" t="str">
        <f>_xlfn.XLOOKUP(Order_Details[[#This Row],[Order ID]], List_of_orders[Order ID], List_of_orders[State])</f>
        <v>Jammu and Kashmir</v>
      </c>
      <c r="H282" s="10">
        <f>_xlfn.XLOOKUP(Order_Details[[#This Row],[Order ID]], List_of_orders[Order ID], List_of_orders[Order Date (Clean)])</f>
        <v>43273</v>
      </c>
      <c r="I282" s="7" t="str">
        <f>_xlfn.XLOOKUP(Order_Details[[#This Row],[Order ID]], List_of_orders[Order ID], List_of_orders[CustomerName])</f>
        <v>Vijay</v>
      </c>
      <c r="J282" s="7" t="str">
        <f>_xlfn.XLOOKUP(Order_Details[[#This Row],[Order ID]], List_of_orders[Order ID], List_of_orders[City])</f>
        <v>Kashmir</v>
      </c>
      <c r="K282" s="8" t="str">
        <f>TEXT(Order_Details[[#This Row],[Order Date]], "YY-MMM")</f>
        <v>18-Jun</v>
      </c>
      <c r="L282" s="11">
        <f>Order_Details[[#This Row],[Profit]]/Order_Details[[#This Row],[Amount]]</f>
        <v>7.0175438596491224E-2</v>
      </c>
      <c r="M282" s="8">
        <f>YEAR(Order_Details[[#This Row],[Order Date]])</f>
        <v>2018</v>
      </c>
      <c r="N282" s="8">
        <f>ROUNDUP(MONTH(Order_Details[[#This Row],[Order Date]])/3, 0)</f>
        <v>2</v>
      </c>
    </row>
    <row r="283" spans="1:14">
      <c r="A283" s="1" t="s">
        <v>271</v>
      </c>
      <c r="B283" s="1">
        <v>1300</v>
      </c>
      <c r="C283" s="1">
        <v>-16</v>
      </c>
      <c r="D283" s="1">
        <v>8</v>
      </c>
      <c r="E283" s="1" t="s">
        <v>1077</v>
      </c>
      <c r="F283" s="1" t="s">
        <v>1114</v>
      </c>
      <c r="G283" s="7" t="str">
        <f>_xlfn.XLOOKUP(Order_Details[[#This Row],[Order ID]], List_of_orders[Order ID], List_of_orders[State])</f>
        <v>Jammu and Kashmir</v>
      </c>
      <c r="H283" s="10">
        <f>_xlfn.XLOOKUP(Order_Details[[#This Row],[Order ID]], List_of_orders[Order ID], List_of_orders[Order Date (Clean)])</f>
        <v>43273</v>
      </c>
      <c r="I283" s="7" t="str">
        <f>_xlfn.XLOOKUP(Order_Details[[#This Row],[Order ID]], List_of_orders[Order ID], List_of_orders[CustomerName])</f>
        <v>Vijay</v>
      </c>
      <c r="J283" s="7" t="str">
        <f>_xlfn.XLOOKUP(Order_Details[[#This Row],[Order ID]], List_of_orders[Order ID], List_of_orders[City])</f>
        <v>Kashmir</v>
      </c>
      <c r="K283" s="8" t="str">
        <f>TEXT(Order_Details[[#This Row],[Order Date]], "YY-MMM")</f>
        <v>18-Jun</v>
      </c>
      <c r="L283" s="11">
        <f>Order_Details[[#This Row],[Profit]]/Order_Details[[#This Row],[Amount]]</f>
        <v>-1.2307692307692308E-2</v>
      </c>
      <c r="M283" s="8">
        <f>YEAR(Order_Details[[#This Row],[Order Date]])</f>
        <v>2018</v>
      </c>
      <c r="N283" s="8">
        <f>ROUNDUP(MONTH(Order_Details[[#This Row],[Order Date]])/3, 0)</f>
        <v>2</v>
      </c>
    </row>
    <row r="284" spans="1:14">
      <c r="A284" s="1" t="s">
        <v>271</v>
      </c>
      <c r="B284" s="1">
        <v>4</v>
      </c>
      <c r="C284" s="1">
        <v>-3</v>
      </c>
      <c r="D284" s="1">
        <v>1</v>
      </c>
      <c r="E284" s="1" t="s">
        <v>1076</v>
      </c>
      <c r="F284" s="1" t="s">
        <v>1117</v>
      </c>
      <c r="G284" s="7" t="str">
        <f>_xlfn.XLOOKUP(Order_Details[[#This Row],[Order ID]], List_of_orders[Order ID], List_of_orders[State])</f>
        <v>Jammu and Kashmir</v>
      </c>
      <c r="H284" s="10">
        <f>_xlfn.XLOOKUP(Order_Details[[#This Row],[Order ID]], List_of_orders[Order ID], List_of_orders[Order Date (Clean)])</f>
        <v>43273</v>
      </c>
      <c r="I284" s="7" t="str">
        <f>_xlfn.XLOOKUP(Order_Details[[#This Row],[Order ID]], List_of_orders[Order ID], List_of_orders[CustomerName])</f>
        <v>Vijay</v>
      </c>
      <c r="J284" s="7" t="str">
        <f>_xlfn.XLOOKUP(Order_Details[[#This Row],[Order ID]], List_of_orders[Order ID], List_of_orders[City])</f>
        <v>Kashmir</v>
      </c>
      <c r="K284" s="8" t="str">
        <f>TEXT(Order_Details[[#This Row],[Order Date]], "YY-MMM")</f>
        <v>18-Jun</v>
      </c>
      <c r="L284" s="11">
        <f>Order_Details[[#This Row],[Profit]]/Order_Details[[#This Row],[Amount]]</f>
        <v>-0.75</v>
      </c>
      <c r="M284" s="8">
        <f>YEAR(Order_Details[[#This Row],[Order Date]])</f>
        <v>2018</v>
      </c>
      <c r="N284" s="8">
        <f>ROUNDUP(MONTH(Order_Details[[#This Row],[Order Date]])/3, 0)</f>
        <v>2</v>
      </c>
    </row>
    <row r="285" spans="1:14">
      <c r="A285" s="1" t="s">
        <v>271</v>
      </c>
      <c r="B285" s="1">
        <v>73</v>
      </c>
      <c r="C285" s="1">
        <v>-7</v>
      </c>
      <c r="D285" s="1">
        <v>1</v>
      </c>
      <c r="E285" s="1" t="s">
        <v>1077</v>
      </c>
      <c r="F285" s="1" t="s">
        <v>1105</v>
      </c>
      <c r="G285" s="7" t="str">
        <f>_xlfn.XLOOKUP(Order_Details[[#This Row],[Order ID]], List_of_orders[Order ID], List_of_orders[State])</f>
        <v>Jammu and Kashmir</v>
      </c>
      <c r="H285" s="10">
        <f>_xlfn.XLOOKUP(Order_Details[[#This Row],[Order ID]], List_of_orders[Order ID], List_of_orders[Order Date (Clean)])</f>
        <v>43273</v>
      </c>
      <c r="I285" s="7" t="str">
        <f>_xlfn.XLOOKUP(Order_Details[[#This Row],[Order ID]], List_of_orders[Order ID], List_of_orders[CustomerName])</f>
        <v>Vijay</v>
      </c>
      <c r="J285" s="7" t="str">
        <f>_xlfn.XLOOKUP(Order_Details[[#This Row],[Order ID]], List_of_orders[Order ID], List_of_orders[City])</f>
        <v>Kashmir</v>
      </c>
      <c r="K285" s="8" t="str">
        <f>TEXT(Order_Details[[#This Row],[Order Date]], "YY-MMM")</f>
        <v>18-Jun</v>
      </c>
      <c r="L285" s="11">
        <f>Order_Details[[#This Row],[Profit]]/Order_Details[[#This Row],[Amount]]</f>
        <v>-9.5890410958904104E-2</v>
      </c>
      <c r="M285" s="8">
        <f>YEAR(Order_Details[[#This Row],[Order Date]])</f>
        <v>2018</v>
      </c>
      <c r="N285" s="8">
        <f>ROUNDUP(MONTH(Order_Details[[#This Row],[Order Date]])/3, 0)</f>
        <v>2</v>
      </c>
    </row>
    <row r="286" spans="1:14">
      <c r="A286" s="1" t="s">
        <v>271</v>
      </c>
      <c r="B286" s="1">
        <v>67</v>
      </c>
      <c r="C286" s="1">
        <v>-42</v>
      </c>
      <c r="D286" s="1">
        <v>3</v>
      </c>
      <c r="E286" s="1" t="s">
        <v>1076</v>
      </c>
      <c r="F286" s="1" t="s">
        <v>1102</v>
      </c>
      <c r="G286" s="7" t="str">
        <f>_xlfn.XLOOKUP(Order_Details[[#This Row],[Order ID]], List_of_orders[Order ID], List_of_orders[State])</f>
        <v>Jammu and Kashmir</v>
      </c>
      <c r="H286" s="10">
        <f>_xlfn.XLOOKUP(Order_Details[[#This Row],[Order ID]], List_of_orders[Order ID], List_of_orders[Order Date (Clean)])</f>
        <v>43273</v>
      </c>
      <c r="I286" s="7" t="str">
        <f>_xlfn.XLOOKUP(Order_Details[[#This Row],[Order ID]], List_of_orders[Order ID], List_of_orders[CustomerName])</f>
        <v>Vijay</v>
      </c>
      <c r="J286" s="7" t="str">
        <f>_xlfn.XLOOKUP(Order_Details[[#This Row],[Order ID]], List_of_orders[Order ID], List_of_orders[City])</f>
        <v>Kashmir</v>
      </c>
      <c r="K286" s="8" t="str">
        <f>TEXT(Order_Details[[#This Row],[Order Date]], "YY-MMM")</f>
        <v>18-Jun</v>
      </c>
      <c r="L286" s="11">
        <f>Order_Details[[#This Row],[Profit]]/Order_Details[[#This Row],[Amount]]</f>
        <v>-0.62686567164179108</v>
      </c>
      <c r="M286" s="8">
        <f>YEAR(Order_Details[[#This Row],[Order Date]])</f>
        <v>2018</v>
      </c>
      <c r="N286" s="8">
        <f>ROUNDUP(MONTH(Order_Details[[#This Row],[Order Date]])/3, 0)</f>
        <v>2</v>
      </c>
    </row>
    <row r="287" spans="1:14">
      <c r="A287" s="1" t="s">
        <v>271</v>
      </c>
      <c r="B287" s="1">
        <v>322</v>
      </c>
      <c r="C287" s="1">
        <v>-193</v>
      </c>
      <c r="D287" s="1">
        <v>5</v>
      </c>
      <c r="E287" s="1" t="s">
        <v>1077</v>
      </c>
      <c r="F287" s="1" t="s">
        <v>1114</v>
      </c>
      <c r="G287" s="7" t="str">
        <f>_xlfn.XLOOKUP(Order_Details[[#This Row],[Order ID]], List_of_orders[Order ID], List_of_orders[State])</f>
        <v>Jammu and Kashmir</v>
      </c>
      <c r="H287" s="10">
        <f>_xlfn.XLOOKUP(Order_Details[[#This Row],[Order ID]], List_of_orders[Order ID], List_of_orders[Order Date (Clean)])</f>
        <v>43273</v>
      </c>
      <c r="I287" s="7" t="str">
        <f>_xlfn.XLOOKUP(Order_Details[[#This Row],[Order ID]], List_of_orders[Order ID], List_of_orders[CustomerName])</f>
        <v>Vijay</v>
      </c>
      <c r="J287" s="7" t="str">
        <f>_xlfn.XLOOKUP(Order_Details[[#This Row],[Order ID]], List_of_orders[Order ID], List_of_orders[City])</f>
        <v>Kashmir</v>
      </c>
      <c r="K287" s="8" t="str">
        <f>TEXT(Order_Details[[#This Row],[Order Date]], "YY-MMM")</f>
        <v>18-Jun</v>
      </c>
      <c r="L287" s="11">
        <f>Order_Details[[#This Row],[Profit]]/Order_Details[[#This Row],[Amount]]</f>
        <v>-0.59937888198757761</v>
      </c>
      <c r="M287" s="8">
        <f>YEAR(Order_Details[[#This Row],[Order Date]])</f>
        <v>2018</v>
      </c>
      <c r="N287" s="8">
        <f>ROUNDUP(MONTH(Order_Details[[#This Row],[Order Date]])/3, 0)</f>
        <v>2</v>
      </c>
    </row>
    <row r="288" spans="1:14">
      <c r="A288" s="1" t="s">
        <v>271</v>
      </c>
      <c r="B288" s="1">
        <v>115</v>
      </c>
      <c r="C288" s="1">
        <v>-39</v>
      </c>
      <c r="D288" s="1">
        <v>3</v>
      </c>
      <c r="E288" s="1" t="s">
        <v>1076</v>
      </c>
      <c r="F288" s="1" t="s">
        <v>1107</v>
      </c>
      <c r="G288" s="7" t="str">
        <f>_xlfn.XLOOKUP(Order_Details[[#This Row],[Order ID]], List_of_orders[Order ID], List_of_orders[State])</f>
        <v>Jammu and Kashmir</v>
      </c>
      <c r="H288" s="10">
        <f>_xlfn.XLOOKUP(Order_Details[[#This Row],[Order ID]], List_of_orders[Order ID], List_of_orders[Order Date (Clean)])</f>
        <v>43273</v>
      </c>
      <c r="I288" s="7" t="str">
        <f>_xlfn.XLOOKUP(Order_Details[[#This Row],[Order ID]], List_of_orders[Order ID], List_of_orders[CustomerName])</f>
        <v>Vijay</v>
      </c>
      <c r="J288" s="7" t="str">
        <f>_xlfn.XLOOKUP(Order_Details[[#This Row],[Order ID]], List_of_orders[Order ID], List_of_orders[City])</f>
        <v>Kashmir</v>
      </c>
      <c r="K288" s="8" t="str">
        <f>TEXT(Order_Details[[#This Row],[Order Date]], "YY-MMM")</f>
        <v>18-Jun</v>
      </c>
      <c r="L288" s="11">
        <f>Order_Details[[#This Row],[Profit]]/Order_Details[[#This Row],[Amount]]</f>
        <v>-0.33913043478260868</v>
      </c>
      <c r="M288" s="8">
        <f>YEAR(Order_Details[[#This Row],[Order Date]])</f>
        <v>2018</v>
      </c>
      <c r="N288" s="8">
        <f>ROUNDUP(MONTH(Order_Details[[#This Row],[Order Date]])/3, 0)</f>
        <v>2</v>
      </c>
    </row>
    <row r="289" spans="1:14">
      <c r="A289" s="1" t="s">
        <v>274</v>
      </c>
      <c r="B289" s="1">
        <v>87</v>
      </c>
      <c r="C289" s="1">
        <v>-83</v>
      </c>
      <c r="D289" s="1">
        <v>5</v>
      </c>
      <c r="E289" s="1" t="s">
        <v>1076</v>
      </c>
      <c r="F289" s="1" t="s">
        <v>1109</v>
      </c>
      <c r="G289" s="7" t="str">
        <f>_xlfn.XLOOKUP(Order_Details[[#This Row],[Order ID]], List_of_orders[Order ID], List_of_orders[State])</f>
        <v>Tamil Nadu</v>
      </c>
      <c r="H289" s="10">
        <f>_xlfn.XLOOKUP(Order_Details[[#This Row],[Order ID]], List_of_orders[Order ID], List_of_orders[Order Date (Clean)])</f>
        <v>43274</v>
      </c>
      <c r="I289" s="7" t="str">
        <f>_xlfn.XLOOKUP(Order_Details[[#This Row],[Order ID]], List_of_orders[Order ID], List_of_orders[CustomerName])</f>
        <v>Amisha</v>
      </c>
      <c r="J289" s="7" t="str">
        <f>_xlfn.XLOOKUP(Order_Details[[#This Row],[Order ID]], List_of_orders[Order ID], List_of_orders[City])</f>
        <v>Chennai</v>
      </c>
      <c r="K289" s="8" t="str">
        <f>TEXT(Order_Details[[#This Row],[Order Date]], "YY-MMM")</f>
        <v>18-Jun</v>
      </c>
      <c r="L289" s="11">
        <f>Order_Details[[#This Row],[Profit]]/Order_Details[[#This Row],[Amount]]</f>
        <v>-0.95402298850574707</v>
      </c>
      <c r="M289" s="8">
        <f>YEAR(Order_Details[[#This Row],[Order Date]])</f>
        <v>2018</v>
      </c>
      <c r="N289" s="8">
        <f>ROUNDUP(MONTH(Order_Details[[#This Row],[Order Date]])/3, 0)</f>
        <v>2</v>
      </c>
    </row>
    <row r="290" spans="1:14">
      <c r="A290" s="1" t="s">
        <v>274</v>
      </c>
      <c r="B290" s="1">
        <v>27</v>
      </c>
      <c r="C290" s="1">
        <v>-6</v>
      </c>
      <c r="D290" s="1">
        <v>4</v>
      </c>
      <c r="E290" s="1" t="s">
        <v>1076</v>
      </c>
      <c r="F290" s="1" t="s">
        <v>1103</v>
      </c>
      <c r="G290" s="7" t="str">
        <f>_xlfn.XLOOKUP(Order_Details[[#This Row],[Order ID]], List_of_orders[Order ID], List_of_orders[State])</f>
        <v>Tamil Nadu</v>
      </c>
      <c r="H290" s="10">
        <f>_xlfn.XLOOKUP(Order_Details[[#This Row],[Order ID]], List_of_orders[Order ID], List_of_orders[Order Date (Clean)])</f>
        <v>43274</v>
      </c>
      <c r="I290" s="7" t="str">
        <f>_xlfn.XLOOKUP(Order_Details[[#This Row],[Order ID]], List_of_orders[Order ID], List_of_orders[CustomerName])</f>
        <v>Amisha</v>
      </c>
      <c r="J290" s="7" t="str">
        <f>_xlfn.XLOOKUP(Order_Details[[#This Row],[Order ID]], List_of_orders[Order ID], List_of_orders[City])</f>
        <v>Chennai</v>
      </c>
      <c r="K290" s="8" t="str">
        <f>TEXT(Order_Details[[#This Row],[Order Date]], "YY-MMM")</f>
        <v>18-Jun</v>
      </c>
      <c r="L290" s="11">
        <f>Order_Details[[#This Row],[Profit]]/Order_Details[[#This Row],[Amount]]</f>
        <v>-0.22222222222222221</v>
      </c>
      <c r="M290" s="8">
        <f>YEAR(Order_Details[[#This Row],[Order Date]])</f>
        <v>2018</v>
      </c>
      <c r="N290" s="8">
        <f>ROUNDUP(MONTH(Order_Details[[#This Row],[Order Date]])/3, 0)</f>
        <v>2</v>
      </c>
    </row>
    <row r="291" spans="1:14">
      <c r="A291" s="1" t="s">
        <v>274</v>
      </c>
      <c r="B291" s="1">
        <v>207</v>
      </c>
      <c r="C291" s="1">
        <v>-153</v>
      </c>
      <c r="D291" s="1">
        <v>3</v>
      </c>
      <c r="E291" s="1" t="s">
        <v>1076</v>
      </c>
      <c r="F291" s="1" t="s">
        <v>1106</v>
      </c>
      <c r="G291" s="7" t="str">
        <f>_xlfn.XLOOKUP(Order_Details[[#This Row],[Order ID]], List_of_orders[Order ID], List_of_orders[State])</f>
        <v>Tamil Nadu</v>
      </c>
      <c r="H291" s="10">
        <f>_xlfn.XLOOKUP(Order_Details[[#This Row],[Order ID]], List_of_orders[Order ID], List_of_orders[Order Date (Clean)])</f>
        <v>43274</v>
      </c>
      <c r="I291" s="7" t="str">
        <f>_xlfn.XLOOKUP(Order_Details[[#This Row],[Order ID]], List_of_orders[Order ID], List_of_orders[CustomerName])</f>
        <v>Amisha</v>
      </c>
      <c r="J291" s="7" t="str">
        <f>_xlfn.XLOOKUP(Order_Details[[#This Row],[Order ID]], List_of_orders[Order ID], List_of_orders[City])</f>
        <v>Chennai</v>
      </c>
      <c r="K291" s="8" t="str">
        <f>TEXT(Order_Details[[#This Row],[Order Date]], "YY-MMM")</f>
        <v>18-Jun</v>
      </c>
      <c r="L291" s="11">
        <f>Order_Details[[#This Row],[Profit]]/Order_Details[[#This Row],[Amount]]</f>
        <v>-0.73913043478260865</v>
      </c>
      <c r="M291" s="8">
        <f>YEAR(Order_Details[[#This Row],[Order Date]])</f>
        <v>2018</v>
      </c>
      <c r="N291" s="8">
        <f>ROUNDUP(MONTH(Order_Details[[#This Row],[Order Date]])/3, 0)</f>
        <v>2</v>
      </c>
    </row>
    <row r="292" spans="1:14">
      <c r="A292" s="1" t="s">
        <v>274</v>
      </c>
      <c r="B292" s="1">
        <v>516</v>
      </c>
      <c r="C292" s="1">
        <v>-392</v>
      </c>
      <c r="D292" s="1">
        <v>8</v>
      </c>
      <c r="E292" s="1" t="s">
        <v>1075</v>
      </c>
      <c r="F292" s="1" t="s">
        <v>1108</v>
      </c>
      <c r="G292" s="7" t="str">
        <f>_xlfn.XLOOKUP(Order_Details[[#This Row],[Order ID]], List_of_orders[Order ID], List_of_orders[State])</f>
        <v>Tamil Nadu</v>
      </c>
      <c r="H292" s="10">
        <f>_xlfn.XLOOKUP(Order_Details[[#This Row],[Order ID]], List_of_orders[Order ID], List_of_orders[Order Date (Clean)])</f>
        <v>43274</v>
      </c>
      <c r="I292" s="7" t="str">
        <f>_xlfn.XLOOKUP(Order_Details[[#This Row],[Order ID]], List_of_orders[Order ID], List_of_orders[CustomerName])</f>
        <v>Amisha</v>
      </c>
      <c r="J292" s="7" t="str">
        <f>_xlfn.XLOOKUP(Order_Details[[#This Row],[Order ID]], List_of_orders[Order ID], List_of_orders[City])</f>
        <v>Chennai</v>
      </c>
      <c r="K292" s="8" t="str">
        <f>TEXT(Order_Details[[#This Row],[Order Date]], "YY-MMM")</f>
        <v>18-Jun</v>
      </c>
      <c r="L292" s="11">
        <f>Order_Details[[#This Row],[Profit]]/Order_Details[[#This Row],[Amount]]</f>
        <v>-0.75968992248062017</v>
      </c>
      <c r="M292" s="8">
        <f>YEAR(Order_Details[[#This Row],[Order Date]])</f>
        <v>2018</v>
      </c>
      <c r="N292" s="8">
        <f>ROUNDUP(MONTH(Order_Details[[#This Row],[Order Date]])/3, 0)</f>
        <v>2</v>
      </c>
    </row>
    <row r="293" spans="1:14">
      <c r="A293" s="1" t="s">
        <v>274</v>
      </c>
      <c r="B293" s="1">
        <v>7</v>
      </c>
      <c r="C293" s="1">
        <v>-2</v>
      </c>
      <c r="D293" s="1">
        <v>1</v>
      </c>
      <c r="E293" s="1" t="s">
        <v>1076</v>
      </c>
      <c r="F293" s="1" t="s">
        <v>1103</v>
      </c>
      <c r="G293" s="7" t="str">
        <f>_xlfn.XLOOKUP(Order_Details[[#This Row],[Order ID]], List_of_orders[Order ID], List_of_orders[State])</f>
        <v>Tamil Nadu</v>
      </c>
      <c r="H293" s="10">
        <f>_xlfn.XLOOKUP(Order_Details[[#This Row],[Order ID]], List_of_orders[Order ID], List_of_orders[Order Date (Clean)])</f>
        <v>43274</v>
      </c>
      <c r="I293" s="7" t="str">
        <f>_xlfn.XLOOKUP(Order_Details[[#This Row],[Order ID]], List_of_orders[Order ID], List_of_orders[CustomerName])</f>
        <v>Amisha</v>
      </c>
      <c r="J293" s="7" t="str">
        <f>_xlfn.XLOOKUP(Order_Details[[#This Row],[Order ID]], List_of_orders[Order ID], List_of_orders[City])</f>
        <v>Chennai</v>
      </c>
      <c r="K293" s="8" t="str">
        <f>TEXT(Order_Details[[#This Row],[Order Date]], "YY-MMM")</f>
        <v>18-Jun</v>
      </c>
      <c r="L293" s="11">
        <f>Order_Details[[#This Row],[Profit]]/Order_Details[[#This Row],[Amount]]</f>
        <v>-0.2857142857142857</v>
      </c>
      <c r="M293" s="8">
        <f>YEAR(Order_Details[[#This Row],[Order Date]])</f>
        <v>2018</v>
      </c>
      <c r="N293" s="8">
        <f>ROUNDUP(MONTH(Order_Details[[#This Row],[Order Date]])/3, 0)</f>
        <v>2</v>
      </c>
    </row>
    <row r="294" spans="1:14">
      <c r="A294" s="1" t="s">
        <v>274</v>
      </c>
      <c r="B294" s="1">
        <v>65</v>
      </c>
      <c r="C294" s="1">
        <v>-16</v>
      </c>
      <c r="D294" s="1">
        <v>2</v>
      </c>
      <c r="E294" s="1" t="s">
        <v>1077</v>
      </c>
      <c r="F294" s="1" t="s">
        <v>1105</v>
      </c>
      <c r="G294" s="7" t="str">
        <f>_xlfn.XLOOKUP(Order_Details[[#This Row],[Order ID]], List_of_orders[Order ID], List_of_orders[State])</f>
        <v>Tamil Nadu</v>
      </c>
      <c r="H294" s="10">
        <f>_xlfn.XLOOKUP(Order_Details[[#This Row],[Order ID]], List_of_orders[Order ID], List_of_orders[Order Date (Clean)])</f>
        <v>43274</v>
      </c>
      <c r="I294" s="7" t="str">
        <f>_xlfn.XLOOKUP(Order_Details[[#This Row],[Order ID]], List_of_orders[Order ID], List_of_orders[CustomerName])</f>
        <v>Amisha</v>
      </c>
      <c r="J294" s="7" t="str">
        <f>_xlfn.XLOOKUP(Order_Details[[#This Row],[Order ID]], List_of_orders[Order ID], List_of_orders[City])</f>
        <v>Chennai</v>
      </c>
      <c r="K294" s="8" t="str">
        <f>TEXT(Order_Details[[#This Row],[Order Date]], "YY-MMM")</f>
        <v>18-Jun</v>
      </c>
      <c r="L294" s="11">
        <f>Order_Details[[#This Row],[Profit]]/Order_Details[[#This Row],[Amount]]</f>
        <v>-0.24615384615384617</v>
      </c>
      <c r="M294" s="8">
        <f>YEAR(Order_Details[[#This Row],[Order Date]])</f>
        <v>2018</v>
      </c>
      <c r="N294" s="8">
        <f>ROUNDUP(MONTH(Order_Details[[#This Row],[Order Date]])/3, 0)</f>
        <v>2</v>
      </c>
    </row>
    <row r="295" spans="1:14">
      <c r="A295" s="1" t="s">
        <v>277</v>
      </c>
      <c r="B295" s="1">
        <v>20</v>
      </c>
      <c r="C295" s="1">
        <v>-22</v>
      </c>
      <c r="D295" s="1">
        <v>1</v>
      </c>
      <c r="E295" s="1" t="s">
        <v>1075</v>
      </c>
      <c r="F295" s="1" t="s">
        <v>1116</v>
      </c>
      <c r="G295" s="7" t="str">
        <f>_xlfn.XLOOKUP(Order_Details[[#This Row],[Order ID]], List_of_orders[Order ID], List_of_orders[State])</f>
        <v>Uttar Pradesh</v>
      </c>
      <c r="H295" s="10">
        <f>_xlfn.XLOOKUP(Order_Details[[#This Row],[Order ID]], List_of_orders[Order ID], List_of_orders[Order Date (Clean)])</f>
        <v>43275</v>
      </c>
      <c r="I295" s="7" t="str">
        <f>_xlfn.XLOOKUP(Order_Details[[#This Row],[Order ID]], List_of_orders[Order ID], List_of_orders[CustomerName])</f>
        <v>Kritika</v>
      </c>
      <c r="J295" s="7" t="str">
        <f>_xlfn.XLOOKUP(Order_Details[[#This Row],[Order ID]], List_of_orders[Order ID], List_of_orders[City])</f>
        <v>Lucknow</v>
      </c>
      <c r="K295" s="8" t="str">
        <f>TEXT(Order_Details[[#This Row],[Order Date]], "YY-MMM")</f>
        <v>18-Jun</v>
      </c>
      <c r="L295" s="11">
        <f>Order_Details[[#This Row],[Profit]]/Order_Details[[#This Row],[Amount]]</f>
        <v>-1.1000000000000001</v>
      </c>
      <c r="M295" s="8">
        <f>YEAR(Order_Details[[#This Row],[Order Date]])</f>
        <v>2018</v>
      </c>
      <c r="N295" s="8">
        <f>ROUNDUP(MONTH(Order_Details[[#This Row],[Order Date]])/3, 0)</f>
        <v>2</v>
      </c>
    </row>
    <row r="296" spans="1:14">
      <c r="A296" s="1" t="s">
        <v>277</v>
      </c>
      <c r="B296" s="1">
        <v>49</v>
      </c>
      <c r="C296" s="1">
        <v>-31</v>
      </c>
      <c r="D296" s="1">
        <v>2</v>
      </c>
      <c r="E296" s="1" t="s">
        <v>1076</v>
      </c>
      <c r="F296" s="1" t="s">
        <v>1102</v>
      </c>
      <c r="G296" s="7" t="str">
        <f>_xlfn.XLOOKUP(Order_Details[[#This Row],[Order ID]], List_of_orders[Order ID], List_of_orders[State])</f>
        <v>Uttar Pradesh</v>
      </c>
      <c r="H296" s="10">
        <f>_xlfn.XLOOKUP(Order_Details[[#This Row],[Order ID]], List_of_orders[Order ID], List_of_orders[Order Date (Clean)])</f>
        <v>43275</v>
      </c>
      <c r="I296" s="7" t="str">
        <f>_xlfn.XLOOKUP(Order_Details[[#This Row],[Order ID]], List_of_orders[Order ID], List_of_orders[CustomerName])</f>
        <v>Kritika</v>
      </c>
      <c r="J296" s="7" t="str">
        <f>_xlfn.XLOOKUP(Order_Details[[#This Row],[Order ID]], List_of_orders[Order ID], List_of_orders[City])</f>
        <v>Lucknow</v>
      </c>
      <c r="K296" s="8" t="str">
        <f>TEXT(Order_Details[[#This Row],[Order Date]], "YY-MMM")</f>
        <v>18-Jun</v>
      </c>
      <c r="L296" s="11">
        <f>Order_Details[[#This Row],[Profit]]/Order_Details[[#This Row],[Amount]]</f>
        <v>-0.63265306122448983</v>
      </c>
      <c r="M296" s="8">
        <f>YEAR(Order_Details[[#This Row],[Order Date]])</f>
        <v>2018</v>
      </c>
      <c r="N296" s="8">
        <f>ROUNDUP(MONTH(Order_Details[[#This Row],[Order Date]])/3, 0)</f>
        <v>2</v>
      </c>
    </row>
    <row r="297" spans="1:14">
      <c r="A297" s="1" t="s">
        <v>277</v>
      </c>
      <c r="B297" s="1">
        <v>34</v>
      </c>
      <c r="C297" s="1">
        <v>-13</v>
      </c>
      <c r="D297" s="1">
        <v>5</v>
      </c>
      <c r="E297" s="1" t="s">
        <v>1076</v>
      </c>
      <c r="F297" s="1" t="s">
        <v>1112</v>
      </c>
      <c r="G297" s="7" t="str">
        <f>_xlfn.XLOOKUP(Order_Details[[#This Row],[Order ID]], List_of_orders[Order ID], List_of_orders[State])</f>
        <v>Uttar Pradesh</v>
      </c>
      <c r="H297" s="10">
        <f>_xlfn.XLOOKUP(Order_Details[[#This Row],[Order ID]], List_of_orders[Order ID], List_of_orders[Order Date (Clean)])</f>
        <v>43275</v>
      </c>
      <c r="I297" s="7" t="str">
        <f>_xlfn.XLOOKUP(Order_Details[[#This Row],[Order ID]], List_of_orders[Order ID], List_of_orders[CustomerName])</f>
        <v>Kritika</v>
      </c>
      <c r="J297" s="7" t="str">
        <f>_xlfn.XLOOKUP(Order_Details[[#This Row],[Order ID]], List_of_orders[Order ID], List_of_orders[City])</f>
        <v>Lucknow</v>
      </c>
      <c r="K297" s="8" t="str">
        <f>TEXT(Order_Details[[#This Row],[Order Date]], "YY-MMM")</f>
        <v>18-Jun</v>
      </c>
      <c r="L297" s="11">
        <f>Order_Details[[#This Row],[Profit]]/Order_Details[[#This Row],[Amount]]</f>
        <v>-0.38235294117647056</v>
      </c>
      <c r="M297" s="8">
        <f>YEAR(Order_Details[[#This Row],[Order Date]])</f>
        <v>2018</v>
      </c>
      <c r="N297" s="8">
        <f>ROUNDUP(MONTH(Order_Details[[#This Row],[Order Date]])/3, 0)</f>
        <v>2</v>
      </c>
    </row>
    <row r="298" spans="1:14">
      <c r="A298" s="1" t="s">
        <v>277</v>
      </c>
      <c r="B298" s="1">
        <v>21</v>
      </c>
      <c r="C298" s="1">
        <v>-5</v>
      </c>
      <c r="D298" s="1">
        <v>1</v>
      </c>
      <c r="E298" s="1" t="s">
        <v>1077</v>
      </c>
      <c r="F298" s="1" t="s">
        <v>1115</v>
      </c>
      <c r="G298" s="7" t="str">
        <f>_xlfn.XLOOKUP(Order_Details[[#This Row],[Order ID]], List_of_orders[Order ID], List_of_orders[State])</f>
        <v>Uttar Pradesh</v>
      </c>
      <c r="H298" s="10">
        <f>_xlfn.XLOOKUP(Order_Details[[#This Row],[Order ID]], List_of_orders[Order ID], List_of_orders[Order Date (Clean)])</f>
        <v>43275</v>
      </c>
      <c r="I298" s="7" t="str">
        <f>_xlfn.XLOOKUP(Order_Details[[#This Row],[Order ID]], List_of_orders[Order ID], List_of_orders[CustomerName])</f>
        <v>Kritika</v>
      </c>
      <c r="J298" s="7" t="str">
        <f>_xlfn.XLOOKUP(Order_Details[[#This Row],[Order ID]], List_of_orders[Order ID], List_of_orders[City])</f>
        <v>Lucknow</v>
      </c>
      <c r="K298" s="8" t="str">
        <f>TEXT(Order_Details[[#This Row],[Order Date]], "YY-MMM")</f>
        <v>18-Jun</v>
      </c>
      <c r="L298" s="11">
        <f>Order_Details[[#This Row],[Profit]]/Order_Details[[#This Row],[Amount]]</f>
        <v>-0.23809523809523808</v>
      </c>
      <c r="M298" s="8">
        <f>YEAR(Order_Details[[#This Row],[Order Date]])</f>
        <v>2018</v>
      </c>
      <c r="N298" s="8">
        <f>ROUNDUP(MONTH(Order_Details[[#This Row],[Order Date]])/3, 0)</f>
        <v>2</v>
      </c>
    </row>
    <row r="299" spans="1:14">
      <c r="A299" s="1" t="s">
        <v>280</v>
      </c>
      <c r="B299" s="1">
        <v>129</v>
      </c>
      <c r="C299" s="1">
        <v>-75</v>
      </c>
      <c r="D299" s="1">
        <v>5</v>
      </c>
      <c r="E299" s="1" t="s">
        <v>1076</v>
      </c>
      <c r="F299" s="1" t="s">
        <v>1111</v>
      </c>
      <c r="G299" s="7" t="str">
        <f>_xlfn.XLOOKUP(Order_Details[[#This Row],[Order ID]], List_of_orders[Order ID], List_of_orders[State])</f>
        <v>Maharashtra</v>
      </c>
      <c r="H299" s="10">
        <f>_xlfn.XLOOKUP(Order_Details[[#This Row],[Order ID]], List_of_orders[Order ID], List_of_orders[Order Date (Clean)])</f>
        <v>43276</v>
      </c>
      <c r="I299" s="7" t="str">
        <f>_xlfn.XLOOKUP(Order_Details[[#This Row],[Order ID]], List_of_orders[Order ID], List_of_orders[CustomerName])</f>
        <v>Shubhi</v>
      </c>
      <c r="J299" s="7" t="str">
        <f>_xlfn.XLOOKUP(Order_Details[[#This Row],[Order ID]], List_of_orders[Order ID], List_of_orders[City])</f>
        <v>Mumbai</v>
      </c>
      <c r="K299" s="8" t="str">
        <f>TEXT(Order_Details[[#This Row],[Order Date]], "YY-MMM")</f>
        <v>18-Jun</v>
      </c>
      <c r="L299" s="11">
        <f>Order_Details[[#This Row],[Profit]]/Order_Details[[#This Row],[Amount]]</f>
        <v>-0.58139534883720934</v>
      </c>
      <c r="M299" s="8">
        <f>YEAR(Order_Details[[#This Row],[Order Date]])</f>
        <v>2018</v>
      </c>
      <c r="N299" s="8">
        <f>ROUNDUP(MONTH(Order_Details[[#This Row],[Order Date]])/3, 0)</f>
        <v>2</v>
      </c>
    </row>
    <row r="300" spans="1:14">
      <c r="A300" s="1" t="s">
        <v>280</v>
      </c>
      <c r="B300" s="1">
        <v>44</v>
      </c>
      <c r="C300" s="1">
        <v>-32</v>
      </c>
      <c r="D300" s="1">
        <v>3</v>
      </c>
      <c r="E300" s="1" t="s">
        <v>1076</v>
      </c>
      <c r="F300" s="1" t="s">
        <v>1102</v>
      </c>
      <c r="G300" s="7" t="str">
        <f>_xlfn.XLOOKUP(Order_Details[[#This Row],[Order ID]], List_of_orders[Order ID], List_of_orders[State])</f>
        <v>Maharashtra</v>
      </c>
      <c r="H300" s="10">
        <f>_xlfn.XLOOKUP(Order_Details[[#This Row],[Order ID]], List_of_orders[Order ID], List_of_orders[Order Date (Clean)])</f>
        <v>43276</v>
      </c>
      <c r="I300" s="7" t="str">
        <f>_xlfn.XLOOKUP(Order_Details[[#This Row],[Order ID]], List_of_orders[Order ID], List_of_orders[CustomerName])</f>
        <v>Shubhi</v>
      </c>
      <c r="J300" s="7" t="str">
        <f>_xlfn.XLOOKUP(Order_Details[[#This Row],[Order ID]], List_of_orders[Order ID], List_of_orders[City])</f>
        <v>Mumbai</v>
      </c>
      <c r="K300" s="8" t="str">
        <f>TEXT(Order_Details[[#This Row],[Order Date]], "YY-MMM")</f>
        <v>18-Jun</v>
      </c>
      <c r="L300" s="11">
        <f>Order_Details[[#This Row],[Profit]]/Order_Details[[#This Row],[Amount]]</f>
        <v>-0.72727272727272729</v>
      </c>
      <c r="M300" s="8">
        <f>YEAR(Order_Details[[#This Row],[Order Date]])</f>
        <v>2018</v>
      </c>
      <c r="N300" s="8">
        <f>ROUNDUP(MONTH(Order_Details[[#This Row],[Order Date]])/3, 0)</f>
        <v>2</v>
      </c>
    </row>
    <row r="301" spans="1:14">
      <c r="A301" s="1" t="s">
        <v>280</v>
      </c>
      <c r="B301" s="1">
        <v>7</v>
      </c>
      <c r="C301" s="1">
        <v>-3</v>
      </c>
      <c r="D301" s="1">
        <v>2</v>
      </c>
      <c r="E301" s="1" t="s">
        <v>1076</v>
      </c>
      <c r="F301" s="1" t="s">
        <v>1103</v>
      </c>
      <c r="G301" s="7" t="str">
        <f>_xlfn.XLOOKUP(Order_Details[[#This Row],[Order ID]], List_of_orders[Order ID], List_of_orders[State])</f>
        <v>Maharashtra</v>
      </c>
      <c r="H301" s="10">
        <f>_xlfn.XLOOKUP(Order_Details[[#This Row],[Order ID]], List_of_orders[Order ID], List_of_orders[Order Date (Clean)])</f>
        <v>43276</v>
      </c>
      <c r="I301" s="7" t="str">
        <f>_xlfn.XLOOKUP(Order_Details[[#This Row],[Order ID]], List_of_orders[Order ID], List_of_orders[CustomerName])</f>
        <v>Shubhi</v>
      </c>
      <c r="J301" s="7" t="str">
        <f>_xlfn.XLOOKUP(Order_Details[[#This Row],[Order ID]], List_of_orders[Order ID], List_of_orders[City])</f>
        <v>Mumbai</v>
      </c>
      <c r="K301" s="8" t="str">
        <f>TEXT(Order_Details[[#This Row],[Order Date]], "YY-MMM")</f>
        <v>18-Jun</v>
      </c>
      <c r="L301" s="11">
        <f>Order_Details[[#This Row],[Profit]]/Order_Details[[#This Row],[Amount]]</f>
        <v>-0.42857142857142855</v>
      </c>
      <c r="M301" s="8">
        <f>YEAR(Order_Details[[#This Row],[Order Date]])</f>
        <v>2018</v>
      </c>
      <c r="N301" s="8">
        <f>ROUNDUP(MONTH(Order_Details[[#This Row],[Order Date]])/3, 0)</f>
        <v>2</v>
      </c>
    </row>
    <row r="302" spans="1:14">
      <c r="A302" s="1" t="s">
        <v>283</v>
      </c>
      <c r="B302" s="1">
        <v>10</v>
      </c>
      <c r="C302" s="1">
        <v>-8</v>
      </c>
      <c r="D302" s="1">
        <v>2</v>
      </c>
      <c r="E302" s="1" t="s">
        <v>1076</v>
      </c>
      <c r="F302" s="1" t="s">
        <v>1117</v>
      </c>
      <c r="G302" s="7" t="str">
        <f>_xlfn.XLOOKUP(Order_Details[[#This Row],[Order ID]], List_of_orders[Order ID], List_of_orders[State])</f>
        <v>Madhya Pradesh</v>
      </c>
      <c r="H302" s="10">
        <f>_xlfn.XLOOKUP(Order_Details[[#This Row],[Order ID]], List_of_orders[Order ID], List_of_orders[Order Date (Clean)])</f>
        <v>43277</v>
      </c>
      <c r="I302" s="7" t="str">
        <f>_xlfn.XLOOKUP(Order_Details[[#This Row],[Order ID]], List_of_orders[Order ID], List_of_orders[CustomerName])</f>
        <v>Maithilee</v>
      </c>
      <c r="J302" s="7" t="str">
        <f>_xlfn.XLOOKUP(Order_Details[[#This Row],[Order ID]], List_of_orders[Order ID], List_of_orders[City])</f>
        <v>Indore</v>
      </c>
      <c r="K302" s="8" t="str">
        <f>TEXT(Order_Details[[#This Row],[Order Date]], "YY-MMM")</f>
        <v>18-Jun</v>
      </c>
      <c r="L302" s="11">
        <f>Order_Details[[#This Row],[Profit]]/Order_Details[[#This Row],[Amount]]</f>
        <v>-0.8</v>
      </c>
      <c r="M302" s="8">
        <f>YEAR(Order_Details[[#This Row],[Order Date]])</f>
        <v>2018</v>
      </c>
      <c r="N302" s="8">
        <f>ROUNDUP(MONTH(Order_Details[[#This Row],[Order Date]])/3, 0)</f>
        <v>2</v>
      </c>
    </row>
    <row r="303" spans="1:14">
      <c r="A303" s="1" t="s">
        <v>283</v>
      </c>
      <c r="B303" s="1">
        <v>33</v>
      </c>
      <c r="C303" s="1">
        <v>-29</v>
      </c>
      <c r="D303" s="1">
        <v>3</v>
      </c>
      <c r="E303" s="1" t="s">
        <v>1076</v>
      </c>
      <c r="F303" s="1" t="s">
        <v>1111</v>
      </c>
      <c r="G303" s="7" t="str">
        <f>_xlfn.XLOOKUP(Order_Details[[#This Row],[Order ID]], List_of_orders[Order ID], List_of_orders[State])</f>
        <v>Madhya Pradesh</v>
      </c>
      <c r="H303" s="10">
        <f>_xlfn.XLOOKUP(Order_Details[[#This Row],[Order ID]], List_of_orders[Order ID], List_of_orders[Order Date (Clean)])</f>
        <v>43277</v>
      </c>
      <c r="I303" s="7" t="str">
        <f>_xlfn.XLOOKUP(Order_Details[[#This Row],[Order ID]], List_of_orders[Order ID], List_of_orders[CustomerName])</f>
        <v>Maithilee</v>
      </c>
      <c r="J303" s="7" t="str">
        <f>_xlfn.XLOOKUP(Order_Details[[#This Row],[Order ID]], List_of_orders[Order ID], List_of_orders[City])</f>
        <v>Indore</v>
      </c>
      <c r="K303" s="8" t="str">
        <f>TEXT(Order_Details[[#This Row],[Order Date]], "YY-MMM")</f>
        <v>18-Jun</v>
      </c>
      <c r="L303" s="11">
        <f>Order_Details[[#This Row],[Profit]]/Order_Details[[#This Row],[Amount]]</f>
        <v>-0.87878787878787878</v>
      </c>
      <c r="M303" s="8">
        <f>YEAR(Order_Details[[#This Row],[Order Date]])</f>
        <v>2018</v>
      </c>
      <c r="N303" s="8">
        <f>ROUNDUP(MONTH(Order_Details[[#This Row],[Order Date]])/3, 0)</f>
        <v>2</v>
      </c>
    </row>
    <row r="304" spans="1:14">
      <c r="A304" s="1" t="s">
        <v>283</v>
      </c>
      <c r="B304" s="1">
        <v>98</v>
      </c>
      <c r="C304" s="1">
        <v>-45</v>
      </c>
      <c r="D304" s="1">
        <v>2</v>
      </c>
      <c r="E304" s="1" t="s">
        <v>1075</v>
      </c>
      <c r="F304" s="1" t="s">
        <v>1108</v>
      </c>
      <c r="G304" s="7" t="str">
        <f>_xlfn.XLOOKUP(Order_Details[[#This Row],[Order ID]], List_of_orders[Order ID], List_of_orders[State])</f>
        <v>Madhya Pradesh</v>
      </c>
      <c r="H304" s="10">
        <f>_xlfn.XLOOKUP(Order_Details[[#This Row],[Order ID]], List_of_orders[Order ID], List_of_orders[Order Date (Clean)])</f>
        <v>43277</v>
      </c>
      <c r="I304" s="7" t="str">
        <f>_xlfn.XLOOKUP(Order_Details[[#This Row],[Order ID]], List_of_orders[Order ID], List_of_orders[CustomerName])</f>
        <v>Maithilee</v>
      </c>
      <c r="J304" s="7" t="str">
        <f>_xlfn.XLOOKUP(Order_Details[[#This Row],[Order ID]], List_of_orders[Order ID], List_of_orders[City])</f>
        <v>Indore</v>
      </c>
      <c r="K304" s="8" t="str">
        <f>TEXT(Order_Details[[#This Row],[Order Date]], "YY-MMM")</f>
        <v>18-Jun</v>
      </c>
      <c r="L304" s="11">
        <f>Order_Details[[#This Row],[Profit]]/Order_Details[[#This Row],[Amount]]</f>
        <v>-0.45918367346938777</v>
      </c>
      <c r="M304" s="8">
        <f>YEAR(Order_Details[[#This Row],[Order Date]])</f>
        <v>2018</v>
      </c>
      <c r="N304" s="8">
        <f>ROUNDUP(MONTH(Order_Details[[#This Row],[Order Date]])/3, 0)</f>
        <v>2</v>
      </c>
    </row>
    <row r="305" spans="1:14">
      <c r="A305" s="1" t="s">
        <v>283</v>
      </c>
      <c r="B305" s="1">
        <v>33</v>
      </c>
      <c r="C305" s="1">
        <v>-12</v>
      </c>
      <c r="D305" s="1">
        <v>5</v>
      </c>
      <c r="E305" s="1" t="s">
        <v>1076</v>
      </c>
      <c r="F305" s="1" t="s">
        <v>1103</v>
      </c>
      <c r="G305" s="7" t="str">
        <f>_xlfn.XLOOKUP(Order_Details[[#This Row],[Order ID]], List_of_orders[Order ID], List_of_orders[State])</f>
        <v>Madhya Pradesh</v>
      </c>
      <c r="H305" s="10">
        <f>_xlfn.XLOOKUP(Order_Details[[#This Row],[Order ID]], List_of_orders[Order ID], List_of_orders[Order Date (Clean)])</f>
        <v>43277</v>
      </c>
      <c r="I305" s="7" t="str">
        <f>_xlfn.XLOOKUP(Order_Details[[#This Row],[Order ID]], List_of_orders[Order ID], List_of_orders[CustomerName])</f>
        <v>Maithilee</v>
      </c>
      <c r="J305" s="7" t="str">
        <f>_xlfn.XLOOKUP(Order_Details[[#This Row],[Order ID]], List_of_orders[Order ID], List_of_orders[City])</f>
        <v>Indore</v>
      </c>
      <c r="K305" s="8" t="str">
        <f>TEXT(Order_Details[[#This Row],[Order Date]], "YY-MMM")</f>
        <v>18-Jun</v>
      </c>
      <c r="L305" s="11">
        <f>Order_Details[[#This Row],[Profit]]/Order_Details[[#This Row],[Amount]]</f>
        <v>-0.36363636363636365</v>
      </c>
      <c r="M305" s="8">
        <f>YEAR(Order_Details[[#This Row],[Order Date]])</f>
        <v>2018</v>
      </c>
      <c r="N305" s="8">
        <f>ROUNDUP(MONTH(Order_Details[[#This Row],[Order Date]])/3, 0)</f>
        <v>2</v>
      </c>
    </row>
    <row r="306" spans="1:14">
      <c r="A306" s="1" t="s">
        <v>286</v>
      </c>
      <c r="B306" s="1">
        <v>75</v>
      </c>
      <c r="C306" s="1">
        <v>0</v>
      </c>
      <c r="D306" s="1">
        <v>3</v>
      </c>
      <c r="E306" s="1" t="s">
        <v>1076</v>
      </c>
      <c r="F306" s="1" t="s">
        <v>1111</v>
      </c>
      <c r="G306" s="7" t="str">
        <f>_xlfn.XLOOKUP(Order_Details[[#This Row],[Order ID]], List_of_orders[Order ID], List_of_orders[State])</f>
        <v>Maharashtra</v>
      </c>
      <c r="H306" s="10">
        <f>_xlfn.XLOOKUP(Order_Details[[#This Row],[Order ID]], List_of_orders[Order ID], List_of_orders[Order Date (Clean)])</f>
        <v>43278</v>
      </c>
      <c r="I306" s="7" t="str">
        <f>_xlfn.XLOOKUP(Order_Details[[#This Row],[Order ID]], List_of_orders[Order ID], List_of_orders[CustomerName])</f>
        <v>Shaily</v>
      </c>
      <c r="J306" s="7" t="str">
        <f>_xlfn.XLOOKUP(Order_Details[[#This Row],[Order ID]], List_of_orders[Order ID], List_of_orders[City])</f>
        <v>Mumbai</v>
      </c>
      <c r="K306" s="8" t="str">
        <f>TEXT(Order_Details[[#This Row],[Order Date]], "YY-MMM")</f>
        <v>18-Jun</v>
      </c>
      <c r="L306" s="11">
        <f>Order_Details[[#This Row],[Profit]]/Order_Details[[#This Row],[Amount]]</f>
        <v>0</v>
      </c>
      <c r="M306" s="8">
        <f>YEAR(Order_Details[[#This Row],[Order Date]])</f>
        <v>2018</v>
      </c>
      <c r="N306" s="8">
        <f>ROUNDUP(MONTH(Order_Details[[#This Row],[Order Date]])/3, 0)</f>
        <v>2</v>
      </c>
    </row>
    <row r="307" spans="1:14">
      <c r="A307" s="1" t="s">
        <v>286</v>
      </c>
      <c r="B307" s="1">
        <v>424</v>
      </c>
      <c r="C307" s="1">
        <v>-17</v>
      </c>
      <c r="D307" s="1">
        <v>9</v>
      </c>
      <c r="E307" s="1" t="s">
        <v>1075</v>
      </c>
      <c r="F307" s="1" t="s">
        <v>1108</v>
      </c>
      <c r="G307" s="7" t="str">
        <f>_xlfn.XLOOKUP(Order_Details[[#This Row],[Order ID]], List_of_orders[Order ID], List_of_orders[State])</f>
        <v>Maharashtra</v>
      </c>
      <c r="H307" s="10">
        <f>_xlfn.XLOOKUP(Order_Details[[#This Row],[Order ID]], List_of_orders[Order ID], List_of_orders[Order Date (Clean)])</f>
        <v>43278</v>
      </c>
      <c r="I307" s="7" t="str">
        <f>_xlfn.XLOOKUP(Order_Details[[#This Row],[Order ID]], List_of_orders[Order ID], List_of_orders[CustomerName])</f>
        <v>Shaily</v>
      </c>
      <c r="J307" s="7" t="str">
        <f>_xlfn.XLOOKUP(Order_Details[[#This Row],[Order ID]], List_of_orders[Order ID], List_of_orders[City])</f>
        <v>Mumbai</v>
      </c>
      <c r="K307" s="8" t="str">
        <f>TEXT(Order_Details[[#This Row],[Order Date]], "YY-MMM")</f>
        <v>18-Jun</v>
      </c>
      <c r="L307" s="11">
        <f>Order_Details[[#This Row],[Profit]]/Order_Details[[#This Row],[Amount]]</f>
        <v>-4.0094339622641507E-2</v>
      </c>
      <c r="M307" s="8">
        <f>YEAR(Order_Details[[#This Row],[Order Date]])</f>
        <v>2018</v>
      </c>
      <c r="N307" s="8">
        <f>ROUNDUP(MONTH(Order_Details[[#This Row],[Order Date]])/3, 0)</f>
        <v>2</v>
      </c>
    </row>
    <row r="308" spans="1:14">
      <c r="A308" s="1" t="s">
        <v>286</v>
      </c>
      <c r="B308" s="1">
        <v>31</v>
      </c>
      <c r="C308" s="1">
        <v>-3</v>
      </c>
      <c r="D308" s="1">
        <v>4</v>
      </c>
      <c r="E308" s="1" t="s">
        <v>1076</v>
      </c>
      <c r="F308" s="1" t="s">
        <v>1106</v>
      </c>
      <c r="G308" s="7" t="str">
        <f>_xlfn.XLOOKUP(Order_Details[[#This Row],[Order ID]], List_of_orders[Order ID], List_of_orders[State])</f>
        <v>Maharashtra</v>
      </c>
      <c r="H308" s="10">
        <f>_xlfn.XLOOKUP(Order_Details[[#This Row],[Order ID]], List_of_orders[Order ID], List_of_orders[Order Date (Clean)])</f>
        <v>43278</v>
      </c>
      <c r="I308" s="7" t="str">
        <f>_xlfn.XLOOKUP(Order_Details[[#This Row],[Order ID]], List_of_orders[Order ID], List_of_orders[CustomerName])</f>
        <v>Shaily</v>
      </c>
      <c r="J308" s="7" t="str">
        <f>_xlfn.XLOOKUP(Order_Details[[#This Row],[Order ID]], List_of_orders[Order ID], List_of_orders[City])</f>
        <v>Mumbai</v>
      </c>
      <c r="K308" s="8" t="str">
        <f>TEXT(Order_Details[[#This Row],[Order Date]], "YY-MMM")</f>
        <v>18-Jun</v>
      </c>
      <c r="L308" s="11">
        <f>Order_Details[[#This Row],[Profit]]/Order_Details[[#This Row],[Amount]]</f>
        <v>-9.6774193548387094E-2</v>
      </c>
      <c r="M308" s="8">
        <f>YEAR(Order_Details[[#This Row],[Order Date]])</f>
        <v>2018</v>
      </c>
      <c r="N308" s="8">
        <f>ROUNDUP(MONTH(Order_Details[[#This Row],[Order Date]])/3, 0)</f>
        <v>2</v>
      </c>
    </row>
    <row r="309" spans="1:14">
      <c r="A309" s="1" t="s">
        <v>286</v>
      </c>
      <c r="B309" s="1">
        <v>941</v>
      </c>
      <c r="C309" s="1">
        <v>-203</v>
      </c>
      <c r="D309" s="1">
        <v>3</v>
      </c>
      <c r="E309" s="1" t="s">
        <v>1075</v>
      </c>
      <c r="F309" s="1" t="s">
        <v>1113</v>
      </c>
      <c r="G309" s="7" t="str">
        <f>_xlfn.XLOOKUP(Order_Details[[#This Row],[Order ID]], List_of_orders[Order ID], List_of_orders[State])</f>
        <v>Maharashtra</v>
      </c>
      <c r="H309" s="10">
        <f>_xlfn.XLOOKUP(Order_Details[[#This Row],[Order ID]], List_of_orders[Order ID], List_of_orders[Order Date (Clean)])</f>
        <v>43278</v>
      </c>
      <c r="I309" s="7" t="str">
        <f>_xlfn.XLOOKUP(Order_Details[[#This Row],[Order ID]], List_of_orders[Order ID], List_of_orders[CustomerName])</f>
        <v>Shaily</v>
      </c>
      <c r="J309" s="7" t="str">
        <f>_xlfn.XLOOKUP(Order_Details[[#This Row],[Order ID]], List_of_orders[Order ID], List_of_orders[City])</f>
        <v>Mumbai</v>
      </c>
      <c r="K309" s="8" t="str">
        <f>TEXT(Order_Details[[#This Row],[Order Date]], "YY-MMM")</f>
        <v>18-Jun</v>
      </c>
      <c r="L309" s="11">
        <f>Order_Details[[#This Row],[Profit]]/Order_Details[[#This Row],[Amount]]</f>
        <v>-0.21572794899043571</v>
      </c>
      <c r="M309" s="8">
        <f>YEAR(Order_Details[[#This Row],[Order Date]])</f>
        <v>2018</v>
      </c>
      <c r="N309" s="8">
        <f>ROUNDUP(MONTH(Order_Details[[#This Row],[Order Date]])/3, 0)</f>
        <v>2</v>
      </c>
    </row>
    <row r="310" spans="1:14">
      <c r="A310" s="1" t="s">
        <v>286</v>
      </c>
      <c r="B310" s="1">
        <v>306</v>
      </c>
      <c r="C310" s="1">
        <v>-147</v>
      </c>
      <c r="D310" s="1">
        <v>3</v>
      </c>
      <c r="E310" s="1" t="s">
        <v>1076</v>
      </c>
      <c r="F310" s="1" t="s">
        <v>1106</v>
      </c>
      <c r="G310" s="7" t="str">
        <f>_xlfn.XLOOKUP(Order_Details[[#This Row],[Order ID]], List_of_orders[Order ID], List_of_orders[State])</f>
        <v>Maharashtra</v>
      </c>
      <c r="H310" s="10">
        <f>_xlfn.XLOOKUP(Order_Details[[#This Row],[Order ID]], List_of_orders[Order ID], List_of_orders[Order Date (Clean)])</f>
        <v>43278</v>
      </c>
      <c r="I310" s="7" t="str">
        <f>_xlfn.XLOOKUP(Order_Details[[#This Row],[Order ID]], List_of_orders[Order ID], List_of_orders[CustomerName])</f>
        <v>Shaily</v>
      </c>
      <c r="J310" s="7" t="str">
        <f>_xlfn.XLOOKUP(Order_Details[[#This Row],[Order ID]], List_of_orders[Order ID], List_of_orders[City])</f>
        <v>Mumbai</v>
      </c>
      <c r="K310" s="8" t="str">
        <f>TEXT(Order_Details[[#This Row],[Order Date]], "YY-MMM")</f>
        <v>18-Jun</v>
      </c>
      <c r="L310" s="11">
        <f>Order_Details[[#This Row],[Profit]]/Order_Details[[#This Row],[Amount]]</f>
        <v>-0.48039215686274511</v>
      </c>
      <c r="M310" s="8">
        <f>YEAR(Order_Details[[#This Row],[Order Date]])</f>
        <v>2018</v>
      </c>
      <c r="N310" s="8">
        <f>ROUNDUP(MONTH(Order_Details[[#This Row],[Order Date]])/3, 0)</f>
        <v>2</v>
      </c>
    </row>
    <row r="311" spans="1:14">
      <c r="A311" s="1" t="s">
        <v>289</v>
      </c>
      <c r="B311" s="1">
        <v>42</v>
      </c>
      <c r="C311" s="1">
        <v>-23</v>
      </c>
      <c r="D311" s="1">
        <v>2</v>
      </c>
      <c r="E311" s="1" t="s">
        <v>1075</v>
      </c>
      <c r="F311" s="1" t="s">
        <v>1116</v>
      </c>
      <c r="G311" s="7" t="str">
        <f>_xlfn.XLOOKUP(Order_Details[[#This Row],[Order ID]], List_of_orders[Order ID], List_of_orders[State])</f>
        <v>Madhya Pradesh</v>
      </c>
      <c r="H311" s="10">
        <f>_xlfn.XLOOKUP(Order_Details[[#This Row],[Order ID]], List_of_orders[Order ID], List_of_orders[Order Date (Clean)])</f>
        <v>43279</v>
      </c>
      <c r="I311" s="7" t="str">
        <f>_xlfn.XLOOKUP(Order_Details[[#This Row],[Order ID]], List_of_orders[Order ID], List_of_orders[CustomerName])</f>
        <v>Ekta</v>
      </c>
      <c r="J311" s="7" t="str">
        <f>_xlfn.XLOOKUP(Order_Details[[#This Row],[Order ID]], List_of_orders[Order ID], List_of_orders[City])</f>
        <v>Indore</v>
      </c>
      <c r="K311" s="8" t="str">
        <f>TEXT(Order_Details[[#This Row],[Order Date]], "YY-MMM")</f>
        <v>18-Jun</v>
      </c>
      <c r="L311" s="11">
        <f>Order_Details[[#This Row],[Profit]]/Order_Details[[#This Row],[Amount]]</f>
        <v>-0.54761904761904767</v>
      </c>
      <c r="M311" s="8">
        <f>YEAR(Order_Details[[#This Row],[Order Date]])</f>
        <v>2018</v>
      </c>
      <c r="N311" s="8">
        <f>ROUNDUP(MONTH(Order_Details[[#This Row],[Order Date]])/3, 0)</f>
        <v>2</v>
      </c>
    </row>
    <row r="312" spans="1:14">
      <c r="A312" s="1" t="s">
        <v>289</v>
      </c>
      <c r="B312" s="1">
        <v>17</v>
      </c>
      <c r="C312" s="1">
        <v>-3</v>
      </c>
      <c r="D312" s="1">
        <v>2</v>
      </c>
      <c r="E312" s="1" t="s">
        <v>1076</v>
      </c>
      <c r="F312" s="1" t="s">
        <v>1102</v>
      </c>
      <c r="G312" s="7" t="str">
        <f>_xlfn.XLOOKUP(Order_Details[[#This Row],[Order ID]], List_of_orders[Order ID], List_of_orders[State])</f>
        <v>Madhya Pradesh</v>
      </c>
      <c r="H312" s="10">
        <f>_xlfn.XLOOKUP(Order_Details[[#This Row],[Order ID]], List_of_orders[Order ID], List_of_orders[Order Date (Clean)])</f>
        <v>43279</v>
      </c>
      <c r="I312" s="7" t="str">
        <f>_xlfn.XLOOKUP(Order_Details[[#This Row],[Order ID]], List_of_orders[Order ID], List_of_orders[CustomerName])</f>
        <v>Ekta</v>
      </c>
      <c r="J312" s="7" t="str">
        <f>_xlfn.XLOOKUP(Order_Details[[#This Row],[Order ID]], List_of_orders[Order ID], List_of_orders[City])</f>
        <v>Indore</v>
      </c>
      <c r="K312" s="8" t="str">
        <f>TEXT(Order_Details[[#This Row],[Order Date]], "YY-MMM")</f>
        <v>18-Jun</v>
      </c>
      <c r="L312" s="11">
        <f>Order_Details[[#This Row],[Profit]]/Order_Details[[#This Row],[Amount]]</f>
        <v>-0.17647058823529413</v>
      </c>
      <c r="M312" s="8">
        <f>YEAR(Order_Details[[#This Row],[Order Date]])</f>
        <v>2018</v>
      </c>
      <c r="N312" s="8">
        <f>ROUNDUP(MONTH(Order_Details[[#This Row],[Order Date]])/3, 0)</f>
        <v>2</v>
      </c>
    </row>
    <row r="313" spans="1:14">
      <c r="A313" s="1" t="s">
        <v>289</v>
      </c>
      <c r="B313" s="1">
        <v>32</v>
      </c>
      <c r="C313" s="1">
        <v>-5</v>
      </c>
      <c r="D313" s="1">
        <v>5</v>
      </c>
      <c r="E313" s="1" t="s">
        <v>1076</v>
      </c>
      <c r="F313" s="1" t="s">
        <v>1103</v>
      </c>
      <c r="G313" s="7" t="str">
        <f>_xlfn.XLOOKUP(Order_Details[[#This Row],[Order ID]], List_of_orders[Order ID], List_of_orders[State])</f>
        <v>Madhya Pradesh</v>
      </c>
      <c r="H313" s="10">
        <f>_xlfn.XLOOKUP(Order_Details[[#This Row],[Order ID]], List_of_orders[Order ID], List_of_orders[Order Date (Clean)])</f>
        <v>43279</v>
      </c>
      <c r="I313" s="7" t="str">
        <f>_xlfn.XLOOKUP(Order_Details[[#This Row],[Order ID]], List_of_orders[Order ID], List_of_orders[CustomerName])</f>
        <v>Ekta</v>
      </c>
      <c r="J313" s="7" t="str">
        <f>_xlfn.XLOOKUP(Order_Details[[#This Row],[Order ID]], List_of_orders[Order ID], List_of_orders[City])</f>
        <v>Indore</v>
      </c>
      <c r="K313" s="8" t="str">
        <f>TEXT(Order_Details[[#This Row],[Order Date]], "YY-MMM")</f>
        <v>18-Jun</v>
      </c>
      <c r="L313" s="11">
        <f>Order_Details[[#This Row],[Profit]]/Order_Details[[#This Row],[Amount]]</f>
        <v>-0.15625</v>
      </c>
      <c r="M313" s="8">
        <f>YEAR(Order_Details[[#This Row],[Order Date]])</f>
        <v>2018</v>
      </c>
      <c r="N313" s="8">
        <f>ROUNDUP(MONTH(Order_Details[[#This Row],[Order Date]])/3, 0)</f>
        <v>2</v>
      </c>
    </row>
    <row r="314" spans="1:14">
      <c r="A314" s="1" t="s">
        <v>289</v>
      </c>
      <c r="B314" s="1">
        <v>231</v>
      </c>
      <c r="C314" s="1">
        <v>-190</v>
      </c>
      <c r="D314" s="1">
        <v>9</v>
      </c>
      <c r="E314" s="1" t="s">
        <v>1076</v>
      </c>
      <c r="F314" s="1" t="s">
        <v>1103</v>
      </c>
      <c r="G314" s="7" t="str">
        <f>_xlfn.XLOOKUP(Order_Details[[#This Row],[Order ID]], List_of_orders[Order ID], List_of_orders[State])</f>
        <v>Madhya Pradesh</v>
      </c>
      <c r="H314" s="10">
        <f>_xlfn.XLOOKUP(Order_Details[[#This Row],[Order ID]], List_of_orders[Order ID], List_of_orders[Order Date (Clean)])</f>
        <v>43279</v>
      </c>
      <c r="I314" s="7" t="str">
        <f>_xlfn.XLOOKUP(Order_Details[[#This Row],[Order ID]], List_of_orders[Order ID], List_of_orders[CustomerName])</f>
        <v>Ekta</v>
      </c>
      <c r="J314" s="7" t="str">
        <f>_xlfn.XLOOKUP(Order_Details[[#This Row],[Order ID]], List_of_orders[Order ID], List_of_orders[City])</f>
        <v>Indore</v>
      </c>
      <c r="K314" s="8" t="str">
        <f>TEXT(Order_Details[[#This Row],[Order Date]], "YY-MMM")</f>
        <v>18-Jun</v>
      </c>
      <c r="L314" s="11">
        <f>Order_Details[[#This Row],[Profit]]/Order_Details[[#This Row],[Amount]]</f>
        <v>-0.82251082251082253</v>
      </c>
      <c r="M314" s="8">
        <f>YEAR(Order_Details[[#This Row],[Order Date]])</f>
        <v>2018</v>
      </c>
      <c r="N314" s="8">
        <f>ROUNDUP(MONTH(Order_Details[[#This Row],[Order Date]])/3, 0)</f>
        <v>2</v>
      </c>
    </row>
    <row r="315" spans="1:14">
      <c r="A315" s="1" t="s">
        <v>289</v>
      </c>
      <c r="B315" s="1">
        <v>22</v>
      </c>
      <c r="C315" s="1">
        <v>-15</v>
      </c>
      <c r="D315" s="1">
        <v>4</v>
      </c>
      <c r="E315" s="1" t="s">
        <v>1076</v>
      </c>
      <c r="F315" s="1" t="s">
        <v>1109</v>
      </c>
      <c r="G315" s="7" t="str">
        <f>_xlfn.XLOOKUP(Order_Details[[#This Row],[Order ID]], List_of_orders[Order ID], List_of_orders[State])</f>
        <v>Madhya Pradesh</v>
      </c>
      <c r="H315" s="10">
        <f>_xlfn.XLOOKUP(Order_Details[[#This Row],[Order ID]], List_of_orders[Order ID], List_of_orders[Order Date (Clean)])</f>
        <v>43279</v>
      </c>
      <c r="I315" s="7" t="str">
        <f>_xlfn.XLOOKUP(Order_Details[[#This Row],[Order ID]], List_of_orders[Order ID], List_of_orders[CustomerName])</f>
        <v>Ekta</v>
      </c>
      <c r="J315" s="7" t="str">
        <f>_xlfn.XLOOKUP(Order_Details[[#This Row],[Order ID]], List_of_orders[Order ID], List_of_orders[City])</f>
        <v>Indore</v>
      </c>
      <c r="K315" s="8" t="str">
        <f>TEXT(Order_Details[[#This Row],[Order Date]], "YY-MMM")</f>
        <v>18-Jun</v>
      </c>
      <c r="L315" s="11">
        <f>Order_Details[[#This Row],[Profit]]/Order_Details[[#This Row],[Amount]]</f>
        <v>-0.68181818181818177</v>
      </c>
      <c r="M315" s="8">
        <f>YEAR(Order_Details[[#This Row],[Order Date]])</f>
        <v>2018</v>
      </c>
      <c r="N315" s="8">
        <f>ROUNDUP(MONTH(Order_Details[[#This Row],[Order Date]])/3, 0)</f>
        <v>2</v>
      </c>
    </row>
    <row r="316" spans="1:14">
      <c r="A316" s="1" t="s">
        <v>289</v>
      </c>
      <c r="B316" s="1">
        <v>97</v>
      </c>
      <c r="C316" s="1">
        <v>-45</v>
      </c>
      <c r="D316" s="1">
        <v>4</v>
      </c>
      <c r="E316" s="1" t="s">
        <v>1076</v>
      </c>
      <c r="F316" s="1" t="s">
        <v>1106</v>
      </c>
      <c r="G316" s="7" t="str">
        <f>_xlfn.XLOOKUP(Order_Details[[#This Row],[Order ID]], List_of_orders[Order ID], List_of_orders[State])</f>
        <v>Madhya Pradesh</v>
      </c>
      <c r="H316" s="10">
        <f>_xlfn.XLOOKUP(Order_Details[[#This Row],[Order ID]], List_of_orders[Order ID], List_of_orders[Order Date (Clean)])</f>
        <v>43279</v>
      </c>
      <c r="I316" s="7" t="str">
        <f>_xlfn.XLOOKUP(Order_Details[[#This Row],[Order ID]], List_of_orders[Order ID], List_of_orders[CustomerName])</f>
        <v>Ekta</v>
      </c>
      <c r="J316" s="7" t="str">
        <f>_xlfn.XLOOKUP(Order_Details[[#This Row],[Order ID]], List_of_orders[Order ID], List_of_orders[City])</f>
        <v>Indore</v>
      </c>
      <c r="K316" s="8" t="str">
        <f>TEXT(Order_Details[[#This Row],[Order Date]], "YY-MMM")</f>
        <v>18-Jun</v>
      </c>
      <c r="L316" s="11">
        <f>Order_Details[[#This Row],[Profit]]/Order_Details[[#This Row],[Amount]]</f>
        <v>-0.46391752577319589</v>
      </c>
      <c r="M316" s="8">
        <f>YEAR(Order_Details[[#This Row],[Order Date]])</f>
        <v>2018</v>
      </c>
      <c r="N316" s="8">
        <f>ROUNDUP(MONTH(Order_Details[[#This Row],[Order Date]])/3, 0)</f>
        <v>2</v>
      </c>
    </row>
    <row r="317" spans="1:14">
      <c r="A317" s="1" t="s">
        <v>289</v>
      </c>
      <c r="B317" s="1">
        <v>47</v>
      </c>
      <c r="C317" s="1">
        <v>-27</v>
      </c>
      <c r="D317" s="1">
        <v>4</v>
      </c>
      <c r="E317" s="1" t="s">
        <v>1076</v>
      </c>
      <c r="F317" s="1" t="s">
        <v>1106</v>
      </c>
      <c r="G317" s="7" t="str">
        <f>_xlfn.XLOOKUP(Order_Details[[#This Row],[Order ID]], List_of_orders[Order ID], List_of_orders[State])</f>
        <v>Madhya Pradesh</v>
      </c>
      <c r="H317" s="10">
        <f>_xlfn.XLOOKUP(Order_Details[[#This Row],[Order ID]], List_of_orders[Order ID], List_of_orders[Order Date (Clean)])</f>
        <v>43279</v>
      </c>
      <c r="I317" s="7" t="str">
        <f>_xlfn.XLOOKUP(Order_Details[[#This Row],[Order ID]], List_of_orders[Order ID], List_of_orders[CustomerName])</f>
        <v>Ekta</v>
      </c>
      <c r="J317" s="7" t="str">
        <f>_xlfn.XLOOKUP(Order_Details[[#This Row],[Order ID]], List_of_orders[Order ID], List_of_orders[City])</f>
        <v>Indore</v>
      </c>
      <c r="K317" s="8" t="str">
        <f>TEXT(Order_Details[[#This Row],[Order Date]], "YY-MMM")</f>
        <v>18-Jun</v>
      </c>
      <c r="L317" s="11">
        <f>Order_Details[[#This Row],[Profit]]/Order_Details[[#This Row],[Amount]]</f>
        <v>-0.57446808510638303</v>
      </c>
      <c r="M317" s="8">
        <f>YEAR(Order_Details[[#This Row],[Order Date]])</f>
        <v>2018</v>
      </c>
      <c r="N317" s="8">
        <f>ROUNDUP(MONTH(Order_Details[[#This Row],[Order Date]])/3, 0)</f>
        <v>2</v>
      </c>
    </row>
    <row r="318" spans="1:14">
      <c r="A318" s="1" t="s">
        <v>289</v>
      </c>
      <c r="B318" s="1">
        <v>186</v>
      </c>
      <c r="C318" s="1">
        <v>-141</v>
      </c>
      <c r="D318" s="1">
        <v>9</v>
      </c>
      <c r="E318" s="1" t="s">
        <v>1076</v>
      </c>
      <c r="F318" s="1" t="s">
        <v>1111</v>
      </c>
      <c r="G318" s="7" t="str">
        <f>_xlfn.XLOOKUP(Order_Details[[#This Row],[Order ID]], List_of_orders[Order ID], List_of_orders[State])</f>
        <v>Madhya Pradesh</v>
      </c>
      <c r="H318" s="10">
        <f>_xlfn.XLOOKUP(Order_Details[[#This Row],[Order ID]], List_of_orders[Order ID], List_of_orders[Order Date (Clean)])</f>
        <v>43279</v>
      </c>
      <c r="I318" s="7" t="str">
        <f>_xlfn.XLOOKUP(Order_Details[[#This Row],[Order ID]], List_of_orders[Order ID], List_of_orders[CustomerName])</f>
        <v>Ekta</v>
      </c>
      <c r="J318" s="7" t="str">
        <f>_xlfn.XLOOKUP(Order_Details[[#This Row],[Order ID]], List_of_orders[Order ID], List_of_orders[City])</f>
        <v>Indore</v>
      </c>
      <c r="K318" s="8" t="str">
        <f>TEXT(Order_Details[[#This Row],[Order Date]], "YY-MMM")</f>
        <v>18-Jun</v>
      </c>
      <c r="L318" s="11">
        <f>Order_Details[[#This Row],[Profit]]/Order_Details[[#This Row],[Amount]]</f>
        <v>-0.75806451612903225</v>
      </c>
      <c r="M318" s="8">
        <f>YEAR(Order_Details[[#This Row],[Order Date]])</f>
        <v>2018</v>
      </c>
      <c r="N318" s="8">
        <f>ROUNDUP(MONTH(Order_Details[[#This Row],[Order Date]])/3, 0)</f>
        <v>2</v>
      </c>
    </row>
    <row r="319" spans="1:14">
      <c r="A319" s="1" t="s">
        <v>291</v>
      </c>
      <c r="B319" s="1">
        <v>126</v>
      </c>
      <c r="C319" s="1">
        <v>-63</v>
      </c>
      <c r="D319" s="1">
        <v>3</v>
      </c>
      <c r="E319" s="1" t="s">
        <v>1077</v>
      </c>
      <c r="F319" s="1" t="s">
        <v>1115</v>
      </c>
      <c r="G319" s="7" t="str">
        <f>_xlfn.XLOOKUP(Order_Details[[#This Row],[Order ID]], List_of_orders[Order ID], List_of_orders[State])</f>
        <v>Maharashtra</v>
      </c>
      <c r="H319" s="10">
        <f>_xlfn.XLOOKUP(Order_Details[[#This Row],[Order ID]], List_of_orders[Order ID], List_of_orders[Order Date (Clean)])</f>
        <v>43280</v>
      </c>
      <c r="I319" s="7" t="str">
        <f>_xlfn.XLOOKUP(Order_Details[[#This Row],[Order ID]], List_of_orders[Order ID], List_of_orders[CustomerName])</f>
        <v>Riya</v>
      </c>
      <c r="J319" s="7" t="str">
        <f>_xlfn.XLOOKUP(Order_Details[[#This Row],[Order ID]], List_of_orders[Order ID], List_of_orders[City])</f>
        <v>Mumbai</v>
      </c>
      <c r="K319" s="8" t="str">
        <f>TEXT(Order_Details[[#This Row],[Order Date]], "YY-MMM")</f>
        <v>18-Jun</v>
      </c>
      <c r="L319" s="11">
        <f>Order_Details[[#This Row],[Profit]]/Order_Details[[#This Row],[Amount]]</f>
        <v>-0.5</v>
      </c>
      <c r="M319" s="8">
        <f>YEAR(Order_Details[[#This Row],[Order Date]])</f>
        <v>2018</v>
      </c>
      <c r="N319" s="8">
        <f>ROUNDUP(MONTH(Order_Details[[#This Row],[Order Date]])/3, 0)</f>
        <v>2</v>
      </c>
    </row>
    <row r="320" spans="1:14">
      <c r="A320" s="1" t="s">
        <v>291</v>
      </c>
      <c r="B320" s="1">
        <v>102</v>
      </c>
      <c r="C320" s="1">
        <v>0</v>
      </c>
      <c r="D320" s="1">
        <v>3</v>
      </c>
      <c r="E320" s="1" t="s">
        <v>1077</v>
      </c>
      <c r="F320" s="1" t="s">
        <v>1105</v>
      </c>
      <c r="G320" s="7" t="str">
        <f>_xlfn.XLOOKUP(Order_Details[[#This Row],[Order ID]], List_of_orders[Order ID], List_of_orders[State])</f>
        <v>Maharashtra</v>
      </c>
      <c r="H320" s="10">
        <f>_xlfn.XLOOKUP(Order_Details[[#This Row],[Order ID]], List_of_orders[Order ID], List_of_orders[Order Date (Clean)])</f>
        <v>43280</v>
      </c>
      <c r="I320" s="7" t="str">
        <f>_xlfn.XLOOKUP(Order_Details[[#This Row],[Order ID]], List_of_orders[Order ID], List_of_orders[CustomerName])</f>
        <v>Riya</v>
      </c>
      <c r="J320" s="7" t="str">
        <f>_xlfn.XLOOKUP(Order_Details[[#This Row],[Order ID]], List_of_orders[Order ID], List_of_orders[City])</f>
        <v>Mumbai</v>
      </c>
      <c r="K320" s="8" t="str">
        <f>TEXT(Order_Details[[#This Row],[Order Date]], "YY-MMM")</f>
        <v>18-Jun</v>
      </c>
      <c r="L320" s="11">
        <f>Order_Details[[#This Row],[Profit]]/Order_Details[[#This Row],[Amount]]</f>
        <v>0</v>
      </c>
      <c r="M320" s="8">
        <f>YEAR(Order_Details[[#This Row],[Order Date]])</f>
        <v>2018</v>
      </c>
      <c r="N320" s="8">
        <f>ROUNDUP(MONTH(Order_Details[[#This Row],[Order Date]])/3, 0)</f>
        <v>2</v>
      </c>
    </row>
    <row r="321" spans="1:14">
      <c r="A321" s="1" t="s">
        <v>294</v>
      </c>
      <c r="B321" s="1">
        <v>46</v>
      </c>
      <c r="C321" s="1">
        <v>0</v>
      </c>
      <c r="D321" s="1">
        <v>2</v>
      </c>
      <c r="E321" s="1" t="s">
        <v>1077</v>
      </c>
      <c r="F321" s="1" t="s">
        <v>1104</v>
      </c>
      <c r="G321" s="7" t="str">
        <f>_xlfn.XLOOKUP(Order_Details[[#This Row],[Order ID]], List_of_orders[Order ID], List_of_orders[State])</f>
        <v>Madhya Pradesh</v>
      </c>
      <c r="H321" s="10">
        <f>_xlfn.XLOOKUP(Order_Details[[#This Row],[Order ID]], List_of_orders[Order ID], List_of_orders[Order Date (Clean)])</f>
        <v>43281</v>
      </c>
      <c r="I321" s="7" t="str">
        <f>_xlfn.XLOOKUP(Order_Details[[#This Row],[Order ID]], List_of_orders[Order ID], List_of_orders[CustomerName])</f>
        <v>Shweta</v>
      </c>
      <c r="J321" s="7" t="str">
        <f>_xlfn.XLOOKUP(Order_Details[[#This Row],[Order ID]], List_of_orders[Order ID], List_of_orders[City])</f>
        <v>Indore</v>
      </c>
      <c r="K321" s="8" t="str">
        <f>TEXT(Order_Details[[#This Row],[Order Date]], "YY-MMM")</f>
        <v>18-Jun</v>
      </c>
      <c r="L321" s="11">
        <f>Order_Details[[#This Row],[Profit]]/Order_Details[[#This Row],[Amount]]</f>
        <v>0</v>
      </c>
      <c r="M321" s="8">
        <f>YEAR(Order_Details[[#This Row],[Order Date]])</f>
        <v>2018</v>
      </c>
      <c r="N321" s="8">
        <f>ROUNDUP(MONTH(Order_Details[[#This Row],[Order Date]])/3, 0)</f>
        <v>2</v>
      </c>
    </row>
    <row r="322" spans="1:14">
      <c r="A322" s="1" t="s">
        <v>297</v>
      </c>
      <c r="B322" s="1">
        <v>31</v>
      </c>
      <c r="C322" s="1">
        <v>-11</v>
      </c>
      <c r="D322" s="1">
        <v>4</v>
      </c>
      <c r="E322" s="1" t="s">
        <v>1076</v>
      </c>
      <c r="F322" s="1" t="s">
        <v>1102</v>
      </c>
      <c r="G322" s="7" t="str">
        <f>_xlfn.XLOOKUP(Order_Details[[#This Row],[Order ID]], List_of_orders[Order ID], List_of_orders[State])</f>
        <v>Goa</v>
      </c>
      <c r="H322" s="10">
        <f>_xlfn.XLOOKUP(Order_Details[[#This Row],[Order ID]], List_of_orders[Order ID], List_of_orders[Order Date (Clean)])</f>
        <v>43282</v>
      </c>
      <c r="I322" s="7" t="str">
        <f>_xlfn.XLOOKUP(Order_Details[[#This Row],[Order ID]], List_of_orders[Order ID], List_of_orders[CustomerName])</f>
        <v>Swetlana</v>
      </c>
      <c r="J322" s="7" t="str">
        <f>_xlfn.XLOOKUP(Order_Details[[#This Row],[Order ID]], List_of_orders[Order ID], List_of_orders[City])</f>
        <v>Goa</v>
      </c>
      <c r="K322" s="8" t="str">
        <f>TEXT(Order_Details[[#This Row],[Order Date]], "YY-MMM")</f>
        <v>18-Jul</v>
      </c>
      <c r="L322" s="11">
        <f>Order_Details[[#This Row],[Profit]]/Order_Details[[#This Row],[Amount]]</f>
        <v>-0.35483870967741937</v>
      </c>
      <c r="M322" s="8">
        <f>YEAR(Order_Details[[#This Row],[Order Date]])</f>
        <v>2018</v>
      </c>
      <c r="N322" s="8">
        <f>ROUNDUP(MONTH(Order_Details[[#This Row],[Order Date]])/3, 0)</f>
        <v>3</v>
      </c>
    </row>
    <row r="323" spans="1:14">
      <c r="A323" s="1" t="s">
        <v>299</v>
      </c>
      <c r="B323" s="1">
        <v>8</v>
      </c>
      <c r="C323" s="1">
        <v>-6</v>
      </c>
      <c r="D323" s="1">
        <v>1</v>
      </c>
      <c r="E323" s="1" t="s">
        <v>1076</v>
      </c>
      <c r="F323" s="1" t="s">
        <v>1102</v>
      </c>
      <c r="G323" s="7" t="str">
        <f>_xlfn.XLOOKUP(Order_Details[[#This Row],[Order ID]], List_of_orders[Order ID], List_of_orders[State])</f>
        <v>Maharashtra</v>
      </c>
      <c r="H323" s="10">
        <f>_xlfn.XLOOKUP(Order_Details[[#This Row],[Order ID]], List_of_orders[Order ID], List_of_orders[Order Date (Clean)])</f>
        <v>43282</v>
      </c>
      <c r="I323" s="7" t="str">
        <f>_xlfn.XLOOKUP(Order_Details[[#This Row],[Order ID]], List_of_orders[Order ID], List_of_orders[CustomerName])</f>
        <v>Shivani</v>
      </c>
      <c r="J323" s="7" t="str">
        <f>_xlfn.XLOOKUP(Order_Details[[#This Row],[Order ID]], List_of_orders[Order ID], List_of_orders[City])</f>
        <v>Mumbai</v>
      </c>
      <c r="K323" s="8" t="str">
        <f>TEXT(Order_Details[[#This Row],[Order Date]], "YY-MMM")</f>
        <v>18-Jul</v>
      </c>
      <c r="L323" s="11">
        <f>Order_Details[[#This Row],[Profit]]/Order_Details[[#This Row],[Amount]]</f>
        <v>-0.75</v>
      </c>
      <c r="M323" s="8">
        <f>YEAR(Order_Details[[#This Row],[Order Date]])</f>
        <v>2018</v>
      </c>
      <c r="N323" s="8">
        <f>ROUNDUP(MONTH(Order_Details[[#This Row],[Order Date]])/3, 0)</f>
        <v>3</v>
      </c>
    </row>
    <row r="324" spans="1:14">
      <c r="A324" s="1" t="s">
        <v>301</v>
      </c>
      <c r="B324" s="1">
        <v>191</v>
      </c>
      <c r="C324" s="1">
        <v>13</v>
      </c>
      <c r="D324" s="1">
        <v>8</v>
      </c>
      <c r="E324" s="1" t="s">
        <v>1075</v>
      </c>
      <c r="F324" s="1" t="s">
        <v>1116</v>
      </c>
      <c r="G324" s="7" t="str">
        <f>_xlfn.XLOOKUP(Order_Details[[#This Row],[Order ID]], List_of_orders[Order ID], List_of_orders[State])</f>
        <v>Madhya Pradesh</v>
      </c>
      <c r="H324" s="10">
        <f>_xlfn.XLOOKUP(Order_Details[[#This Row],[Order ID]], List_of_orders[Order ID], List_of_orders[Order Date (Clean)])</f>
        <v>43282</v>
      </c>
      <c r="I324" s="7" t="str">
        <f>_xlfn.XLOOKUP(Order_Details[[#This Row],[Order ID]], List_of_orders[Order ID], List_of_orders[CustomerName])</f>
        <v>Kishwar</v>
      </c>
      <c r="J324" s="7" t="str">
        <f>_xlfn.XLOOKUP(Order_Details[[#This Row],[Order ID]], List_of_orders[Order ID], List_of_orders[City])</f>
        <v>Indore</v>
      </c>
      <c r="K324" s="8" t="str">
        <f>TEXT(Order_Details[[#This Row],[Order Date]], "YY-MMM")</f>
        <v>18-Jul</v>
      </c>
      <c r="L324" s="11">
        <f>Order_Details[[#This Row],[Profit]]/Order_Details[[#This Row],[Amount]]</f>
        <v>6.8062827225130892E-2</v>
      </c>
      <c r="M324" s="8">
        <f>YEAR(Order_Details[[#This Row],[Order Date]])</f>
        <v>2018</v>
      </c>
      <c r="N324" s="8">
        <f>ROUNDUP(MONTH(Order_Details[[#This Row],[Order Date]])/3, 0)</f>
        <v>3</v>
      </c>
    </row>
    <row r="325" spans="1:14">
      <c r="A325" s="1" t="s">
        <v>301</v>
      </c>
      <c r="B325" s="1">
        <v>709</v>
      </c>
      <c r="C325" s="1">
        <v>-100</v>
      </c>
      <c r="D325" s="1">
        <v>5</v>
      </c>
      <c r="E325" s="1" t="s">
        <v>1077</v>
      </c>
      <c r="F325" s="1" t="s">
        <v>1105</v>
      </c>
      <c r="G325" s="7" t="str">
        <f>_xlfn.XLOOKUP(Order_Details[[#This Row],[Order ID]], List_of_orders[Order ID], List_of_orders[State])</f>
        <v>Madhya Pradesh</v>
      </c>
      <c r="H325" s="10">
        <f>_xlfn.XLOOKUP(Order_Details[[#This Row],[Order ID]], List_of_orders[Order ID], List_of_orders[Order Date (Clean)])</f>
        <v>43282</v>
      </c>
      <c r="I325" s="7" t="str">
        <f>_xlfn.XLOOKUP(Order_Details[[#This Row],[Order ID]], List_of_orders[Order ID], List_of_orders[CustomerName])</f>
        <v>Kishwar</v>
      </c>
      <c r="J325" s="7" t="str">
        <f>_xlfn.XLOOKUP(Order_Details[[#This Row],[Order ID]], List_of_orders[Order ID], List_of_orders[City])</f>
        <v>Indore</v>
      </c>
      <c r="K325" s="8" t="str">
        <f>TEXT(Order_Details[[#This Row],[Order Date]], "YY-MMM")</f>
        <v>18-Jul</v>
      </c>
      <c r="L325" s="11">
        <f>Order_Details[[#This Row],[Profit]]/Order_Details[[#This Row],[Amount]]</f>
        <v>-0.14104372355430184</v>
      </c>
      <c r="M325" s="8">
        <f>YEAR(Order_Details[[#This Row],[Order Date]])</f>
        <v>2018</v>
      </c>
      <c r="N325" s="8">
        <f>ROUNDUP(MONTH(Order_Details[[#This Row],[Order Date]])/3, 0)</f>
        <v>3</v>
      </c>
    </row>
    <row r="326" spans="1:14">
      <c r="A326" s="1" t="s">
        <v>301</v>
      </c>
      <c r="B326" s="1">
        <v>81</v>
      </c>
      <c r="C326" s="1">
        <v>-51</v>
      </c>
      <c r="D326" s="1">
        <v>7</v>
      </c>
      <c r="E326" s="1" t="s">
        <v>1076</v>
      </c>
      <c r="F326" s="1" t="s">
        <v>1102</v>
      </c>
      <c r="G326" s="7" t="str">
        <f>_xlfn.XLOOKUP(Order_Details[[#This Row],[Order ID]], List_of_orders[Order ID], List_of_orders[State])</f>
        <v>Madhya Pradesh</v>
      </c>
      <c r="H326" s="10">
        <f>_xlfn.XLOOKUP(Order_Details[[#This Row],[Order ID]], List_of_orders[Order ID], List_of_orders[Order Date (Clean)])</f>
        <v>43282</v>
      </c>
      <c r="I326" s="7" t="str">
        <f>_xlfn.XLOOKUP(Order_Details[[#This Row],[Order ID]], List_of_orders[Order ID], List_of_orders[CustomerName])</f>
        <v>Kishwar</v>
      </c>
      <c r="J326" s="7" t="str">
        <f>_xlfn.XLOOKUP(Order_Details[[#This Row],[Order ID]], List_of_orders[Order ID], List_of_orders[City])</f>
        <v>Indore</v>
      </c>
      <c r="K326" s="8" t="str">
        <f>TEXT(Order_Details[[#This Row],[Order Date]], "YY-MMM")</f>
        <v>18-Jul</v>
      </c>
      <c r="L326" s="11">
        <f>Order_Details[[#This Row],[Profit]]/Order_Details[[#This Row],[Amount]]</f>
        <v>-0.62962962962962965</v>
      </c>
      <c r="M326" s="8">
        <f>YEAR(Order_Details[[#This Row],[Order Date]])</f>
        <v>2018</v>
      </c>
      <c r="N326" s="8">
        <f>ROUNDUP(MONTH(Order_Details[[#This Row],[Order Date]])/3, 0)</f>
        <v>3</v>
      </c>
    </row>
    <row r="327" spans="1:14">
      <c r="A327" s="1" t="s">
        <v>301</v>
      </c>
      <c r="B327" s="1">
        <v>32</v>
      </c>
      <c r="C327" s="1">
        <v>-8</v>
      </c>
      <c r="D327" s="1">
        <v>2</v>
      </c>
      <c r="E327" s="1" t="s">
        <v>1076</v>
      </c>
      <c r="F327" s="1" t="s">
        <v>1102</v>
      </c>
      <c r="G327" s="7" t="str">
        <f>_xlfn.XLOOKUP(Order_Details[[#This Row],[Order ID]], List_of_orders[Order ID], List_of_orders[State])</f>
        <v>Madhya Pradesh</v>
      </c>
      <c r="H327" s="10">
        <f>_xlfn.XLOOKUP(Order_Details[[#This Row],[Order ID]], List_of_orders[Order ID], List_of_orders[Order Date (Clean)])</f>
        <v>43282</v>
      </c>
      <c r="I327" s="7" t="str">
        <f>_xlfn.XLOOKUP(Order_Details[[#This Row],[Order ID]], List_of_orders[Order ID], List_of_orders[CustomerName])</f>
        <v>Kishwar</v>
      </c>
      <c r="J327" s="7" t="str">
        <f>_xlfn.XLOOKUP(Order_Details[[#This Row],[Order ID]], List_of_orders[Order ID], List_of_orders[City])</f>
        <v>Indore</v>
      </c>
      <c r="K327" s="8" t="str">
        <f>TEXT(Order_Details[[#This Row],[Order Date]], "YY-MMM")</f>
        <v>18-Jul</v>
      </c>
      <c r="L327" s="11">
        <f>Order_Details[[#This Row],[Profit]]/Order_Details[[#This Row],[Amount]]</f>
        <v>-0.25</v>
      </c>
      <c r="M327" s="8">
        <f>YEAR(Order_Details[[#This Row],[Order Date]])</f>
        <v>2018</v>
      </c>
      <c r="N327" s="8">
        <f>ROUNDUP(MONTH(Order_Details[[#This Row],[Order Date]])/3, 0)</f>
        <v>3</v>
      </c>
    </row>
    <row r="328" spans="1:14">
      <c r="A328" s="1" t="s">
        <v>303</v>
      </c>
      <c r="B328" s="1">
        <v>33</v>
      </c>
      <c r="C328" s="1">
        <v>-12</v>
      </c>
      <c r="D328" s="1">
        <v>7</v>
      </c>
      <c r="E328" s="1" t="s">
        <v>1076</v>
      </c>
      <c r="F328" s="1" t="s">
        <v>1106</v>
      </c>
      <c r="G328" s="7" t="str">
        <f>_xlfn.XLOOKUP(Order_Details[[#This Row],[Order ID]], List_of_orders[Order ID], List_of_orders[State])</f>
        <v>Madhya Pradesh</v>
      </c>
      <c r="H328" s="10">
        <f>_xlfn.XLOOKUP(Order_Details[[#This Row],[Order ID]], List_of_orders[Order ID], List_of_orders[Order Date (Clean)])</f>
        <v>43282</v>
      </c>
      <c r="I328" s="7" t="str">
        <f>_xlfn.XLOOKUP(Order_Details[[#This Row],[Order ID]], List_of_orders[Order ID], List_of_orders[CustomerName])</f>
        <v>Aakanksha</v>
      </c>
      <c r="J328" s="7" t="str">
        <f>_xlfn.XLOOKUP(Order_Details[[#This Row],[Order ID]], List_of_orders[Order ID], List_of_orders[City])</f>
        <v>Indore</v>
      </c>
      <c r="K328" s="8" t="str">
        <f>TEXT(Order_Details[[#This Row],[Order Date]], "YY-MMM")</f>
        <v>18-Jul</v>
      </c>
      <c r="L328" s="11">
        <f>Order_Details[[#This Row],[Profit]]/Order_Details[[#This Row],[Amount]]</f>
        <v>-0.36363636363636365</v>
      </c>
      <c r="M328" s="8">
        <f>YEAR(Order_Details[[#This Row],[Order Date]])</f>
        <v>2018</v>
      </c>
      <c r="N328" s="8">
        <f>ROUNDUP(MONTH(Order_Details[[#This Row],[Order Date]])/3, 0)</f>
        <v>3</v>
      </c>
    </row>
    <row r="329" spans="1:14">
      <c r="A329" s="1" t="s">
        <v>303</v>
      </c>
      <c r="B329" s="1">
        <v>41</v>
      </c>
      <c r="C329" s="1">
        <v>-6</v>
      </c>
      <c r="D329" s="1">
        <v>1</v>
      </c>
      <c r="E329" s="1" t="s">
        <v>1075</v>
      </c>
      <c r="F329" s="1" t="s">
        <v>1108</v>
      </c>
      <c r="G329" s="7" t="str">
        <f>_xlfn.XLOOKUP(Order_Details[[#This Row],[Order ID]], List_of_orders[Order ID], List_of_orders[State])</f>
        <v>Madhya Pradesh</v>
      </c>
      <c r="H329" s="10">
        <f>_xlfn.XLOOKUP(Order_Details[[#This Row],[Order ID]], List_of_orders[Order ID], List_of_orders[Order Date (Clean)])</f>
        <v>43282</v>
      </c>
      <c r="I329" s="7" t="str">
        <f>_xlfn.XLOOKUP(Order_Details[[#This Row],[Order ID]], List_of_orders[Order ID], List_of_orders[CustomerName])</f>
        <v>Aakanksha</v>
      </c>
      <c r="J329" s="7" t="str">
        <f>_xlfn.XLOOKUP(Order_Details[[#This Row],[Order ID]], List_of_orders[Order ID], List_of_orders[City])</f>
        <v>Indore</v>
      </c>
      <c r="K329" s="8" t="str">
        <f>TEXT(Order_Details[[#This Row],[Order Date]], "YY-MMM")</f>
        <v>18-Jul</v>
      </c>
      <c r="L329" s="11">
        <f>Order_Details[[#This Row],[Profit]]/Order_Details[[#This Row],[Amount]]</f>
        <v>-0.14634146341463414</v>
      </c>
      <c r="M329" s="8">
        <f>YEAR(Order_Details[[#This Row],[Order Date]])</f>
        <v>2018</v>
      </c>
      <c r="N329" s="8">
        <f>ROUNDUP(MONTH(Order_Details[[#This Row],[Order Date]])/3, 0)</f>
        <v>3</v>
      </c>
    </row>
    <row r="330" spans="1:14">
      <c r="A330" s="1" t="s">
        <v>305</v>
      </c>
      <c r="B330" s="1">
        <v>216</v>
      </c>
      <c r="C330" s="1">
        <v>-38</v>
      </c>
      <c r="D330" s="1">
        <v>6</v>
      </c>
      <c r="E330" s="1" t="s">
        <v>1075</v>
      </c>
      <c r="F330" s="1" t="s">
        <v>1116</v>
      </c>
      <c r="G330" s="7" t="str">
        <f>_xlfn.XLOOKUP(Order_Details[[#This Row],[Order ID]], List_of_orders[Order ID], List_of_orders[State])</f>
        <v>Maharashtra</v>
      </c>
      <c r="H330" s="10">
        <f>_xlfn.XLOOKUP(Order_Details[[#This Row],[Order ID]], List_of_orders[Order ID], List_of_orders[Order Date (Clean)])</f>
        <v>43286</v>
      </c>
      <c r="I330" s="7" t="str">
        <f>_xlfn.XLOOKUP(Order_Details[[#This Row],[Order ID]], List_of_orders[Order ID], List_of_orders[CustomerName])</f>
        <v>Megha</v>
      </c>
      <c r="J330" s="7" t="str">
        <f>_xlfn.XLOOKUP(Order_Details[[#This Row],[Order ID]], List_of_orders[Order ID], List_of_orders[City])</f>
        <v>Pune</v>
      </c>
      <c r="K330" s="8" t="str">
        <f>TEXT(Order_Details[[#This Row],[Order Date]], "YY-MMM")</f>
        <v>18-Jul</v>
      </c>
      <c r="L330" s="11">
        <f>Order_Details[[#This Row],[Profit]]/Order_Details[[#This Row],[Amount]]</f>
        <v>-0.17592592592592593</v>
      </c>
      <c r="M330" s="8">
        <f>YEAR(Order_Details[[#This Row],[Order Date]])</f>
        <v>2018</v>
      </c>
      <c r="N330" s="8">
        <f>ROUNDUP(MONTH(Order_Details[[#This Row],[Order Date]])/3, 0)</f>
        <v>3</v>
      </c>
    </row>
    <row r="331" spans="1:14">
      <c r="A331" s="1" t="s">
        <v>305</v>
      </c>
      <c r="B331" s="1">
        <v>616</v>
      </c>
      <c r="C331" s="1">
        <v>-69</v>
      </c>
      <c r="D331" s="1">
        <v>7</v>
      </c>
      <c r="E331" s="1" t="s">
        <v>1075</v>
      </c>
      <c r="F331" s="1" t="s">
        <v>1116</v>
      </c>
      <c r="G331" s="7" t="str">
        <f>_xlfn.XLOOKUP(Order_Details[[#This Row],[Order ID]], List_of_orders[Order ID], List_of_orders[State])</f>
        <v>Maharashtra</v>
      </c>
      <c r="H331" s="10">
        <f>_xlfn.XLOOKUP(Order_Details[[#This Row],[Order ID]], List_of_orders[Order ID], List_of_orders[Order Date (Clean)])</f>
        <v>43286</v>
      </c>
      <c r="I331" s="7" t="str">
        <f>_xlfn.XLOOKUP(Order_Details[[#This Row],[Order ID]], List_of_orders[Order ID], List_of_orders[CustomerName])</f>
        <v>Megha</v>
      </c>
      <c r="J331" s="7" t="str">
        <f>_xlfn.XLOOKUP(Order_Details[[#This Row],[Order ID]], List_of_orders[Order ID], List_of_orders[City])</f>
        <v>Pune</v>
      </c>
      <c r="K331" s="8" t="str">
        <f>TEXT(Order_Details[[#This Row],[Order Date]], "YY-MMM")</f>
        <v>18-Jul</v>
      </c>
      <c r="L331" s="11">
        <f>Order_Details[[#This Row],[Profit]]/Order_Details[[#This Row],[Amount]]</f>
        <v>-0.11201298701298701</v>
      </c>
      <c r="M331" s="8">
        <f>YEAR(Order_Details[[#This Row],[Order Date]])</f>
        <v>2018</v>
      </c>
      <c r="N331" s="8">
        <f>ROUNDUP(MONTH(Order_Details[[#This Row],[Order Date]])/3, 0)</f>
        <v>3</v>
      </c>
    </row>
    <row r="332" spans="1:14">
      <c r="A332" s="1" t="s">
        <v>305</v>
      </c>
      <c r="B332" s="1">
        <v>10</v>
      </c>
      <c r="C332" s="1">
        <v>-1</v>
      </c>
      <c r="D332" s="1">
        <v>1</v>
      </c>
      <c r="E332" s="1" t="s">
        <v>1076</v>
      </c>
      <c r="F332" s="1" t="s">
        <v>1112</v>
      </c>
      <c r="G332" s="7" t="str">
        <f>_xlfn.XLOOKUP(Order_Details[[#This Row],[Order ID]], List_of_orders[Order ID], List_of_orders[State])</f>
        <v>Maharashtra</v>
      </c>
      <c r="H332" s="10">
        <f>_xlfn.XLOOKUP(Order_Details[[#This Row],[Order ID]], List_of_orders[Order ID], List_of_orders[Order Date (Clean)])</f>
        <v>43286</v>
      </c>
      <c r="I332" s="7" t="str">
        <f>_xlfn.XLOOKUP(Order_Details[[#This Row],[Order ID]], List_of_orders[Order ID], List_of_orders[CustomerName])</f>
        <v>Megha</v>
      </c>
      <c r="J332" s="7" t="str">
        <f>_xlfn.XLOOKUP(Order_Details[[#This Row],[Order ID]], List_of_orders[Order ID], List_of_orders[City])</f>
        <v>Pune</v>
      </c>
      <c r="K332" s="8" t="str">
        <f>TEXT(Order_Details[[#This Row],[Order Date]], "YY-MMM")</f>
        <v>18-Jul</v>
      </c>
      <c r="L332" s="11">
        <f>Order_Details[[#This Row],[Profit]]/Order_Details[[#This Row],[Amount]]</f>
        <v>-0.1</v>
      </c>
      <c r="M332" s="8">
        <f>YEAR(Order_Details[[#This Row],[Order Date]])</f>
        <v>2018</v>
      </c>
      <c r="N332" s="8">
        <f>ROUNDUP(MONTH(Order_Details[[#This Row],[Order Date]])/3, 0)</f>
        <v>3</v>
      </c>
    </row>
    <row r="333" spans="1:14">
      <c r="A333" s="1" t="s">
        <v>305</v>
      </c>
      <c r="B333" s="1">
        <v>25</v>
      </c>
      <c r="C333" s="1">
        <v>0</v>
      </c>
      <c r="D333" s="1">
        <v>4</v>
      </c>
      <c r="E333" s="1" t="s">
        <v>1076</v>
      </c>
      <c r="F333" s="1" t="s">
        <v>1117</v>
      </c>
      <c r="G333" s="7" t="str">
        <f>_xlfn.XLOOKUP(Order_Details[[#This Row],[Order ID]], List_of_orders[Order ID], List_of_orders[State])</f>
        <v>Maharashtra</v>
      </c>
      <c r="H333" s="10">
        <f>_xlfn.XLOOKUP(Order_Details[[#This Row],[Order ID]], List_of_orders[Order ID], List_of_orders[Order Date (Clean)])</f>
        <v>43286</v>
      </c>
      <c r="I333" s="7" t="str">
        <f>_xlfn.XLOOKUP(Order_Details[[#This Row],[Order ID]], List_of_orders[Order ID], List_of_orders[CustomerName])</f>
        <v>Megha</v>
      </c>
      <c r="J333" s="7" t="str">
        <f>_xlfn.XLOOKUP(Order_Details[[#This Row],[Order ID]], List_of_orders[Order ID], List_of_orders[City])</f>
        <v>Pune</v>
      </c>
      <c r="K333" s="8" t="str">
        <f>TEXT(Order_Details[[#This Row],[Order Date]], "YY-MMM")</f>
        <v>18-Jul</v>
      </c>
      <c r="L333" s="11">
        <f>Order_Details[[#This Row],[Profit]]/Order_Details[[#This Row],[Amount]]</f>
        <v>0</v>
      </c>
      <c r="M333" s="8">
        <f>YEAR(Order_Details[[#This Row],[Order Date]])</f>
        <v>2018</v>
      </c>
      <c r="N333" s="8">
        <f>ROUNDUP(MONTH(Order_Details[[#This Row],[Order Date]])/3, 0)</f>
        <v>3</v>
      </c>
    </row>
    <row r="334" spans="1:14">
      <c r="A334" s="1" t="s">
        <v>305</v>
      </c>
      <c r="B334" s="1">
        <v>53</v>
      </c>
      <c r="C334" s="1">
        <v>-18</v>
      </c>
      <c r="D334" s="1">
        <v>4</v>
      </c>
      <c r="E334" s="1" t="s">
        <v>1076</v>
      </c>
      <c r="F334" s="1" t="s">
        <v>1110</v>
      </c>
      <c r="G334" s="7" t="str">
        <f>_xlfn.XLOOKUP(Order_Details[[#This Row],[Order ID]], List_of_orders[Order ID], List_of_orders[State])</f>
        <v>Maharashtra</v>
      </c>
      <c r="H334" s="10">
        <f>_xlfn.XLOOKUP(Order_Details[[#This Row],[Order ID]], List_of_orders[Order ID], List_of_orders[Order Date (Clean)])</f>
        <v>43286</v>
      </c>
      <c r="I334" s="7" t="str">
        <f>_xlfn.XLOOKUP(Order_Details[[#This Row],[Order ID]], List_of_orders[Order ID], List_of_orders[CustomerName])</f>
        <v>Megha</v>
      </c>
      <c r="J334" s="7" t="str">
        <f>_xlfn.XLOOKUP(Order_Details[[#This Row],[Order ID]], List_of_orders[Order ID], List_of_orders[City])</f>
        <v>Pune</v>
      </c>
      <c r="K334" s="8" t="str">
        <f>TEXT(Order_Details[[#This Row],[Order Date]], "YY-MMM")</f>
        <v>18-Jul</v>
      </c>
      <c r="L334" s="11">
        <f>Order_Details[[#This Row],[Profit]]/Order_Details[[#This Row],[Amount]]</f>
        <v>-0.33962264150943394</v>
      </c>
      <c r="M334" s="8">
        <f>YEAR(Order_Details[[#This Row],[Order Date]])</f>
        <v>2018</v>
      </c>
      <c r="N334" s="8">
        <f>ROUNDUP(MONTH(Order_Details[[#This Row],[Order Date]])/3, 0)</f>
        <v>3</v>
      </c>
    </row>
    <row r="335" spans="1:14">
      <c r="A335" s="1" t="s">
        <v>305</v>
      </c>
      <c r="B335" s="1">
        <v>13</v>
      </c>
      <c r="C335" s="1">
        <v>-8</v>
      </c>
      <c r="D335" s="1">
        <v>1</v>
      </c>
      <c r="E335" s="1" t="s">
        <v>1076</v>
      </c>
      <c r="F335" s="1" t="s">
        <v>1110</v>
      </c>
      <c r="G335" s="7" t="str">
        <f>_xlfn.XLOOKUP(Order_Details[[#This Row],[Order ID]], List_of_orders[Order ID], List_of_orders[State])</f>
        <v>Maharashtra</v>
      </c>
      <c r="H335" s="10">
        <f>_xlfn.XLOOKUP(Order_Details[[#This Row],[Order ID]], List_of_orders[Order ID], List_of_orders[Order Date (Clean)])</f>
        <v>43286</v>
      </c>
      <c r="I335" s="7" t="str">
        <f>_xlfn.XLOOKUP(Order_Details[[#This Row],[Order ID]], List_of_orders[Order ID], List_of_orders[CustomerName])</f>
        <v>Megha</v>
      </c>
      <c r="J335" s="7" t="str">
        <f>_xlfn.XLOOKUP(Order_Details[[#This Row],[Order ID]], List_of_orders[Order ID], List_of_orders[City])</f>
        <v>Pune</v>
      </c>
      <c r="K335" s="8" t="str">
        <f>TEXT(Order_Details[[#This Row],[Order Date]], "YY-MMM")</f>
        <v>18-Jul</v>
      </c>
      <c r="L335" s="11">
        <f>Order_Details[[#This Row],[Profit]]/Order_Details[[#This Row],[Amount]]</f>
        <v>-0.61538461538461542</v>
      </c>
      <c r="M335" s="8">
        <f>YEAR(Order_Details[[#This Row],[Order Date]])</f>
        <v>2018</v>
      </c>
      <c r="N335" s="8">
        <f>ROUNDUP(MONTH(Order_Details[[#This Row],[Order Date]])/3, 0)</f>
        <v>3</v>
      </c>
    </row>
    <row r="336" spans="1:14">
      <c r="A336" s="1" t="s">
        <v>307</v>
      </c>
      <c r="B336" s="1">
        <v>100</v>
      </c>
      <c r="C336" s="1">
        <v>-58</v>
      </c>
      <c r="D336" s="1">
        <v>4</v>
      </c>
      <c r="E336" s="1" t="s">
        <v>1076</v>
      </c>
      <c r="F336" s="1" t="s">
        <v>1103</v>
      </c>
      <c r="G336" s="7" t="str">
        <f>_xlfn.XLOOKUP(Order_Details[[#This Row],[Order ID]], List_of_orders[Order ID], List_of_orders[State])</f>
        <v>Madhya Pradesh</v>
      </c>
      <c r="H336" s="10">
        <f>_xlfn.XLOOKUP(Order_Details[[#This Row],[Order ID]], List_of_orders[Order ID], List_of_orders[Order Date (Clean)])</f>
        <v>43287</v>
      </c>
      <c r="I336" s="7" t="str">
        <f>_xlfn.XLOOKUP(Order_Details[[#This Row],[Order ID]], List_of_orders[Order ID], List_of_orders[CustomerName])</f>
        <v>Sakshi</v>
      </c>
      <c r="J336" s="7" t="str">
        <f>_xlfn.XLOOKUP(Order_Details[[#This Row],[Order ID]], List_of_orders[Order ID], List_of_orders[City])</f>
        <v>Bhopal</v>
      </c>
      <c r="K336" s="8" t="str">
        <f>TEXT(Order_Details[[#This Row],[Order Date]], "YY-MMM")</f>
        <v>18-Jul</v>
      </c>
      <c r="L336" s="11">
        <f>Order_Details[[#This Row],[Profit]]/Order_Details[[#This Row],[Amount]]</f>
        <v>-0.57999999999999996</v>
      </c>
      <c r="M336" s="8">
        <f>YEAR(Order_Details[[#This Row],[Order Date]])</f>
        <v>2018</v>
      </c>
      <c r="N336" s="8">
        <f>ROUNDUP(MONTH(Order_Details[[#This Row],[Order Date]])/3, 0)</f>
        <v>3</v>
      </c>
    </row>
    <row r="337" spans="1:14">
      <c r="A337" s="1" t="s">
        <v>309</v>
      </c>
      <c r="B337" s="1">
        <v>193</v>
      </c>
      <c r="C337" s="1">
        <v>-275</v>
      </c>
      <c r="D337" s="1">
        <v>3</v>
      </c>
      <c r="E337" s="1" t="s">
        <v>1077</v>
      </c>
      <c r="F337" s="1" t="s">
        <v>1105</v>
      </c>
      <c r="G337" s="7" t="str">
        <f>_xlfn.XLOOKUP(Order_Details[[#This Row],[Order ID]], List_of_orders[Order ID], List_of_orders[State])</f>
        <v>Rajasthan</v>
      </c>
      <c r="H337" s="10">
        <f>_xlfn.XLOOKUP(Order_Details[[#This Row],[Order ID]], List_of_orders[Order ID], List_of_orders[Order Date (Clean)])</f>
        <v>43288</v>
      </c>
      <c r="I337" s="7" t="str">
        <f>_xlfn.XLOOKUP(Order_Details[[#This Row],[Order ID]], List_of_orders[Order ID], List_of_orders[CustomerName])</f>
        <v>Adhvaita</v>
      </c>
      <c r="J337" s="7" t="str">
        <f>_xlfn.XLOOKUP(Order_Details[[#This Row],[Order ID]], List_of_orders[Order ID], List_of_orders[City])</f>
        <v>Jaipur</v>
      </c>
      <c r="K337" s="8" t="str">
        <f>TEXT(Order_Details[[#This Row],[Order Date]], "YY-MMM")</f>
        <v>18-Jul</v>
      </c>
      <c r="L337" s="11">
        <f>Order_Details[[#This Row],[Profit]]/Order_Details[[#This Row],[Amount]]</f>
        <v>-1.4248704663212435</v>
      </c>
      <c r="M337" s="8">
        <f>YEAR(Order_Details[[#This Row],[Order Date]])</f>
        <v>2018</v>
      </c>
      <c r="N337" s="8">
        <f>ROUNDUP(MONTH(Order_Details[[#This Row],[Order Date]])/3, 0)</f>
        <v>3</v>
      </c>
    </row>
    <row r="338" spans="1:14">
      <c r="A338" s="1" t="s">
        <v>311</v>
      </c>
      <c r="B338" s="1">
        <v>158</v>
      </c>
      <c r="C338" s="1">
        <v>-63</v>
      </c>
      <c r="D338" s="1">
        <v>4</v>
      </c>
      <c r="E338" s="1" t="s">
        <v>1075</v>
      </c>
      <c r="F338" s="1" t="s">
        <v>1108</v>
      </c>
      <c r="G338" s="7" t="str">
        <f>_xlfn.XLOOKUP(Order_Details[[#This Row],[Order ID]], List_of_orders[Order ID], List_of_orders[State])</f>
        <v>West Bengal</v>
      </c>
      <c r="H338" s="10">
        <f>_xlfn.XLOOKUP(Order_Details[[#This Row],[Order ID]], List_of_orders[Order ID], List_of_orders[Order Date (Clean)])</f>
        <v>43289</v>
      </c>
      <c r="I338" s="7" t="str">
        <f>_xlfn.XLOOKUP(Order_Details[[#This Row],[Order ID]], List_of_orders[Order ID], List_of_orders[CustomerName])</f>
        <v>Raksha</v>
      </c>
      <c r="J338" s="7" t="str">
        <f>_xlfn.XLOOKUP(Order_Details[[#This Row],[Order ID]], List_of_orders[Order ID], List_of_orders[City])</f>
        <v>Kolkata</v>
      </c>
      <c r="K338" s="8" t="str">
        <f>TEXT(Order_Details[[#This Row],[Order Date]], "YY-MMM")</f>
        <v>18-Jul</v>
      </c>
      <c r="L338" s="11">
        <f>Order_Details[[#This Row],[Profit]]/Order_Details[[#This Row],[Amount]]</f>
        <v>-0.39873417721518989</v>
      </c>
      <c r="M338" s="8">
        <f>YEAR(Order_Details[[#This Row],[Order Date]])</f>
        <v>2018</v>
      </c>
      <c r="N338" s="8">
        <f>ROUNDUP(MONTH(Order_Details[[#This Row],[Order Date]])/3, 0)</f>
        <v>3</v>
      </c>
    </row>
    <row r="339" spans="1:14">
      <c r="A339" s="1" t="s">
        <v>313</v>
      </c>
      <c r="B339" s="1">
        <v>11</v>
      </c>
      <c r="C339" s="1">
        <v>-5</v>
      </c>
      <c r="D339" s="1">
        <v>2</v>
      </c>
      <c r="E339" s="1" t="s">
        <v>1076</v>
      </c>
      <c r="F339" s="1" t="s">
        <v>1103</v>
      </c>
      <c r="G339" s="7" t="str">
        <f>_xlfn.XLOOKUP(Order_Details[[#This Row],[Order ID]], List_of_orders[Order ID], List_of_orders[State])</f>
        <v>Karnataka</v>
      </c>
      <c r="H339" s="10">
        <f>_xlfn.XLOOKUP(Order_Details[[#This Row],[Order ID]], List_of_orders[Order ID], List_of_orders[Order Date (Clean)])</f>
        <v>43290</v>
      </c>
      <c r="I339" s="7" t="str">
        <f>_xlfn.XLOOKUP(Order_Details[[#This Row],[Order ID]], List_of_orders[Order ID], List_of_orders[CustomerName])</f>
        <v>Stuti</v>
      </c>
      <c r="J339" s="7" t="str">
        <f>_xlfn.XLOOKUP(Order_Details[[#This Row],[Order ID]], List_of_orders[Order ID], List_of_orders[City])</f>
        <v>Bangalore</v>
      </c>
      <c r="K339" s="8" t="str">
        <f>TEXT(Order_Details[[#This Row],[Order Date]], "YY-MMM")</f>
        <v>18-Jul</v>
      </c>
      <c r="L339" s="11">
        <f>Order_Details[[#This Row],[Profit]]/Order_Details[[#This Row],[Amount]]</f>
        <v>-0.45454545454545453</v>
      </c>
      <c r="M339" s="8">
        <f>YEAR(Order_Details[[#This Row],[Order Date]])</f>
        <v>2018</v>
      </c>
      <c r="N339" s="8">
        <f>ROUNDUP(MONTH(Order_Details[[#This Row],[Order Date]])/3, 0)</f>
        <v>3</v>
      </c>
    </row>
    <row r="340" spans="1:14">
      <c r="A340" s="1" t="s">
        <v>313</v>
      </c>
      <c r="B340" s="1">
        <v>340</v>
      </c>
      <c r="C340" s="1">
        <v>20</v>
      </c>
      <c r="D340" s="1">
        <v>7</v>
      </c>
      <c r="E340" s="1" t="s">
        <v>1076</v>
      </c>
      <c r="F340" s="1" t="s">
        <v>1111</v>
      </c>
      <c r="G340" s="7" t="str">
        <f>_xlfn.XLOOKUP(Order_Details[[#This Row],[Order ID]], List_of_orders[Order ID], List_of_orders[State])</f>
        <v>Karnataka</v>
      </c>
      <c r="H340" s="10">
        <f>_xlfn.XLOOKUP(Order_Details[[#This Row],[Order ID]], List_of_orders[Order ID], List_of_orders[Order Date (Clean)])</f>
        <v>43290</v>
      </c>
      <c r="I340" s="7" t="str">
        <f>_xlfn.XLOOKUP(Order_Details[[#This Row],[Order ID]], List_of_orders[Order ID], List_of_orders[CustomerName])</f>
        <v>Stuti</v>
      </c>
      <c r="J340" s="7" t="str">
        <f>_xlfn.XLOOKUP(Order_Details[[#This Row],[Order ID]], List_of_orders[Order ID], List_of_orders[City])</f>
        <v>Bangalore</v>
      </c>
      <c r="K340" s="8" t="str">
        <f>TEXT(Order_Details[[#This Row],[Order Date]], "YY-MMM")</f>
        <v>18-Jul</v>
      </c>
      <c r="L340" s="11">
        <f>Order_Details[[#This Row],[Profit]]/Order_Details[[#This Row],[Amount]]</f>
        <v>5.8823529411764705E-2</v>
      </c>
      <c r="M340" s="8">
        <f>YEAR(Order_Details[[#This Row],[Order Date]])</f>
        <v>2018</v>
      </c>
      <c r="N340" s="8">
        <f>ROUNDUP(MONTH(Order_Details[[#This Row],[Order Date]])/3, 0)</f>
        <v>3</v>
      </c>
    </row>
    <row r="341" spans="1:14">
      <c r="A341" s="1" t="s">
        <v>315</v>
      </c>
      <c r="B341" s="1">
        <v>416</v>
      </c>
      <c r="C341" s="1">
        <v>137</v>
      </c>
      <c r="D341" s="1">
        <v>3</v>
      </c>
      <c r="E341" s="1" t="s">
        <v>1077</v>
      </c>
      <c r="F341" s="1" t="s">
        <v>1105</v>
      </c>
      <c r="G341" s="7" t="str">
        <f>_xlfn.XLOOKUP(Order_Details[[#This Row],[Order ID]], List_of_orders[Order ID], List_of_orders[State])</f>
        <v>Jammu and Kashmir</v>
      </c>
      <c r="H341" s="10">
        <f>_xlfn.XLOOKUP(Order_Details[[#This Row],[Order ID]], List_of_orders[Order ID], List_of_orders[Order Date (Clean)])</f>
        <v>43291</v>
      </c>
      <c r="I341" s="7" t="str">
        <f>_xlfn.XLOOKUP(Order_Details[[#This Row],[Order ID]], List_of_orders[Order ID], List_of_orders[CustomerName])</f>
        <v>Srishti</v>
      </c>
      <c r="J341" s="7" t="str">
        <f>_xlfn.XLOOKUP(Order_Details[[#This Row],[Order ID]], List_of_orders[Order ID], List_of_orders[City])</f>
        <v>Kashmir</v>
      </c>
      <c r="K341" s="8" t="str">
        <f>TEXT(Order_Details[[#This Row],[Order Date]], "YY-MMM")</f>
        <v>18-Jul</v>
      </c>
      <c r="L341" s="11">
        <f>Order_Details[[#This Row],[Profit]]/Order_Details[[#This Row],[Amount]]</f>
        <v>0.32932692307692307</v>
      </c>
      <c r="M341" s="8">
        <f>YEAR(Order_Details[[#This Row],[Order Date]])</f>
        <v>2018</v>
      </c>
      <c r="N341" s="8">
        <f>ROUNDUP(MONTH(Order_Details[[#This Row],[Order Date]])/3, 0)</f>
        <v>3</v>
      </c>
    </row>
    <row r="342" spans="1:14">
      <c r="A342" s="1" t="s">
        <v>317</v>
      </c>
      <c r="B342" s="1">
        <v>58</v>
      </c>
      <c r="C342" s="1">
        <v>0</v>
      </c>
      <c r="D342" s="1">
        <v>4</v>
      </c>
      <c r="E342" s="1" t="s">
        <v>1076</v>
      </c>
      <c r="F342" s="1" t="s">
        <v>1106</v>
      </c>
      <c r="G342" s="7" t="str">
        <f>_xlfn.XLOOKUP(Order_Details[[#This Row],[Order ID]], List_of_orders[Order ID], List_of_orders[State])</f>
        <v>Tamil Nadu</v>
      </c>
      <c r="H342" s="10">
        <f>_xlfn.XLOOKUP(Order_Details[[#This Row],[Order ID]], List_of_orders[Order ID], List_of_orders[Order Date (Clean)])</f>
        <v>43292</v>
      </c>
      <c r="I342" s="7" t="str">
        <f>_xlfn.XLOOKUP(Order_Details[[#This Row],[Order ID]], List_of_orders[Order ID], List_of_orders[CustomerName])</f>
        <v>Surabhi</v>
      </c>
      <c r="J342" s="7" t="str">
        <f>_xlfn.XLOOKUP(Order_Details[[#This Row],[Order ID]], List_of_orders[Order ID], List_of_orders[City])</f>
        <v>Chennai</v>
      </c>
      <c r="K342" s="8" t="str">
        <f>TEXT(Order_Details[[#This Row],[Order Date]], "YY-MMM")</f>
        <v>18-Jul</v>
      </c>
      <c r="L342" s="11">
        <f>Order_Details[[#This Row],[Profit]]/Order_Details[[#This Row],[Amount]]</f>
        <v>0</v>
      </c>
      <c r="M342" s="8">
        <f>YEAR(Order_Details[[#This Row],[Order Date]])</f>
        <v>2018</v>
      </c>
      <c r="N342" s="8">
        <f>ROUNDUP(MONTH(Order_Details[[#This Row],[Order Date]])/3, 0)</f>
        <v>3</v>
      </c>
    </row>
    <row r="343" spans="1:14">
      <c r="A343" s="1" t="s">
        <v>319</v>
      </c>
      <c r="B343" s="1">
        <v>561</v>
      </c>
      <c r="C343" s="1">
        <v>212</v>
      </c>
      <c r="D343" s="1">
        <v>3</v>
      </c>
      <c r="E343" s="1" t="s">
        <v>1076</v>
      </c>
      <c r="F343" s="1" t="s">
        <v>1106</v>
      </c>
      <c r="G343" s="7" t="str">
        <f>_xlfn.XLOOKUP(Order_Details[[#This Row],[Order ID]], List_of_orders[Order ID], List_of_orders[State])</f>
        <v>Uttar Pradesh</v>
      </c>
      <c r="H343" s="10">
        <f>_xlfn.XLOOKUP(Order_Details[[#This Row],[Order ID]], List_of_orders[Order ID], List_of_orders[Order Date (Clean)])</f>
        <v>43293</v>
      </c>
      <c r="I343" s="7" t="str">
        <f>_xlfn.XLOOKUP(Order_Details[[#This Row],[Order ID]], List_of_orders[Order ID], List_of_orders[CustomerName])</f>
        <v>Manshul</v>
      </c>
      <c r="J343" s="7" t="str">
        <f>_xlfn.XLOOKUP(Order_Details[[#This Row],[Order ID]], List_of_orders[Order ID], List_of_orders[City])</f>
        <v>Lucknow</v>
      </c>
      <c r="K343" s="8" t="str">
        <f>TEXT(Order_Details[[#This Row],[Order Date]], "YY-MMM")</f>
        <v>18-Jul</v>
      </c>
      <c r="L343" s="11">
        <f>Order_Details[[#This Row],[Profit]]/Order_Details[[#This Row],[Amount]]</f>
        <v>0.37789661319073081</v>
      </c>
      <c r="M343" s="8">
        <f>YEAR(Order_Details[[#This Row],[Order Date]])</f>
        <v>2018</v>
      </c>
      <c r="N343" s="8">
        <f>ROUNDUP(MONTH(Order_Details[[#This Row],[Order Date]])/3, 0)</f>
        <v>3</v>
      </c>
    </row>
    <row r="344" spans="1:14">
      <c r="A344" s="1" t="s">
        <v>319</v>
      </c>
      <c r="B344" s="1">
        <v>138</v>
      </c>
      <c r="C344" s="1">
        <v>-3</v>
      </c>
      <c r="D344" s="1">
        <v>5</v>
      </c>
      <c r="E344" s="1" t="s">
        <v>1076</v>
      </c>
      <c r="F344" s="1" t="s">
        <v>1106</v>
      </c>
      <c r="G344" s="7" t="str">
        <f>_xlfn.XLOOKUP(Order_Details[[#This Row],[Order ID]], List_of_orders[Order ID], List_of_orders[State])</f>
        <v>Uttar Pradesh</v>
      </c>
      <c r="H344" s="10">
        <f>_xlfn.XLOOKUP(Order_Details[[#This Row],[Order ID]], List_of_orders[Order ID], List_of_orders[Order Date (Clean)])</f>
        <v>43293</v>
      </c>
      <c r="I344" s="7" t="str">
        <f>_xlfn.XLOOKUP(Order_Details[[#This Row],[Order ID]], List_of_orders[Order ID], List_of_orders[CustomerName])</f>
        <v>Manshul</v>
      </c>
      <c r="J344" s="7" t="str">
        <f>_xlfn.XLOOKUP(Order_Details[[#This Row],[Order ID]], List_of_orders[Order ID], List_of_orders[City])</f>
        <v>Lucknow</v>
      </c>
      <c r="K344" s="8" t="str">
        <f>TEXT(Order_Details[[#This Row],[Order Date]], "YY-MMM")</f>
        <v>18-Jul</v>
      </c>
      <c r="L344" s="11">
        <f>Order_Details[[#This Row],[Profit]]/Order_Details[[#This Row],[Amount]]</f>
        <v>-2.1739130434782608E-2</v>
      </c>
      <c r="M344" s="8">
        <f>YEAR(Order_Details[[#This Row],[Order Date]])</f>
        <v>2018</v>
      </c>
      <c r="N344" s="8">
        <f>ROUNDUP(MONTH(Order_Details[[#This Row],[Order Date]])/3, 0)</f>
        <v>3</v>
      </c>
    </row>
    <row r="345" spans="1:14">
      <c r="A345" s="1" t="s">
        <v>319</v>
      </c>
      <c r="B345" s="1">
        <v>90</v>
      </c>
      <c r="C345" s="1">
        <v>17</v>
      </c>
      <c r="D345" s="1">
        <v>3</v>
      </c>
      <c r="E345" s="1" t="s">
        <v>1076</v>
      </c>
      <c r="F345" s="1" t="s">
        <v>1111</v>
      </c>
      <c r="G345" s="7" t="str">
        <f>_xlfn.XLOOKUP(Order_Details[[#This Row],[Order ID]], List_of_orders[Order ID], List_of_orders[State])</f>
        <v>Uttar Pradesh</v>
      </c>
      <c r="H345" s="10">
        <f>_xlfn.XLOOKUP(Order_Details[[#This Row],[Order ID]], List_of_orders[Order ID], List_of_orders[Order Date (Clean)])</f>
        <v>43293</v>
      </c>
      <c r="I345" s="7" t="str">
        <f>_xlfn.XLOOKUP(Order_Details[[#This Row],[Order ID]], List_of_orders[Order ID], List_of_orders[CustomerName])</f>
        <v>Manshul</v>
      </c>
      <c r="J345" s="7" t="str">
        <f>_xlfn.XLOOKUP(Order_Details[[#This Row],[Order ID]], List_of_orders[Order ID], List_of_orders[City])</f>
        <v>Lucknow</v>
      </c>
      <c r="K345" s="8" t="str">
        <f>TEXT(Order_Details[[#This Row],[Order Date]], "YY-MMM")</f>
        <v>18-Jul</v>
      </c>
      <c r="L345" s="11">
        <f>Order_Details[[#This Row],[Profit]]/Order_Details[[#This Row],[Amount]]</f>
        <v>0.18888888888888888</v>
      </c>
      <c r="M345" s="8">
        <f>YEAR(Order_Details[[#This Row],[Order Date]])</f>
        <v>2018</v>
      </c>
      <c r="N345" s="8">
        <f>ROUNDUP(MONTH(Order_Details[[#This Row],[Order Date]])/3, 0)</f>
        <v>3</v>
      </c>
    </row>
    <row r="346" spans="1:14">
      <c r="A346" s="1" t="s">
        <v>319</v>
      </c>
      <c r="B346" s="1">
        <v>55</v>
      </c>
      <c r="C346" s="1">
        <v>-33</v>
      </c>
      <c r="D346" s="1">
        <v>2</v>
      </c>
      <c r="E346" s="1" t="s">
        <v>1075</v>
      </c>
      <c r="F346" s="1" t="s">
        <v>1108</v>
      </c>
      <c r="G346" s="7" t="str">
        <f>_xlfn.XLOOKUP(Order_Details[[#This Row],[Order ID]], List_of_orders[Order ID], List_of_orders[State])</f>
        <v>Uttar Pradesh</v>
      </c>
      <c r="H346" s="10">
        <f>_xlfn.XLOOKUP(Order_Details[[#This Row],[Order ID]], List_of_orders[Order ID], List_of_orders[Order Date (Clean)])</f>
        <v>43293</v>
      </c>
      <c r="I346" s="7" t="str">
        <f>_xlfn.XLOOKUP(Order_Details[[#This Row],[Order ID]], List_of_orders[Order ID], List_of_orders[CustomerName])</f>
        <v>Manshul</v>
      </c>
      <c r="J346" s="7" t="str">
        <f>_xlfn.XLOOKUP(Order_Details[[#This Row],[Order ID]], List_of_orders[Order ID], List_of_orders[City])</f>
        <v>Lucknow</v>
      </c>
      <c r="K346" s="8" t="str">
        <f>TEXT(Order_Details[[#This Row],[Order Date]], "YY-MMM")</f>
        <v>18-Jul</v>
      </c>
      <c r="L346" s="11">
        <f>Order_Details[[#This Row],[Profit]]/Order_Details[[#This Row],[Amount]]</f>
        <v>-0.6</v>
      </c>
      <c r="M346" s="8">
        <f>YEAR(Order_Details[[#This Row],[Order Date]])</f>
        <v>2018</v>
      </c>
      <c r="N346" s="8">
        <f>ROUNDUP(MONTH(Order_Details[[#This Row],[Order Date]])/3, 0)</f>
        <v>3</v>
      </c>
    </row>
    <row r="347" spans="1:14">
      <c r="A347" s="1" t="s">
        <v>321</v>
      </c>
      <c r="B347" s="1">
        <v>371</v>
      </c>
      <c r="C347" s="1">
        <v>115</v>
      </c>
      <c r="D347" s="1">
        <v>1</v>
      </c>
      <c r="E347" s="1" t="s">
        <v>1075</v>
      </c>
      <c r="F347" s="1" t="s">
        <v>1101</v>
      </c>
      <c r="G347" s="7" t="str">
        <f>_xlfn.XLOOKUP(Order_Details[[#This Row],[Order ID]], List_of_orders[Order ID], List_of_orders[State])</f>
        <v>Maharashtra</v>
      </c>
      <c r="H347" s="10">
        <f>_xlfn.XLOOKUP(Order_Details[[#This Row],[Order ID]], List_of_orders[Order ID], List_of_orders[Order Date (Clean)])</f>
        <v>43293</v>
      </c>
      <c r="I347" s="7" t="str">
        <f>_xlfn.XLOOKUP(Order_Details[[#This Row],[Order ID]], List_of_orders[Order ID], List_of_orders[CustomerName])</f>
        <v>Anjali</v>
      </c>
      <c r="J347" s="7" t="str">
        <f>_xlfn.XLOOKUP(Order_Details[[#This Row],[Order ID]], List_of_orders[Order ID], List_of_orders[City])</f>
        <v>Mumbai</v>
      </c>
      <c r="K347" s="8" t="str">
        <f>TEXT(Order_Details[[#This Row],[Order Date]], "YY-MMM")</f>
        <v>18-Jul</v>
      </c>
      <c r="L347" s="11">
        <f>Order_Details[[#This Row],[Profit]]/Order_Details[[#This Row],[Amount]]</f>
        <v>0.30997304582210244</v>
      </c>
      <c r="M347" s="8">
        <f>YEAR(Order_Details[[#This Row],[Order Date]])</f>
        <v>2018</v>
      </c>
      <c r="N347" s="8">
        <f>ROUNDUP(MONTH(Order_Details[[#This Row],[Order Date]])/3, 0)</f>
        <v>3</v>
      </c>
    </row>
    <row r="348" spans="1:14">
      <c r="A348" s="1" t="s">
        <v>321</v>
      </c>
      <c r="B348" s="1">
        <v>460</v>
      </c>
      <c r="C348" s="1">
        <v>31</v>
      </c>
      <c r="D348" s="1">
        <v>3</v>
      </c>
      <c r="E348" s="1" t="s">
        <v>1075</v>
      </c>
      <c r="F348" s="1" t="s">
        <v>1101</v>
      </c>
      <c r="G348" s="7" t="str">
        <f>_xlfn.XLOOKUP(Order_Details[[#This Row],[Order ID]], List_of_orders[Order ID], List_of_orders[State])</f>
        <v>Maharashtra</v>
      </c>
      <c r="H348" s="10">
        <f>_xlfn.XLOOKUP(Order_Details[[#This Row],[Order ID]], List_of_orders[Order ID], List_of_orders[Order Date (Clean)])</f>
        <v>43293</v>
      </c>
      <c r="I348" s="7" t="str">
        <f>_xlfn.XLOOKUP(Order_Details[[#This Row],[Order ID]], List_of_orders[Order ID], List_of_orders[CustomerName])</f>
        <v>Anjali</v>
      </c>
      <c r="J348" s="7" t="str">
        <f>_xlfn.XLOOKUP(Order_Details[[#This Row],[Order ID]], List_of_orders[Order ID], List_of_orders[City])</f>
        <v>Mumbai</v>
      </c>
      <c r="K348" s="8" t="str">
        <f>TEXT(Order_Details[[#This Row],[Order Date]], "YY-MMM")</f>
        <v>18-Jul</v>
      </c>
      <c r="L348" s="11">
        <f>Order_Details[[#This Row],[Profit]]/Order_Details[[#This Row],[Amount]]</f>
        <v>6.7391304347826086E-2</v>
      </c>
      <c r="M348" s="8">
        <f>YEAR(Order_Details[[#This Row],[Order Date]])</f>
        <v>2018</v>
      </c>
      <c r="N348" s="8">
        <f>ROUNDUP(MONTH(Order_Details[[#This Row],[Order Date]])/3, 0)</f>
        <v>3</v>
      </c>
    </row>
    <row r="349" spans="1:14">
      <c r="A349" s="1" t="s">
        <v>322</v>
      </c>
      <c r="B349" s="1">
        <v>29</v>
      </c>
      <c r="C349" s="1">
        <v>10</v>
      </c>
      <c r="D349" s="1">
        <v>2</v>
      </c>
      <c r="E349" s="1" t="s">
        <v>1076</v>
      </c>
      <c r="F349" s="1" t="s">
        <v>1102</v>
      </c>
      <c r="G349" s="7" t="str">
        <f>_xlfn.XLOOKUP(Order_Details[[#This Row],[Order ID]], List_of_orders[Order ID], List_of_orders[State])</f>
        <v>Madhya Pradesh</v>
      </c>
      <c r="H349" s="10">
        <f>_xlfn.XLOOKUP(Order_Details[[#This Row],[Order ID]], List_of_orders[Order ID], List_of_orders[Order Date (Clean)])</f>
        <v>43293</v>
      </c>
      <c r="I349" s="7" t="str">
        <f>_xlfn.XLOOKUP(Order_Details[[#This Row],[Order ID]], List_of_orders[Order ID], List_of_orders[CustomerName])</f>
        <v>Rashmi</v>
      </c>
      <c r="J349" s="7" t="str">
        <f>_xlfn.XLOOKUP(Order_Details[[#This Row],[Order ID]], List_of_orders[Order ID], List_of_orders[City])</f>
        <v>Indore</v>
      </c>
      <c r="K349" s="8" t="str">
        <f>TEXT(Order_Details[[#This Row],[Order Date]], "YY-MMM")</f>
        <v>18-Jul</v>
      </c>
      <c r="L349" s="11">
        <f>Order_Details[[#This Row],[Profit]]/Order_Details[[#This Row],[Amount]]</f>
        <v>0.34482758620689657</v>
      </c>
      <c r="M349" s="8">
        <f>YEAR(Order_Details[[#This Row],[Order Date]])</f>
        <v>2018</v>
      </c>
      <c r="N349" s="8">
        <f>ROUNDUP(MONTH(Order_Details[[#This Row],[Order Date]])/3, 0)</f>
        <v>3</v>
      </c>
    </row>
    <row r="350" spans="1:14">
      <c r="A350" s="1" t="s">
        <v>323</v>
      </c>
      <c r="B350" s="1">
        <v>30</v>
      </c>
      <c r="C350" s="1">
        <v>-35</v>
      </c>
      <c r="D350" s="1">
        <v>1</v>
      </c>
      <c r="E350" s="1" t="s">
        <v>1075</v>
      </c>
      <c r="F350" s="1" t="s">
        <v>1108</v>
      </c>
      <c r="G350" s="7" t="str">
        <f>_xlfn.XLOOKUP(Order_Details[[#This Row],[Order ID]], List_of_orders[Order ID], List_of_orders[State])</f>
        <v>Punjab</v>
      </c>
      <c r="H350" s="10">
        <f>_xlfn.XLOOKUP(Order_Details[[#This Row],[Order ID]], List_of_orders[Order ID], List_of_orders[Order Date (Clean)])</f>
        <v>43296</v>
      </c>
      <c r="I350" s="7" t="str">
        <f>_xlfn.XLOOKUP(Order_Details[[#This Row],[Order ID]], List_of_orders[Order ID], List_of_orders[CustomerName])</f>
        <v>Namrata</v>
      </c>
      <c r="J350" s="7" t="str">
        <f>_xlfn.XLOOKUP(Order_Details[[#This Row],[Order ID]], List_of_orders[Order ID], List_of_orders[City])</f>
        <v>Chandigarh</v>
      </c>
      <c r="K350" s="8" t="str">
        <f>TEXT(Order_Details[[#This Row],[Order Date]], "YY-MMM")</f>
        <v>18-Jul</v>
      </c>
      <c r="L350" s="11">
        <f>Order_Details[[#This Row],[Profit]]/Order_Details[[#This Row],[Amount]]</f>
        <v>-1.1666666666666667</v>
      </c>
      <c r="M350" s="8">
        <f>YEAR(Order_Details[[#This Row],[Order Date]])</f>
        <v>2018</v>
      </c>
      <c r="N350" s="8">
        <f>ROUNDUP(MONTH(Order_Details[[#This Row],[Order Date]])/3, 0)</f>
        <v>3</v>
      </c>
    </row>
    <row r="351" spans="1:14">
      <c r="A351" s="1" t="s">
        <v>326</v>
      </c>
      <c r="B351" s="1">
        <v>29</v>
      </c>
      <c r="C351" s="1">
        <v>-18</v>
      </c>
      <c r="D351" s="1">
        <v>7</v>
      </c>
      <c r="E351" s="1" t="s">
        <v>1076</v>
      </c>
      <c r="F351" s="1" t="s">
        <v>1117</v>
      </c>
      <c r="G351" s="7" t="str">
        <f>_xlfn.XLOOKUP(Order_Details[[#This Row],[Order ID]], List_of_orders[Order ID], List_of_orders[State])</f>
        <v>Haryana</v>
      </c>
      <c r="H351" s="10">
        <f>_xlfn.XLOOKUP(Order_Details[[#This Row],[Order ID]], List_of_orders[Order ID], List_of_orders[Order Date (Clean)])</f>
        <v>43297</v>
      </c>
      <c r="I351" s="7" t="str">
        <f>_xlfn.XLOOKUP(Order_Details[[#This Row],[Order ID]], List_of_orders[Order ID], List_of_orders[CustomerName])</f>
        <v>Anchal</v>
      </c>
      <c r="J351" s="7" t="str">
        <f>_xlfn.XLOOKUP(Order_Details[[#This Row],[Order ID]], List_of_orders[Order ID], List_of_orders[City])</f>
        <v>Chandigarh</v>
      </c>
      <c r="K351" s="8" t="str">
        <f>TEXT(Order_Details[[#This Row],[Order Date]], "YY-MMM")</f>
        <v>18-Jul</v>
      </c>
      <c r="L351" s="11">
        <f>Order_Details[[#This Row],[Profit]]/Order_Details[[#This Row],[Amount]]</f>
        <v>-0.62068965517241381</v>
      </c>
      <c r="M351" s="8">
        <f>YEAR(Order_Details[[#This Row],[Order Date]])</f>
        <v>2018</v>
      </c>
      <c r="N351" s="8">
        <f>ROUNDUP(MONTH(Order_Details[[#This Row],[Order Date]])/3, 0)</f>
        <v>3</v>
      </c>
    </row>
    <row r="352" spans="1:14">
      <c r="A352" s="1" t="s">
        <v>326</v>
      </c>
      <c r="B352" s="1">
        <v>191</v>
      </c>
      <c r="C352" s="1">
        <v>51</v>
      </c>
      <c r="D352" s="1">
        <v>5</v>
      </c>
      <c r="E352" s="1" t="s">
        <v>1076</v>
      </c>
      <c r="F352" s="1" t="s">
        <v>1111</v>
      </c>
      <c r="G352" s="7" t="str">
        <f>_xlfn.XLOOKUP(Order_Details[[#This Row],[Order ID]], List_of_orders[Order ID], List_of_orders[State])</f>
        <v>Haryana</v>
      </c>
      <c r="H352" s="10">
        <f>_xlfn.XLOOKUP(Order_Details[[#This Row],[Order ID]], List_of_orders[Order ID], List_of_orders[Order Date (Clean)])</f>
        <v>43297</v>
      </c>
      <c r="I352" s="7" t="str">
        <f>_xlfn.XLOOKUP(Order_Details[[#This Row],[Order ID]], List_of_orders[Order ID], List_of_orders[CustomerName])</f>
        <v>Anchal</v>
      </c>
      <c r="J352" s="7" t="str">
        <f>_xlfn.XLOOKUP(Order_Details[[#This Row],[Order ID]], List_of_orders[Order ID], List_of_orders[City])</f>
        <v>Chandigarh</v>
      </c>
      <c r="K352" s="8" t="str">
        <f>TEXT(Order_Details[[#This Row],[Order Date]], "YY-MMM")</f>
        <v>18-Jul</v>
      </c>
      <c r="L352" s="11">
        <f>Order_Details[[#This Row],[Profit]]/Order_Details[[#This Row],[Amount]]</f>
        <v>0.26701570680628273</v>
      </c>
      <c r="M352" s="8">
        <f>YEAR(Order_Details[[#This Row],[Order Date]])</f>
        <v>2018</v>
      </c>
      <c r="N352" s="8">
        <f>ROUNDUP(MONTH(Order_Details[[#This Row],[Order Date]])/3, 0)</f>
        <v>3</v>
      </c>
    </row>
    <row r="353" spans="1:14">
      <c r="A353" s="1" t="s">
        <v>326</v>
      </c>
      <c r="B353" s="1">
        <v>149</v>
      </c>
      <c r="C353" s="1">
        <v>-40</v>
      </c>
      <c r="D353" s="1">
        <v>2</v>
      </c>
      <c r="E353" s="1" t="s">
        <v>1077</v>
      </c>
      <c r="F353" s="1" t="s">
        <v>1105</v>
      </c>
      <c r="G353" s="7" t="str">
        <f>_xlfn.XLOOKUP(Order_Details[[#This Row],[Order ID]], List_of_orders[Order ID], List_of_orders[State])</f>
        <v>Haryana</v>
      </c>
      <c r="H353" s="10">
        <f>_xlfn.XLOOKUP(Order_Details[[#This Row],[Order ID]], List_of_orders[Order ID], List_of_orders[Order Date (Clean)])</f>
        <v>43297</v>
      </c>
      <c r="I353" s="7" t="str">
        <f>_xlfn.XLOOKUP(Order_Details[[#This Row],[Order ID]], List_of_orders[Order ID], List_of_orders[CustomerName])</f>
        <v>Anchal</v>
      </c>
      <c r="J353" s="7" t="str">
        <f>_xlfn.XLOOKUP(Order_Details[[#This Row],[Order ID]], List_of_orders[Order ID], List_of_orders[City])</f>
        <v>Chandigarh</v>
      </c>
      <c r="K353" s="8" t="str">
        <f>TEXT(Order_Details[[#This Row],[Order Date]], "YY-MMM")</f>
        <v>18-Jul</v>
      </c>
      <c r="L353" s="11">
        <f>Order_Details[[#This Row],[Profit]]/Order_Details[[#This Row],[Amount]]</f>
        <v>-0.26845637583892618</v>
      </c>
      <c r="M353" s="8">
        <f>YEAR(Order_Details[[#This Row],[Order Date]])</f>
        <v>2018</v>
      </c>
      <c r="N353" s="8">
        <f>ROUNDUP(MONTH(Order_Details[[#This Row],[Order Date]])/3, 0)</f>
        <v>3</v>
      </c>
    </row>
    <row r="354" spans="1:14">
      <c r="A354" s="1" t="s">
        <v>329</v>
      </c>
      <c r="B354" s="1">
        <v>48</v>
      </c>
      <c r="C354" s="1">
        <v>-8</v>
      </c>
      <c r="D354" s="1">
        <v>8</v>
      </c>
      <c r="E354" s="1" t="s">
        <v>1076</v>
      </c>
      <c r="F354" s="1" t="s">
        <v>1102</v>
      </c>
      <c r="G354" s="7" t="str">
        <f>_xlfn.XLOOKUP(Order_Details[[#This Row],[Order ID]], List_of_orders[Order ID], List_of_orders[State])</f>
        <v>Himachal Pradesh</v>
      </c>
      <c r="H354" s="10">
        <f>_xlfn.XLOOKUP(Order_Details[[#This Row],[Order ID]], List_of_orders[Order ID], List_of_orders[Order Date (Clean)])</f>
        <v>43298</v>
      </c>
      <c r="I354" s="7" t="str">
        <f>_xlfn.XLOOKUP(Order_Details[[#This Row],[Order ID]], List_of_orders[Order ID], List_of_orders[CustomerName])</f>
        <v>Inderpreet</v>
      </c>
      <c r="J354" s="7" t="str">
        <f>_xlfn.XLOOKUP(Order_Details[[#This Row],[Order ID]], List_of_orders[Order ID], List_of_orders[City])</f>
        <v>Simla</v>
      </c>
      <c r="K354" s="8" t="str">
        <f>TEXT(Order_Details[[#This Row],[Order Date]], "YY-MMM")</f>
        <v>18-Jul</v>
      </c>
      <c r="L354" s="11">
        <f>Order_Details[[#This Row],[Profit]]/Order_Details[[#This Row],[Amount]]</f>
        <v>-0.16666666666666666</v>
      </c>
      <c r="M354" s="8">
        <f>YEAR(Order_Details[[#This Row],[Order Date]])</f>
        <v>2018</v>
      </c>
      <c r="N354" s="8">
        <f>ROUNDUP(MONTH(Order_Details[[#This Row],[Order Date]])/3, 0)</f>
        <v>3</v>
      </c>
    </row>
    <row r="355" spans="1:14">
      <c r="A355" s="1" t="s">
        <v>332</v>
      </c>
      <c r="B355" s="1">
        <v>26</v>
      </c>
      <c r="C355" s="1">
        <v>-24</v>
      </c>
      <c r="D355" s="1">
        <v>1</v>
      </c>
      <c r="E355" s="1" t="s">
        <v>1076</v>
      </c>
      <c r="F355" s="1" t="s">
        <v>1102</v>
      </c>
      <c r="G355" s="7" t="str">
        <f>_xlfn.XLOOKUP(Order_Details[[#This Row],[Order ID]], List_of_orders[Order ID], List_of_orders[State])</f>
        <v>Maharashtra</v>
      </c>
      <c r="H355" s="10">
        <f>_xlfn.XLOOKUP(Order_Details[[#This Row],[Order ID]], List_of_orders[Order ID], List_of_orders[Order Date (Clean)])</f>
        <v>43299</v>
      </c>
      <c r="I355" s="7" t="str">
        <f>_xlfn.XLOOKUP(Order_Details[[#This Row],[Order ID]], List_of_orders[Order ID], List_of_orders[CustomerName])</f>
        <v>Wale</v>
      </c>
      <c r="J355" s="7" t="str">
        <f>_xlfn.XLOOKUP(Order_Details[[#This Row],[Order ID]], List_of_orders[Order ID], List_of_orders[City])</f>
        <v>Mumbai</v>
      </c>
      <c r="K355" s="8" t="str">
        <f>TEXT(Order_Details[[#This Row],[Order Date]], "YY-MMM")</f>
        <v>18-Jul</v>
      </c>
      <c r="L355" s="11">
        <f>Order_Details[[#This Row],[Profit]]/Order_Details[[#This Row],[Amount]]</f>
        <v>-0.92307692307692313</v>
      </c>
      <c r="M355" s="8">
        <f>YEAR(Order_Details[[#This Row],[Order Date]])</f>
        <v>2018</v>
      </c>
      <c r="N355" s="8">
        <f>ROUNDUP(MONTH(Order_Details[[#This Row],[Order Date]])/3, 0)</f>
        <v>3</v>
      </c>
    </row>
    <row r="356" spans="1:14">
      <c r="A356" s="1" t="s">
        <v>332</v>
      </c>
      <c r="B356" s="1">
        <v>16</v>
      </c>
      <c r="C356" s="1">
        <v>-12</v>
      </c>
      <c r="D356" s="1">
        <v>2</v>
      </c>
      <c r="E356" s="1" t="s">
        <v>1076</v>
      </c>
      <c r="F356" s="1" t="s">
        <v>1102</v>
      </c>
      <c r="G356" s="7" t="str">
        <f>_xlfn.XLOOKUP(Order_Details[[#This Row],[Order ID]], List_of_orders[Order ID], List_of_orders[State])</f>
        <v>Maharashtra</v>
      </c>
      <c r="H356" s="10">
        <f>_xlfn.XLOOKUP(Order_Details[[#This Row],[Order ID]], List_of_orders[Order ID], List_of_orders[Order Date (Clean)])</f>
        <v>43299</v>
      </c>
      <c r="I356" s="7" t="str">
        <f>_xlfn.XLOOKUP(Order_Details[[#This Row],[Order ID]], List_of_orders[Order ID], List_of_orders[CustomerName])</f>
        <v>Wale</v>
      </c>
      <c r="J356" s="7" t="str">
        <f>_xlfn.XLOOKUP(Order_Details[[#This Row],[Order ID]], List_of_orders[Order ID], List_of_orders[City])</f>
        <v>Mumbai</v>
      </c>
      <c r="K356" s="8" t="str">
        <f>TEXT(Order_Details[[#This Row],[Order Date]], "YY-MMM")</f>
        <v>18-Jul</v>
      </c>
      <c r="L356" s="11">
        <f>Order_Details[[#This Row],[Profit]]/Order_Details[[#This Row],[Amount]]</f>
        <v>-0.75</v>
      </c>
      <c r="M356" s="8">
        <f>YEAR(Order_Details[[#This Row],[Order Date]])</f>
        <v>2018</v>
      </c>
      <c r="N356" s="8">
        <f>ROUNDUP(MONTH(Order_Details[[#This Row],[Order Date]])/3, 0)</f>
        <v>3</v>
      </c>
    </row>
    <row r="357" spans="1:14">
      <c r="A357" s="1" t="s">
        <v>332</v>
      </c>
      <c r="B357" s="1">
        <v>12</v>
      </c>
      <c r="C357" s="1">
        <v>-7</v>
      </c>
      <c r="D357" s="1">
        <v>2</v>
      </c>
      <c r="E357" s="1" t="s">
        <v>1076</v>
      </c>
      <c r="F357" s="1" t="s">
        <v>1112</v>
      </c>
      <c r="G357" s="7" t="str">
        <f>_xlfn.XLOOKUP(Order_Details[[#This Row],[Order ID]], List_of_orders[Order ID], List_of_orders[State])</f>
        <v>Maharashtra</v>
      </c>
      <c r="H357" s="10">
        <f>_xlfn.XLOOKUP(Order_Details[[#This Row],[Order ID]], List_of_orders[Order ID], List_of_orders[Order Date (Clean)])</f>
        <v>43299</v>
      </c>
      <c r="I357" s="7" t="str">
        <f>_xlfn.XLOOKUP(Order_Details[[#This Row],[Order ID]], List_of_orders[Order ID], List_of_orders[CustomerName])</f>
        <v>Wale</v>
      </c>
      <c r="J357" s="7" t="str">
        <f>_xlfn.XLOOKUP(Order_Details[[#This Row],[Order ID]], List_of_orders[Order ID], List_of_orders[City])</f>
        <v>Mumbai</v>
      </c>
      <c r="K357" s="8" t="str">
        <f>TEXT(Order_Details[[#This Row],[Order Date]], "YY-MMM")</f>
        <v>18-Jul</v>
      </c>
      <c r="L357" s="11">
        <f>Order_Details[[#This Row],[Profit]]/Order_Details[[#This Row],[Amount]]</f>
        <v>-0.58333333333333337</v>
      </c>
      <c r="M357" s="8">
        <f>YEAR(Order_Details[[#This Row],[Order Date]])</f>
        <v>2018</v>
      </c>
      <c r="N357" s="8">
        <f>ROUNDUP(MONTH(Order_Details[[#This Row],[Order Date]])/3, 0)</f>
        <v>3</v>
      </c>
    </row>
    <row r="358" spans="1:14">
      <c r="A358" s="1" t="s">
        <v>332</v>
      </c>
      <c r="B358" s="1">
        <v>76</v>
      </c>
      <c r="C358" s="1">
        <v>-54</v>
      </c>
      <c r="D358" s="1">
        <v>3</v>
      </c>
      <c r="E358" s="1" t="s">
        <v>1077</v>
      </c>
      <c r="F358" s="1" t="s">
        <v>1104</v>
      </c>
      <c r="G358" s="7" t="str">
        <f>_xlfn.XLOOKUP(Order_Details[[#This Row],[Order ID]], List_of_orders[Order ID], List_of_orders[State])</f>
        <v>Maharashtra</v>
      </c>
      <c r="H358" s="10">
        <f>_xlfn.XLOOKUP(Order_Details[[#This Row],[Order ID]], List_of_orders[Order ID], List_of_orders[Order Date (Clean)])</f>
        <v>43299</v>
      </c>
      <c r="I358" s="7" t="str">
        <f>_xlfn.XLOOKUP(Order_Details[[#This Row],[Order ID]], List_of_orders[Order ID], List_of_orders[CustomerName])</f>
        <v>Wale</v>
      </c>
      <c r="J358" s="7" t="str">
        <f>_xlfn.XLOOKUP(Order_Details[[#This Row],[Order ID]], List_of_orders[Order ID], List_of_orders[City])</f>
        <v>Mumbai</v>
      </c>
      <c r="K358" s="8" t="str">
        <f>TEXT(Order_Details[[#This Row],[Order Date]], "YY-MMM")</f>
        <v>18-Jul</v>
      </c>
      <c r="L358" s="11">
        <f>Order_Details[[#This Row],[Profit]]/Order_Details[[#This Row],[Amount]]</f>
        <v>-0.71052631578947367</v>
      </c>
      <c r="M358" s="8">
        <f>YEAR(Order_Details[[#This Row],[Order Date]])</f>
        <v>2018</v>
      </c>
      <c r="N358" s="8">
        <f>ROUNDUP(MONTH(Order_Details[[#This Row],[Order Date]])/3, 0)</f>
        <v>3</v>
      </c>
    </row>
    <row r="359" spans="1:14">
      <c r="A359" s="1" t="s">
        <v>335</v>
      </c>
      <c r="B359" s="1">
        <v>168</v>
      </c>
      <c r="C359" s="1">
        <v>-51</v>
      </c>
      <c r="D359" s="1">
        <v>2</v>
      </c>
      <c r="E359" s="1" t="s">
        <v>1075</v>
      </c>
      <c r="F359" s="1" t="s">
        <v>1101</v>
      </c>
      <c r="G359" s="7" t="str">
        <f>_xlfn.XLOOKUP(Order_Details[[#This Row],[Order ID]], List_of_orders[Order ID], List_of_orders[State])</f>
        <v>Madhya Pradesh</v>
      </c>
      <c r="H359" s="10">
        <f>_xlfn.XLOOKUP(Order_Details[[#This Row],[Order ID]], List_of_orders[Order ID], List_of_orders[Order Date (Clean)])</f>
        <v>43300</v>
      </c>
      <c r="I359" s="7" t="str">
        <f>_xlfn.XLOOKUP(Order_Details[[#This Row],[Order ID]], List_of_orders[Order ID], List_of_orders[CustomerName])</f>
        <v>Sheetal</v>
      </c>
      <c r="J359" s="7" t="str">
        <f>_xlfn.XLOOKUP(Order_Details[[#This Row],[Order ID]], List_of_orders[Order ID], List_of_orders[City])</f>
        <v>Indore</v>
      </c>
      <c r="K359" s="8" t="str">
        <f>TEXT(Order_Details[[#This Row],[Order Date]], "YY-MMM")</f>
        <v>18-Jul</v>
      </c>
      <c r="L359" s="11">
        <f>Order_Details[[#This Row],[Profit]]/Order_Details[[#This Row],[Amount]]</f>
        <v>-0.30357142857142855</v>
      </c>
      <c r="M359" s="8">
        <f>YEAR(Order_Details[[#This Row],[Order Date]])</f>
        <v>2018</v>
      </c>
      <c r="N359" s="8">
        <f>ROUNDUP(MONTH(Order_Details[[#This Row],[Order Date]])/3, 0)</f>
        <v>3</v>
      </c>
    </row>
    <row r="360" spans="1:14">
      <c r="A360" s="1" t="s">
        <v>337</v>
      </c>
      <c r="B360" s="1">
        <v>23</v>
      </c>
      <c r="C360" s="1">
        <v>-5</v>
      </c>
      <c r="D360" s="1">
        <v>7</v>
      </c>
      <c r="E360" s="1" t="s">
        <v>1076</v>
      </c>
      <c r="F360" s="1" t="s">
        <v>1103</v>
      </c>
      <c r="G360" s="7" t="str">
        <f>_xlfn.XLOOKUP(Order_Details[[#This Row],[Order ID]], List_of_orders[Order ID], List_of_orders[State])</f>
        <v>Nagaland</v>
      </c>
      <c r="H360" s="10">
        <f>_xlfn.XLOOKUP(Order_Details[[#This Row],[Order ID]], List_of_orders[Order ID], List_of_orders[Order Date (Clean)])</f>
        <v>43301</v>
      </c>
      <c r="I360" s="7" t="str">
        <f>_xlfn.XLOOKUP(Order_Details[[#This Row],[Order ID]], List_of_orders[Order ID], List_of_orders[CustomerName])</f>
        <v>Anisha</v>
      </c>
      <c r="J360" s="7" t="str">
        <f>_xlfn.XLOOKUP(Order_Details[[#This Row],[Order ID]], List_of_orders[Order ID], List_of_orders[City])</f>
        <v>Kohima</v>
      </c>
      <c r="K360" s="8" t="str">
        <f>TEXT(Order_Details[[#This Row],[Order Date]], "YY-MMM")</f>
        <v>18-Jul</v>
      </c>
      <c r="L360" s="11">
        <f>Order_Details[[#This Row],[Profit]]/Order_Details[[#This Row],[Amount]]</f>
        <v>-0.21739130434782608</v>
      </c>
      <c r="M360" s="8">
        <f>YEAR(Order_Details[[#This Row],[Order Date]])</f>
        <v>2018</v>
      </c>
      <c r="N360" s="8">
        <f>ROUNDUP(MONTH(Order_Details[[#This Row],[Order Date]])/3, 0)</f>
        <v>3</v>
      </c>
    </row>
    <row r="361" spans="1:14">
      <c r="A361" s="1" t="s">
        <v>337</v>
      </c>
      <c r="B361" s="1">
        <v>26</v>
      </c>
      <c r="C361" s="1">
        <v>-5</v>
      </c>
      <c r="D361" s="1">
        <v>2</v>
      </c>
      <c r="E361" s="1" t="s">
        <v>1076</v>
      </c>
      <c r="F361" s="1" t="s">
        <v>1102</v>
      </c>
      <c r="G361" s="7" t="str">
        <f>_xlfn.XLOOKUP(Order_Details[[#This Row],[Order ID]], List_of_orders[Order ID], List_of_orders[State])</f>
        <v>Nagaland</v>
      </c>
      <c r="H361" s="10">
        <f>_xlfn.XLOOKUP(Order_Details[[#This Row],[Order ID]], List_of_orders[Order ID], List_of_orders[Order Date (Clean)])</f>
        <v>43301</v>
      </c>
      <c r="I361" s="7" t="str">
        <f>_xlfn.XLOOKUP(Order_Details[[#This Row],[Order ID]], List_of_orders[Order ID], List_of_orders[CustomerName])</f>
        <v>Anisha</v>
      </c>
      <c r="J361" s="7" t="str">
        <f>_xlfn.XLOOKUP(Order_Details[[#This Row],[Order ID]], List_of_orders[Order ID], List_of_orders[City])</f>
        <v>Kohima</v>
      </c>
      <c r="K361" s="8" t="str">
        <f>TEXT(Order_Details[[#This Row],[Order Date]], "YY-MMM")</f>
        <v>18-Jul</v>
      </c>
      <c r="L361" s="11">
        <f>Order_Details[[#This Row],[Profit]]/Order_Details[[#This Row],[Amount]]</f>
        <v>-0.19230769230769232</v>
      </c>
      <c r="M361" s="8">
        <f>YEAR(Order_Details[[#This Row],[Order Date]])</f>
        <v>2018</v>
      </c>
      <c r="N361" s="8">
        <f>ROUNDUP(MONTH(Order_Details[[#This Row],[Order Date]])/3, 0)</f>
        <v>3</v>
      </c>
    </row>
    <row r="362" spans="1:14">
      <c r="A362" s="1" t="s">
        <v>337</v>
      </c>
      <c r="B362" s="1">
        <v>144</v>
      </c>
      <c r="C362" s="1">
        <v>-7</v>
      </c>
      <c r="D362" s="1">
        <v>4</v>
      </c>
      <c r="E362" s="1" t="s">
        <v>1077</v>
      </c>
      <c r="F362" s="1" t="s">
        <v>1104</v>
      </c>
      <c r="G362" s="7" t="str">
        <f>_xlfn.XLOOKUP(Order_Details[[#This Row],[Order ID]], List_of_orders[Order ID], List_of_orders[State])</f>
        <v>Nagaland</v>
      </c>
      <c r="H362" s="10">
        <f>_xlfn.XLOOKUP(Order_Details[[#This Row],[Order ID]], List_of_orders[Order ID], List_of_orders[Order Date (Clean)])</f>
        <v>43301</v>
      </c>
      <c r="I362" s="7" t="str">
        <f>_xlfn.XLOOKUP(Order_Details[[#This Row],[Order ID]], List_of_orders[Order ID], List_of_orders[CustomerName])</f>
        <v>Anisha</v>
      </c>
      <c r="J362" s="7" t="str">
        <f>_xlfn.XLOOKUP(Order_Details[[#This Row],[Order ID]], List_of_orders[Order ID], List_of_orders[City])</f>
        <v>Kohima</v>
      </c>
      <c r="K362" s="8" t="str">
        <f>TEXT(Order_Details[[#This Row],[Order Date]], "YY-MMM")</f>
        <v>18-Jul</v>
      </c>
      <c r="L362" s="11">
        <f>Order_Details[[#This Row],[Profit]]/Order_Details[[#This Row],[Amount]]</f>
        <v>-4.8611111111111112E-2</v>
      </c>
      <c r="M362" s="8">
        <f>YEAR(Order_Details[[#This Row],[Order Date]])</f>
        <v>2018</v>
      </c>
      <c r="N362" s="8">
        <f>ROUNDUP(MONTH(Order_Details[[#This Row],[Order Date]])/3, 0)</f>
        <v>3</v>
      </c>
    </row>
    <row r="363" spans="1:14">
      <c r="A363" s="1" t="s">
        <v>340</v>
      </c>
      <c r="B363" s="1">
        <v>490</v>
      </c>
      <c r="C363" s="1">
        <v>-128</v>
      </c>
      <c r="D363" s="1">
        <v>8</v>
      </c>
      <c r="E363" s="1" t="s">
        <v>1075</v>
      </c>
      <c r="F363" s="1" t="s">
        <v>1101</v>
      </c>
      <c r="G363" s="7" t="str">
        <f>_xlfn.XLOOKUP(Order_Details[[#This Row],[Order ID]], List_of_orders[Order ID], List_of_orders[State])</f>
        <v>Maharashtra</v>
      </c>
      <c r="H363" s="10">
        <f>_xlfn.XLOOKUP(Order_Details[[#This Row],[Order ID]], List_of_orders[Order ID], List_of_orders[Order Date (Clean)])</f>
        <v>43302</v>
      </c>
      <c r="I363" s="7" t="str">
        <f>_xlfn.XLOOKUP(Order_Details[[#This Row],[Order ID]], List_of_orders[Order ID], List_of_orders[CustomerName])</f>
        <v>Kiran</v>
      </c>
      <c r="J363" s="7" t="str">
        <f>_xlfn.XLOOKUP(Order_Details[[#This Row],[Order ID]], List_of_orders[Order ID], List_of_orders[City])</f>
        <v>Mumbai</v>
      </c>
      <c r="K363" s="8" t="str">
        <f>TEXT(Order_Details[[#This Row],[Order Date]], "YY-MMM")</f>
        <v>18-Jul</v>
      </c>
      <c r="L363" s="11">
        <f>Order_Details[[#This Row],[Profit]]/Order_Details[[#This Row],[Amount]]</f>
        <v>-0.26122448979591839</v>
      </c>
      <c r="M363" s="8">
        <f>YEAR(Order_Details[[#This Row],[Order Date]])</f>
        <v>2018</v>
      </c>
      <c r="N363" s="8">
        <f>ROUNDUP(MONTH(Order_Details[[#This Row],[Order Date]])/3, 0)</f>
        <v>3</v>
      </c>
    </row>
    <row r="364" spans="1:14">
      <c r="A364" s="1" t="s">
        <v>343</v>
      </c>
      <c r="B364" s="1">
        <v>57</v>
      </c>
      <c r="C364" s="1">
        <v>-48</v>
      </c>
      <c r="D364" s="1">
        <v>6</v>
      </c>
      <c r="E364" s="1" t="s">
        <v>1076</v>
      </c>
      <c r="F364" s="1" t="s">
        <v>1112</v>
      </c>
      <c r="G364" s="7" t="str">
        <f>_xlfn.XLOOKUP(Order_Details[[#This Row],[Order ID]], List_of_orders[Order ID], List_of_orders[State])</f>
        <v>Madhya Pradesh</v>
      </c>
      <c r="H364" s="10">
        <f>_xlfn.XLOOKUP(Order_Details[[#This Row],[Order ID]], List_of_orders[Order ID], List_of_orders[Order Date (Clean)])</f>
        <v>43303</v>
      </c>
      <c r="I364" s="7" t="str">
        <f>_xlfn.XLOOKUP(Order_Details[[#This Row],[Order ID]], List_of_orders[Order ID], List_of_orders[CustomerName])</f>
        <v>Turumella</v>
      </c>
      <c r="J364" s="7" t="str">
        <f>_xlfn.XLOOKUP(Order_Details[[#This Row],[Order ID]], List_of_orders[Order ID], List_of_orders[City])</f>
        <v>Indore</v>
      </c>
      <c r="K364" s="8" t="str">
        <f>TEXT(Order_Details[[#This Row],[Order Date]], "YY-MMM")</f>
        <v>18-Jul</v>
      </c>
      <c r="L364" s="11">
        <f>Order_Details[[#This Row],[Profit]]/Order_Details[[#This Row],[Amount]]</f>
        <v>-0.84210526315789469</v>
      </c>
      <c r="M364" s="8">
        <f>YEAR(Order_Details[[#This Row],[Order Date]])</f>
        <v>2018</v>
      </c>
      <c r="N364" s="8">
        <f>ROUNDUP(MONTH(Order_Details[[#This Row],[Order Date]])/3, 0)</f>
        <v>3</v>
      </c>
    </row>
    <row r="365" spans="1:14">
      <c r="A365" s="1" t="s">
        <v>343</v>
      </c>
      <c r="B365" s="1">
        <v>327</v>
      </c>
      <c r="C365" s="1">
        <v>114</v>
      </c>
      <c r="D365" s="1">
        <v>4</v>
      </c>
      <c r="E365" s="1" t="s">
        <v>1076</v>
      </c>
      <c r="F365" s="1" t="s">
        <v>1107</v>
      </c>
      <c r="G365" s="7" t="str">
        <f>_xlfn.XLOOKUP(Order_Details[[#This Row],[Order ID]], List_of_orders[Order ID], List_of_orders[State])</f>
        <v>Madhya Pradesh</v>
      </c>
      <c r="H365" s="10">
        <f>_xlfn.XLOOKUP(Order_Details[[#This Row],[Order ID]], List_of_orders[Order ID], List_of_orders[Order Date (Clean)])</f>
        <v>43303</v>
      </c>
      <c r="I365" s="7" t="str">
        <f>_xlfn.XLOOKUP(Order_Details[[#This Row],[Order ID]], List_of_orders[Order ID], List_of_orders[CustomerName])</f>
        <v>Turumella</v>
      </c>
      <c r="J365" s="7" t="str">
        <f>_xlfn.XLOOKUP(Order_Details[[#This Row],[Order ID]], List_of_orders[Order ID], List_of_orders[City])</f>
        <v>Indore</v>
      </c>
      <c r="K365" s="8" t="str">
        <f>TEXT(Order_Details[[#This Row],[Order Date]], "YY-MMM")</f>
        <v>18-Jul</v>
      </c>
      <c r="L365" s="11">
        <f>Order_Details[[#This Row],[Profit]]/Order_Details[[#This Row],[Amount]]</f>
        <v>0.34862385321100919</v>
      </c>
      <c r="M365" s="8">
        <f>YEAR(Order_Details[[#This Row],[Order Date]])</f>
        <v>2018</v>
      </c>
      <c r="N365" s="8">
        <f>ROUNDUP(MONTH(Order_Details[[#This Row],[Order Date]])/3, 0)</f>
        <v>3</v>
      </c>
    </row>
    <row r="366" spans="1:14">
      <c r="A366" s="1" t="s">
        <v>346</v>
      </c>
      <c r="B366" s="1">
        <v>1055</v>
      </c>
      <c r="C366" s="1">
        <v>264</v>
      </c>
      <c r="D366" s="1">
        <v>4</v>
      </c>
      <c r="E366" s="1" t="s">
        <v>1077</v>
      </c>
      <c r="F366" s="1" t="s">
        <v>1114</v>
      </c>
      <c r="G366" s="7" t="str">
        <f>_xlfn.XLOOKUP(Order_Details[[#This Row],[Order ID]], List_of_orders[Order ID], List_of_orders[State])</f>
        <v>Maharashtra</v>
      </c>
      <c r="H366" s="10">
        <f>_xlfn.XLOOKUP(Order_Details[[#This Row],[Order ID]], List_of_orders[Order ID], List_of_orders[Order Date (Clean)])</f>
        <v>43303</v>
      </c>
      <c r="I366" s="7" t="str">
        <f>_xlfn.XLOOKUP(Order_Details[[#This Row],[Order ID]], List_of_orders[Order ID], List_of_orders[CustomerName])</f>
        <v>Ameesha</v>
      </c>
      <c r="J366" s="7" t="str">
        <f>_xlfn.XLOOKUP(Order_Details[[#This Row],[Order ID]], List_of_orders[Order ID], List_of_orders[City])</f>
        <v>Pune</v>
      </c>
      <c r="K366" s="8" t="str">
        <f>TEXT(Order_Details[[#This Row],[Order Date]], "YY-MMM")</f>
        <v>18-Jul</v>
      </c>
      <c r="L366" s="11">
        <f>Order_Details[[#This Row],[Profit]]/Order_Details[[#This Row],[Amount]]</f>
        <v>0.25023696682464452</v>
      </c>
      <c r="M366" s="8">
        <f>YEAR(Order_Details[[#This Row],[Order Date]])</f>
        <v>2018</v>
      </c>
      <c r="N366" s="8">
        <f>ROUNDUP(MONTH(Order_Details[[#This Row],[Order Date]])/3, 0)</f>
        <v>3</v>
      </c>
    </row>
    <row r="367" spans="1:14">
      <c r="A367" s="1" t="s">
        <v>346</v>
      </c>
      <c r="B367" s="1">
        <v>771</v>
      </c>
      <c r="C367" s="1">
        <v>-424</v>
      </c>
      <c r="D367" s="1">
        <v>2</v>
      </c>
      <c r="E367" s="1" t="s">
        <v>1077</v>
      </c>
      <c r="F367" s="1" t="s">
        <v>1105</v>
      </c>
      <c r="G367" s="7" t="str">
        <f>_xlfn.XLOOKUP(Order_Details[[#This Row],[Order ID]], List_of_orders[Order ID], List_of_orders[State])</f>
        <v>Maharashtra</v>
      </c>
      <c r="H367" s="10">
        <f>_xlfn.XLOOKUP(Order_Details[[#This Row],[Order ID]], List_of_orders[Order ID], List_of_orders[Order Date (Clean)])</f>
        <v>43303</v>
      </c>
      <c r="I367" s="7" t="str">
        <f>_xlfn.XLOOKUP(Order_Details[[#This Row],[Order ID]], List_of_orders[Order ID], List_of_orders[CustomerName])</f>
        <v>Ameesha</v>
      </c>
      <c r="J367" s="7" t="str">
        <f>_xlfn.XLOOKUP(Order_Details[[#This Row],[Order ID]], List_of_orders[Order ID], List_of_orders[City])</f>
        <v>Pune</v>
      </c>
      <c r="K367" s="8" t="str">
        <f>TEXT(Order_Details[[#This Row],[Order Date]], "YY-MMM")</f>
        <v>18-Jul</v>
      </c>
      <c r="L367" s="11">
        <f>Order_Details[[#This Row],[Profit]]/Order_Details[[#This Row],[Amount]]</f>
        <v>-0.54993514915693908</v>
      </c>
      <c r="M367" s="8">
        <f>YEAR(Order_Details[[#This Row],[Order Date]])</f>
        <v>2018</v>
      </c>
      <c r="N367" s="8">
        <f>ROUNDUP(MONTH(Order_Details[[#This Row],[Order Date]])/3, 0)</f>
        <v>3</v>
      </c>
    </row>
    <row r="368" spans="1:14">
      <c r="A368" s="1" t="s">
        <v>346</v>
      </c>
      <c r="B368" s="1">
        <v>322</v>
      </c>
      <c r="C368" s="1">
        <v>-113</v>
      </c>
      <c r="D368" s="1">
        <v>4</v>
      </c>
      <c r="E368" s="1" t="s">
        <v>1076</v>
      </c>
      <c r="F368" s="1" t="s">
        <v>1106</v>
      </c>
      <c r="G368" s="7" t="str">
        <f>_xlfn.XLOOKUP(Order_Details[[#This Row],[Order ID]], List_of_orders[Order ID], List_of_orders[State])</f>
        <v>Maharashtra</v>
      </c>
      <c r="H368" s="10">
        <f>_xlfn.XLOOKUP(Order_Details[[#This Row],[Order ID]], List_of_orders[Order ID], List_of_orders[Order Date (Clean)])</f>
        <v>43303</v>
      </c>
      <c r="I368" s="7" t="str">
        <f>_xlfn.XLOOKUP(Order_Details[[#This Row],[Order ID]], List_of_orders[Order ID], List_of_orders[CustomerName])</f>
        <v>Ameesha</v>
      </c>
      <c r="J368" s="7" t="str">
        <f>_xlfn.XLOOKUP(Order_Details[[#This Row],[Order ID]], List_of_orders[Order ID], List_of_orders[City])</f>
        <v>Pune</v>
      </c>
      <c r="K368" s="8" t="str">
        <f>TEXT(Order_Details[[#This Row],[Order Date]], "YY-MMM")</f>
        <v>18-Jul</v>
      </c>
      <c r="L368" s="11">
        <f>Order_Details[[#This Row],[Profit]]/Order_Details[[#This Row],[Amount]]</f>
        <v>-0.35093167701863354</v>
      </c>
      <c r="M368" s="8">
        <f>YEAR(Order_Details[[#This Row],[Order Date]])</f>
        <v>2018</v>
      </c>
      <c r="N368" s="8">
        <f>ROUNDUP(MONTH(Order_Details[[#This Row],[Order Date]])/3, 0)</f>
        <v>3</v>
      </c>
    </row>
    <row r="369" spans="1:14">
      <c r="A369" s="1" t="s">
        <v>348</v>
      </c>
      <c r="B369" s="1">
        <v>1549</v>
      </c>
      <c r="C369" s="1">
        <v>-439</v>
      </c>
      <c r="D369" s="1">
        <v>4</v>
      </c>
      <c r="E369" s="1" t="s">
        <v>1077</v>
      </c>
      <c r="F369" s="1" t="s">
        <v>1105</v>
      </c>
      <c r="G369" s="7" t="str">
        <f>_xlfn.XLOOKUP(Order_Details[[#This Row],[Order ID]], List_of_orders[Order ID], List_of_orders[State])</f>
        <v>Madhya Pradesh</v>
      </c>
      <c r="H369" s="10">
        <f>_xlfn.XLOOKUP(Order_Details[[#This Row],[Order ID]], List_of_orders[Order ID], List_of_orders[Order Date (Clean)])</f>
        <v>43303</v>
      </c>
      <c r="I369" s="7" t="str">
        <f>_xlfn.XLOOKUP(Order_Details[[#This Row],[Order ID]], List_of_orders[Order ID], List_of_orders[CustomerName])</f>
        <v>Madhulika</v>
      </c>
      <c r="J369" s="7" t="str">
        <f>_xlfn.XLOOKUP(Order_Details[[#This Row],[Order ID]], List_of_orders[Order ID], List_of_orders[City])</f>
        <v>Bhopal</v>
      </c>
      <c r="K369" s="8" t="str">
        <f>TEXT(Order_Details[[#This Row],[Order Date]], "YY-MMM")</f>
        <v>18-Jul</v>
      </c>
      <c r="L369" s="11">
        <f>Order_Details[[#This Row],[Profit]]/Order_Details[[#This Row],[Amount]]</f>
        <v>-0.28340865074241445</v>
      </c>
      <c r="M369" s="8">
        <f>YEAR(Order_Details[[#This Row],[Order Date]])</f>
        <v>2018</v>
      </c>
      <c r="N369" s="8">
        <f>ROUNDUP(MONTH(Order_Details[[#This Row],[Order Date]])/3, 0)</f>
        <v>3</v>
      </c>
    </row>
    <row r="370" spans="1:14">
      <c r="A370" s="1" t="s">
        <v>350</v>
      </c>
      <c r="B370" s="1">
        <v>1145</v>
      </c>
      <c r="C370" s="1">
        <v>-706</v>
      </c>
      <c r="D370" s="1">
        <v>3</v>
      </c>
      <c r="E370" s="1" t="s">
        <v>1077</v>
      </c>
      <c r="F370" s="1" t="s">
        <v>1105</v>
      </c>
      <c r="G370" s="7" t="str">
        <f>_xlfn.XLOOKUP(Order_Details[[#This Row],[Order ID]], List_of_orders[Order ID], List_of_orders[State])</f>
        <v>Rajasthan</v>
      </c>
      <c r="H370" s="10">
        <f>_xlfn.XLOOKUP(Order_Details[[#This Row],[Order ID]], List_of_orders[Order ID], List_of_orders[Order Date (Clean)])</f>
        <v>43303</v>
      </c>
      <c r="I370" s="7" t="str">
        <f>_xlfn.XLOOKUP(Order_Details[[#This Row],[Order ID]], List_of_orders[Order ID], List_of_orders[CustomerName])</f>
        <v>Rishabh</v>
      </c>
      <c r="J370" s="7" t="str">
        <f>_xlfn.XLOOKUP(Order_Details[[#This Row],[Order ID]], List_of_orders[Order ID], List_of_orders[City])</f>
        <v>Jaipur</v>
      </c>
      <c r="K370" s="8" t="str">
        <f>TEXT(Order_Details[[#This Row],[Order Date]], "YY-MMM")</f>
        <v>18-Jul</v>
      </c>
      <c r="L370" s="11">
        <f>Order_Details[[#This Row],[Profit]]/Order_Details[[#This Row],[Amount]]</f>
        <v>-0.61659388646288205</v>
      </c>
      <c r="M370" s="8">
        <f>YEAR(Order_Details[[#This Row],[Order Date]])</f>
        <v>2018</v>
      </c>
      <c r="N370" s="8">
        <f>ROUNDUP(MONTH(Order_Details[[#This Row],[Order Date]])/3, 0)</f>
        <v>3</v>
      </c>
    </row>
    <row r="371" spans="1:14">
      <c r="A371" s="1" t="s">
        <v>350</v>
      </c>
      <c r="B371" s="1">
        <v>473</v>
      </c>
      <c r="C371" s="1">
        <v>42</v>
      </c>
      <c r="D371" s="1">
        <v>4</v>
      </c>
      <c r="E371" s="1" t="s">
        <v>1075</v>
      </c>
      <c r="F371" s="1" t="s">
        <v>1108</v>
      </c>
      <c r="G371" s="7" t="str">
        <f>_xlfn.XLOOKUP(Order_Details[[#This Row],[Order ID]], List_of_orders[Order ID], List_of_orders[State])</f>
        <v>Rajasthan</v>
      </c>
      <c r="H371" s="10">
        <f>_xlfn.XLOOKUP(Order_Details[[#This Row],[Order ID]], List_of_orders[Order ID], List_of_orders[Order Date (Clean)])</f>
        <v>43303</v>
      </c>
      <c r="I371" s="7" t="str">
        <f>_xlfn.XLOOKUP(Order_Details[[#This Row],[Order ID]], List_of_orders[Order ID], List_of_orders[CustomerName])</f>
        <v>Rishabh</v>
      </c>
      <c r="J371" s="7" t="str">
        <f>_xlfn.XLOOKUP(Order_Details[[#This Row],[Order ID]], List_of_orders[Order ID], List_of_orders[City])</f>
        <v>Jaipur</v>
      </c>
      <c r="K371" s="8" t="str">
        <f>TEXT(Order_Details[[#This Row],[Order Date]], "YY-MMM")</f>
        <v>18-Jul</v>
      </c>
      <c r="L371" s="11">
        <f>Order_Details[[#This Row],[Profit]]/Order_Details[[#This Row],[Amount]]</f>
        <v>8.8794926004228336E-2</v>
      </c>
      <c r="M371" s="8">
        <f>YEAR(Order_Details[[#This Row],[Order Date]])</f>
        <v>2018</v>
      </c>
      <c r="N371" s="8">
        <f>ROUNDUP(MONTH(Order_Details[[#This Row],[Order Date]])/3, 0)</f>
        <v>3</v>
      </c>
    </row>
    <row r="372" spans="1:14">
      <c r="A372" s="1" t="s">
        <v>350</v>
      </c>
      <c r="B372" s="1">
        <v>96</v>
      </c>
      <c r="C372" s="1">
        <v>22</v>
      </c>
      <c r="D372" s="1">
        <v>5</v>
      </c>
      <c r="E372" s="1" t="s">
        <v>1076</v>
      </c>
      <c r="F372" s="1" t="s">
        <v>1102</v>
      </c>
      <c r="G372" s="7" t="str">
        <f>_xlfn.XLOOKUP(Order_Details[[#This Row],[Order ID]], List_of_orders[Order ID], List_of_orders[State])</f>
        <v>Rajasthan</v>
      </c>
      <c r="H372" s="10">
        <f>_xlfn.XLOOKUP(Order_Details[[#This Row],[Order ID]], List_of_orders[Order ID], List_of_orders[Order Date (Clean)])</f>
        <v>43303</v>
      </c>
      <c r="I372" s="7" t="str">
        <f>_xlfn.XLOOKUP(Order_Details[[#This Row],[Order ID]], List_of_orders[Order ID], List_of_orders[CustomerName])</f>
        <v>Rishabh</v>
      </c>
      <c r="J372" s="7" t="str">
        <f>_xlfn.XLOOKUP(Order_Details[[#This Row],[Order ID]], List_of_orders[Order ID], List_of_orders[City])</f>
        <v>Jaipur</v>
      </c>
      <c r="K372" s="8" t="str">
        <f>TEXT(Order_Details[[#This Row],[Order Date]], "YY-MMM")</f>
        <v>18-Jul</v>
      </c>
      <c r="L372" s="11">
        <f>Order_Details[[#This Row],[Profit]]/Order_Details[[#This Row],[Amount]]</f>
        <v>0.22916666666666666</v>
      </c>
      <c r="M372" s="8">
        <f>YEAR(Order_Details[[#This Row],[Order Date]])</f>
        <v>2018</v>
      </c>
      <c r="N372" s="8">
        <f>ROUNDUP(MONTH(Order_Details[[#This Row],[Order Date]])/3, 0)</f>
        <v>3</v>
      </c>
    </row>
    <row r="373" spans="1:14">
      <c r="A373" s="1" t="s">
        <v>350</v>
      </c>
      <c r="B373" s="1">
        <v>18</v>
      </c>
      <c r="C373" s="1">
        <v>8</v>
      </c>
      <c r="D373" s="1">
        <v>2</v>
      </c>
      <c r="E373" s="1" t="s">
        <v>1076</v>
      </c>
      <c r="F373" s="1" t="s">
        <v>1103</v>
      </c>
      <c r="G373" s="7" t="str">
        <f>_xlfn.XLOOKUP(Order_Details[[#This Row],[Order ID]], List_of_orders[Order ID], List_of_orders[State])</f>
        <v>Rajasthan</v>
      </c>
      <c r="H373" s="10">
        <f>_xlfn.XLOOKUP(Order_Details[[#This Row],[Order ID]], List_of_orders[Order ID], List_of_orders[Order Date (Clean)])</f>
        <v>43303</v>
      </c>
      <c r="I373" s="7" t="str">
        <f>_xlfn.XLOOKUP(Order_Details[[#This Row],[Order ID]], List_of_orders[Order ID], List_of_orders[CustomerName])</f>
        <v>Rishabh</v>
      </c>
      <c r="J373" s="7" t="str">
        <f>_xlfn.XLOOKUP(Order_Details[[#This Row],[Order ID]], List_of_orders[Order ID], List_of_orders[City])</f>
        <v>Jaipur</v>
      </c>
      <c r="K373" s="8" t="str">
        <f>TEXT(Order_Details[[#This Row],[Order Date]], "YY-MMM")</f>
        <v>18-Jul</v>
      </c>
      <c r="L373" s="11">
        <f>Order_Details[[#This Row],[Profit]]/Order_Details[[#This Row],[Amount]]</f>
        <v>0.44444444444444442</v>
      </c>
      <c r="M373" s="8">
        <f>YEAR(Order_Details[[#This Row],[Order Date]])</f>
        <v>2018</v>
      </c>
      <c r="N373" s="8">
        <f>ROUNDUP(MONTH(Order_Details[[#This Row],[Order Date]])/3, 0)</f>
        <v>3</v>
      </c>
    </row>
    <row r="374" spans="1:14">
      <c r="A374" s="1" t="s">
        <v>350</v>
      </c>
      <c r="B374" s="1">
        <v>187</v>
      </c>
      <c r="C374" s="1">
        <v>30</v>
      </c>
      <c r="D374" s="1">
        <v>4</v>
      </c>
      <c r="E374" s="1" t="s">
        <v>1077</v>
      </c>
      <c r="F374" s="1" t="s">
        <v>1115</v>
      </c>
      <c r="G374" s="7" t="str">
        <f>_xlfn.XLOOKUP(Order_Details[[#This Row],[Order ID]], List_of_orders[Order ID], List_of_orders[State])</f>
        <v>Rajasthan</v>
      </c>
      <c r="H374" s="10">
        <f>_xlfn.XLOOKUP(Order_Details[[#This Row],[Order ID]], List_of_orders[Order ID], List_of_orders[Order Date (Clean)])</f>
        <v>43303</v>
      </c>
      <c r="I374" s="7" t="str">
        <f>_xlfn.XLOOKUP(Order_Details[[#This Row],[Order ID]], List_of_orders[Order ID], List_of_orders[CustomerName])</f>
        <v>Rishabh</v>
      </c>
      <c r="J374" s="7" t="str">
        <f>_xlfn.XLOOKUP(Order_Details[[#This Row],[Order ID]], List_of_orders[Order ID], List_of_orders[City])</f>
        <v>Jaipur</v>
      </c>
      <c r="K374" s="8" t="str">
        <f>TEXT(Order_Details[[#This Row],[Order Date]], "YY-MMM")</f>
        <v>18-Jul</v>
      </c>
      <c r="L374" s="11">
        <f>Order_Details[[#This Row],[Profit]]/Order_Details[[#This Row],[Amount]]</f>
        <v>0.16042780748663102</v>
      </c>
      <c r="M374" s="8">
        <f>YEAR(Order_Details[[#This Row],[Order Date]])</f>
        <v>2018</v>
      </c>
      <c r="N374" s="8">
        <f>ROUNDUP(MONTH(Order_Details[[#This Row],[Order Date]])/3, 0)</f>
        <v>3</v>
      </c>
    </row>
    <row r="375" spans="1:14">
      <c r="A375" s="1" t="s">
        <v>350</v>
      </c>
      <c r="B375" s="1">
        <v>83</v>
      </c>
      <c r="C375" s="1">
        <v>-81</v>
      </c>
      <c r="D375" s="1">
        <v>3</v>
      </c>
      <c r="E375" s="1" t="s">
        <v>1075</v>
      </c>
      <c r="F375" s="1" t="s">
        <v>1108</v>
      </c>
      <c r="G375" s="7" t="str">
        <f>_xlfn.XLOOKUP(Order_Details[[#This Row],[Order ID]], List_of_orders[Order ID], List_of_orders[State])</f>
        <v>Rajasthan</v>
      </c>
      <c r="H375" s="10">
        <f>_xlfn.XLOOKUP(Order_Details[[#This Row],[Order ID]], List_of_orders[Order ID], List_of_orders[Order Date (Clean)])</f>
        <v>43303</v>
      </c>
      <c r="I375" s="7" t="str">
        <f>_xlfn.XLOOKUP(Order_Details[[#This Row],[Order ID]], List_of_orders[Order ID], List_of_orders[CustomerName])</f>
        <v>Rishabh</v>
      </c>
      <c r="J375" s="7" t="str">
        <f>_xlfn.XLOOKUP(Order_Details[[#This Row],[Order ID]], List_of_orders[Order ID], List_of_orders[City])</f>
        <v>Jaipur</v>
      </c>
      <c r="K375" s="8" t="str">
        <f>TEXT(Order_Details[[#This Row],[Order Date]], "YY-MMM")</f>
        <v>18-Jul</v>
      </c>
      <c r="L375" s="11">
        <f>Order_Details[[#This Row],[Profit]]/Order_Details[[#This Row],[Amount]]</f>
        <v>-0.97590361445783136</v>
      </c>
      <c r="M375" s="8">
        <f>YEAR(Order_Details[[#This Row],[Order Date]])</f>
        <v>2018</v>
      </c>
      <c r="N375" s="8">
        <f>ROUNDUP(MONTH(Order_Details[[#This Row],[Order Date]])/3, 0)</f>
        <v>3</v>
      </c>
    </row>
    <row r="376" spans="1:14">
      <c r="A376" s="1" t="s">
        <v>352</v>
      </c>
      <c r="B376" s="1">
        <v>131</v>
      </c>
      <c r="C376" s="1">
        <v>-154</v>
      </c>
      <c r="D376" s="1">
        <v>8</v>
      </c>
      <c r="E376" s="1" t="s">
        <v>1075</v>
      </c>
      <c r="F376" s="1" t="s">
        <v>1116</v>
      </c>
      <c r="G376" s="7" t="str">
        <f>_xlfn.XLOOKUP(Order_Details[[#This Row],[Order ID]], List_of_orders[Order ID], List_of_orders[State])</f>
        <v>West Bengal</v>
      </c>
      <c r="H376" s="10">
        <f>_xlfn.XLOOKUP(Order_Details[[#This Row],[Order ID]], List_of_orders[Order ID], List_of_orders[Order Date (Clean)])</f>
        <v>43307</v>
      </c>
      <c r="I376" s="7" t="str">
        <f>_xlfn.XLOOKUP(Order_Details[[#This Row],[Order ID]], List_of_orders[Order ID], List_of_orders[CustomerName])</f>
        <v>Akash</v>
      </c>
      <c r="J376" s="7" t="str">
        <f>_xlfn.XLOOKUP(Order_Details[[#This Row],[Order ID]], List_of_orders[Order ID], List_of_orders[City])</f>
        <v>Kolkata</v>
      </c>
      <c r="K376" s="8" t="str">
        <f>TEXT(Order_Details[[#This Row],[Order Date]], "YY-MMM")</f>
        <v>18-Jul</v>
      </c>
      <c r="L376" s="11">
        <f>Order_Details[[#This Row],[Profit]]/Order_Details[[#This Row],[Amount]]</f>
        <v>-1.1755725190839694</v>
      </c>
      <c r="M376" s="8">
        <f>YEAR(Order_Details[[#This Row],[Order Date]])</f>
        <v>2018</v>
      </c>
      <c r="N376" s="8">
        <f>ROUNDUP(MONTH(Order_Details[[#This Row],[Order Date]])/3, 0)</f>
        <v>3</v>
      </c>
    </row>
    <row r="377" spans="1:14">
      <c r="A377" s="1" t="s">
        <v>355</v>
      </c>
      <c r="B377" s="1">
        <v>16</v>
      </c>
      <c r="C377" s="1">
        <v>-5</v>
      </c>
      <c r="D377" s="1">
        <v>2</v>
      </c>
      <c r="E377" s="1" t="s">
        <v>1076</v>
      </c>
      <c r="F377" s="1" t="s">
        <v>1102</v>
      </c>
      <c r="G377" s="7" t="str">
        <f>_xlfn.XLOOKUP(Order_Details[[#This Row],[Order ID]], List_of_orders[Order ID], List_of_orders[State])</f>
        <v>Karnataka</v>
      </c>
      <c r="H377" s="10">
        <f>_xlfn.XLOOKUP(Order_Details[[#This Row],[Order ID]], List_of_orders[Order ID], List_of_orders[Order Date (Clean)])</f>
        <v>43308</v>
      </c>
      <c r="I377" s="7" t="str">
        <f>_xlfn.XLOOKUP(Order_Details[[#This Row],[Order ID]], List_of_orders[Order ID], List_of_orders[CustomerName])</f>
        <v>Anubhaw</v>
      </c>
      <c r="J377" s="7" t="str">
        <f>_xlfn.XLOOKUP(Order_Details[[#This Row],[Order ID]], List_of_orders[Order ID], List_of_orders[City])</f>
        <v>Bangalore</v>
      </c>
      <c r="K377" s="8" t="str">
        <f>TEXT(Order_Details[[#This Row],[Order Date]], "YY-MMM")</f>
        <v>18-Jul</v>
      </c>
      <c r="L377" s="11">
        <f>Order_Details[[#This Row],[Profit]]/Order_Details[[#This Row],[Amount]]</f>
        <v>-0.3125</v>
      </c>
      <c r="M377" s="8">
        <f>YEAR(Order_Details[[#This Row],[Order Date]])</f>
        <v>2018</v>
      </c>
      <c r="N377" s="8">
        <f>ROUNDUP(MONTH(Order_Details[[#This Row],[Order Date]])/3, 0)</f>
        <v>3</v>
      </c>
    </row>
    <row r="378" spans="1:14">
      <c r="A378" s="1" t="s">
        <v>358</v>
      </c>
      <c r="B378" s="1">
        <v>43</v>
      </c>
      <c r="C378" s="1">
        <v>-43</v>
      </c>
      <c r="D378" s="1">
        <v>7</v>
      </c>
      <c r="E378" s="1" t="s">
        <v>1076</v>
      </c>
      <c r="F378" s="1" t="s">
        <v>1102</v>
      </c>
      <c r="G378" s="7" t="str">
        <f>_xlfn.XLOOKUP(Order_Details[[#This Row],[Order ID]], List_of_orders[Order ID], List_of_orders[State])</f>
        <v>Maharashtra</v>
      </c>
      <c r="H378" s="10">
        <f>_xlfn.XLOOKUP(Order_Details[[#This Row],[Order ID]], List_of_orders[Order ID], List_of_orders[Order Date (Clean)])</f>
        <v>43309</v>
      </c>
      <c r="I378" s="7" t="str">
        <f>_xlfn.XLOOKUP(Order_Details[[#This Row],[Order ID]], List_of_orders[Order ID], List_of_orders[CustomerName])</f>
        <v>Dhirajendu</v>
      </c>
      <c r="J378" s="7" t="str">
        <f>_xlfn.XLOOKUP(Order_Details[[#This Row],[Order ID]], List_of_orders[Order ID], List_of_orders[City])</f>
        <v>Mumbai</v>
      </c>
      <c r="K378" s="8" t="str">
        <f>TEXT(Order_Details[[#This Row],[Order Date]], "YY-MMM")</f>
        <v>18-Jul</v>
      </c>
      <c r="L378" s="11">
        <f>Order_Details[[#This Row],[Profit]]/Order_Details[[#This Row],[Amount]]</f>
        <v>-1</v>
      </c>
      <c r="M378" s="8">
        <f>YEAR(Order_Details[[#This Row],[Order Date]])</f>
        <v>2018</v>
      </c>
      <c r="N378" s="8">
        <f>ROUNDUP(MONTH(Order_Details[[#This Row],[Order Date]])/3, 0)</f>
        <v>3</v>
      </c>
    </row>
    <row r="379" spans="1:14">
      <c r="A379" s="1" t="s">
        <v>358</v>
      </c>
      <c r="B379" s="1">
        <v>30</v>
      </c>
      <c r="C379" s="1">
        <v>-10</v>
      </c>
      <c r="D379" s="1">
        <v>2</v>
      </c>
      <c r="E379" s="1" t="s">
        <v>1076</v>
      </c>
      <c r="F379" s="1" t="s">
        <v>1102</v>
      </c>
      <c r="G379" s="7" t="str">
        <f>_xlfn.XLOOKUP(Order_Details[[#This Row],[Order ID]], List_of_orders[Order ID], List_of_orders[State])</f>
        <v>Maharashtra</v>
      </c>
      <c r="H379" s="10">
        <f>_xlfn.XLOOKUP(Order_Details[[#This Row],[Order ID]], List_of_orders[Order ID], List_of_orders[Order Date (Clean)])</f>
        <v>43309</v>
      </c>
      <c r="I379" s="7" t="str">
        <f>_xlfn.XLOOKUP(Order_Details[[#This Row],[Order ID]], List_of_orders[Order ID], List_of_orders[CustomerName])</f>
        <v>Dhirajendu</v>
      </c>
      <c r="J379" s="7" t="str">
        <f>_xlfn.XLOOKUP(Order_Details[[#This Row],[Order ID]], List_of_orders[Order ID], List_of_orders[City])</f>
        <v>Mumbai</v>
      </c>
      <c r="K379" s="8" t="str">
        <f>TEXT(Order_Details[[#This Row],[Order Date]], "YY-MMM")</f>
        <v>18-Jul</v>
      </c>
      <c r="L379" s="11">
        <f>Order_Details[[#This Row],[Profit]]/Order_Details[[#This Row],[Amount]]</f>
        <v>-0.33333333333333331</v>
      </c>
      <c r="M379" s="8">
        <f>YEAR(Order_Details[[#This Row],[Order Date]])</f>
        <v>2018</v>
      </c>
      <c r="N379" s="8">
        <f>ROUNDUP(MONTH(Order_Details[[#This Row],[Order Date]])/3, 0)</f>
        <v>3</v>
      </c>
    </row>
    <row r="380" spans="1:14">
      <c r="A380" s="1" t="s">
        <v>358</v>
      </c>
      <c r="B380" s="1">
        <v>23</v>
      </c>
      <c r="C380" s="1">
        <v>-6</v>
      </c>
      <c r="D380" s="1">
        <v>4</v>
      </c>
      <c r="E380" s="1" t="s">
        <v>1076</v>
      </c>
      <c r="F380" s="1" t="s">
        <v>1103</v>
      </c>
      <c r="G380" s="7" t="str">
        <f>_xlfn.XLOOKUP(Order_Details[[#This Row],[Order ID]], List_of_orders[Order ID], List_of_orders[State])</f>
        <v>Maharashtra</v>
      </c>
      <c r="H380" s="10">
        <f>_xlfn.XLOOKUP(Order_Details[[#This Row],[Order ID]], List_of_orders[Order ID], List_of_orders[Order Date (Clean)])</f>
        <v>43309</v>
      </c>
      <c r="I380" s="7" t="str">
        <f>_xlfn.XLOOKUP(Order_Details[[#This Row],[Order ID]], List_of_orders[Order ID], List_of_orders[CustomerName])</f>
        <v>Dhirajendu</v>
      </c>
      <c r="J380" s="7" t="str">
        <f>_xlfn.XLOOKUP(Order_Details[[#This Row],[Order ID]], List_of_orders[Order ID], List_of_orders[City])</f>
        <v>Mumbai</v>
      </c>
      <c r="K380" s="8" t="str">
        <f>TEXT(Order_Details[[#This Row],[Order Date]], "YY-MMM")</f>
        <v>18-Jul</v>
      </c>
      <c r="L380" s="11">
        <f>Order_Details[[#This Row],[Profit]]/Order_Details[[#This Row],[Amount]]</f>
        <v>-0.2608695652173913</v>
      </c>
      <c r="M380" s="8">
        <f>YEAR(Order_Details[[#This Row],[Order Date]])</f>
        <v>2018</v>
      </c>
      <c r="N380" s="8">
        <f>ROUNDUP(MONTH(Order_Details[[#This Row],[Order Date]])/3, 0)</f>
        <v>3</v>
      </c>
    </row>
    <row r="381" spans="1:14">
      <c r="A381" s="1" t="s">
        <v>361</v>
      </c>
      <c r="B381" s="1">
        <v>108</v>
      </c>
      <c r="C381" s="1">
        <v>-19</v>
      </c>
      <c r="D381" s="1">
        <v>3</v>
      </c>
      <c r="E381" s="1" t="s">
        <v>1077</v>
      </c>
      <c r="F381" s="1" t="s">
        <v>1104</v>
      </c>
      <c r="G381" s="7" t="str">
        <f>_xlfn.XLOOKUP(Order_Details[[#This Row],[Order ID]], List_of_orders[Order ID], List_of_orders[State])</f>
        <v>Madhya Pradesh</v>
      </c>
      <c r="H381" s="10">
        <f>_xlfn.XLOOKUP(Order_Details[[#This Row],[Order ID]], List_of_orders[Order ID], List_of_orders[Order Date (Clean)])</f>
        <v>43310</v>
      </c>
      <c r="I381" s="7" t="str">
        <f>_xlfn.XLOOKUP(Order_Details[[#This Row],[Order ID]], List_of_orders[Order ID], List_of_orders[CustomerName])</f>
        <v>Pranav</v>
      </c>
      <c r="J381" s="7" t="str">
        <f>_xlfn.XLOOKUP(Order_Details[[#This Row],[Order ID]], List_of_orders[Order ID], List_of_orders[City])</f>
        <v>Indore</v>
      </c>
      <c r="K381" s="8" t="str">
        <f>TEXT(Order_Details[[#This Row],[Order Date]], "YY-MMM")</f>
        <v>18-Jul</v>
      </c>
      <c r="L381" s="11">
        <f>Order_Details[[#This Row],[Profit]]/Order_Details[[#This Row],[Amount]]</f>
        <v>-0.17592592592592593</v>
      </c>
      <c r="M381" s="8">
        <f>YEAR(Order_Details[[#This Row],[Order Date]])</f>
        <v>2018</v>
      </c>
      <c r="N381" s="8">
        <f>ROUNDUP(MONTH(Order_Details[[#This Row],[Order Date]])/3, 0)</f>
        <v>3</v>
      </c>
    </row>
    <row r="382" spans="1:14">
      <c r="A382" s="1" t="s">
        <v>364</v>
      </c>
      <c r="B382" s="1">
        <v>12</v>
      </c>
      <c r="C382" s="1">
        <v>-2</v>
      </c>
      <c r="D382" s="1">
        <v>3</v>
      </c>
      <c r="E382" s="1" t="s">
        <v>1076</v>
      </c>
      <c r="F382" s="1" t="s">
        <v>1103</v>
      </c>
      <c r="G382" s="7" t="str">
        <f>_xlfn.XLOOKUP(Order_Details[[#This Row],[Order ID]], List_of_orders[Order ID], List_of_orders[State])</f>
        <v>Uttar Pradesh</v>
      </c>
      <c r="H382" s="10">
        <f>_xlfn.XLOOKUP(Order_Details[[#This Row],[Order ID]], List_of_orders[Order ID], List_of_orders[Order Date (Clean)])</f>
        <v>43311</v>
      </c>
      <c r="I382" s="7" t="str">
        <f>_xlfn.XLOOKUP(Order_Details[[#This Row],[Order ID]], List_of_orders[Order ID], List_of_orders[CustomerName])</f>
        <v>Arindam</v>
      </c>
      <c r="J382" s="7" t="str">
        <f>_xlfn.XLOOKUP(Order_Details[[#This Row],[Order ID]], List_of_orders[Order ID], List_of_orders[City])</f>
        <v>Lucknow</v>
      </c>
      <c r="K382" s="8" t="str">
        <f>TEXT(Order_Details[[#This Row],[Order Date]], "YY-MMM")</f>
        <v>18-Jul</v>
      </c>
      <c r="L382" s="11">
        <f>Order_Details[[#This Row],[Profit]]/Order_Details[[#This Row],[Amount]]</f>
        <v>-0.16666666666666666</v>
      </c>
      <c r="M382" s="8">
        <f>YEAR(Order_Details[[#This Row],[Order Date]])</f>
        <v>2018</v>
      </c>
      <c r="N382" s="8">
        <f>ROUNDUP(MONTH(Order_Details[[#This Row],[Order Date]])/3, 0)</f>
        <v>3</v>
      </c>
    </row>
    <row r="383" spans="1:14">
      <c r="A383" s="1" t="s">
        <v>364</v>
      </c>
      <c r="B383" s="1">
        <v>7</v>
      </c>
      <c r="C383" s="1">
        <v>-1</v>
      </c>
      <c r="D383" s="1">
        <v>2</v>
      </c>
      <c r="E383" s="1" t="s">
        <v>1076</v>
      </c>
      <c r="F383" s="1" t="s">
        <v>1117</v>
      </c>
      <c r="G383" s="7" t="str">
        <f>_xlfn.XLOOKUP(Order_Details[[#This Row],[Order ID]], List_of_orders[Order ID], List_of_orders[State])</f>
        <v>Uttar Pradesh</v>
      </c>
      <c r="H383" s="10">
        <f>_xlfn.XLOOKUP(Order_Details[[#This Row],[Order ID]], List_of_orders[Order ID], List_of_orders[Order Date (Clean)])</f>
        <v>43311</v>
      </c>
      <c r="I383" s="7" t="str">
        <f>_xlfn.XLOOKUP(Order_Details[[#This Row],[Order ID]], List_of_orders[Order ID], List_of_orders[CustomerName])</f>
        <v>Arindam</v>
      </c>
      <c r="J383" s="7" t="str">
        <f>_xlfn.XLOOKUP(Order_Details[[#This Row],[Order ID]], List_of_orders[Order ID], List_of_orders[City])</f>
        <v>Lucknow</v>
      </c>
      <c r="K383" s="8" t="str">
        <f>TEXT(Order_Details[[#This Row],[Order Date]], "YY-MMM")</f>
        <v>18-Jul</v>
      </c>
      <c r="L383" s="11">
        <f>Order_Details[[#This Row],[Profit]]/Order_Details[[#This Row],[Amount]]</f>
        <v>-0.14285714285714285</v>
      </c>
      <c r="M383" s="8">
        <f>YEAR(Order_Details[[#This Row],[Order Date]])</f>
        <v>2018</v>
      </c>
      <c r="N383" s="8">
        <f>ROUNDUP(MONTH(Order_Details[[#This Row],[Order Date]])/3, 0)</f>
        <v>3</v>
      </c>
    </row>
    <row r="384" spans="1:14">
      <c r="A384" s="1" t="s">
        <v>364</v>
      </c>
      <c r="B384" s="1">
        <v>15</v>
      </c>
      <c r="C384" s="1">
        <v>-7</v>
      </c>
      <c r="D384" s="1">
        <v>1</v>
      </c>
      <c r="E384" s="1" t="s">
        <v>1076</v>
      </c>
      <c r="F384" s="1" t="s">
        <v>1103</v>
      </c>
      <c r="G384" s="7" t="str">
        <f>_xlfn.XLOOKUP(Order_Details[[#This Row],[Order ID]], List_of_orders[Order ID], List_of_orders[State])</f>
        <v>Uttar Pradesh</v>
      </c>
      <c r="H384" s="10">
        <f>_xlfn.XLOOKUP(Order_Details[[#This Row],[Order ID]], List_of_orders[Order ID], List_of_orders[Order Date (Clean)])</f>
        <v>43311</v>
      </c>
      <c r="I384" s="7" t="str">
        <f>_xlfn.XLOOKUP(Order_Details[[#This Row],[Order ID]], List_of_orders[Order ID], List_of_orders[CustomerName])</f>
        <v>Arindam</v>
      </c>
      <c r="J384" s="7" t="str">
        <f>_xlfn.XLOOKUP(Order_Details[[#This Row],[Order ID]], List_of_orders[Order ID], List_of_orders[City])</f>
        <v>Lucknow</v>
      </c>
      <c r="K384" s="8" t="str">
        <f>TEXT(Order_Details[[#This Row],[Order Date]], "YY-MMM")</f>
        <v>18-Jul</v>
      </c>
      <c r="L384" s="11">
        <f>Order_Details[[#This Row],[Profit]]/Order_Details[[#This Row],[Amount]]</f>
        <v>-0.46666666666666667</v>
      </c>
      <c r="M384" s="8">
        <f>YEAR(Order_Details[[#This Row],[Order Date]])</f>
        <v>2018</v>
      </c>
      <c r="N384" s="8">
        <f>ROUNDUP(MONTH(Order_Details[[#This Row],[Order Date]])/3, 0)</f>
        <v>3</v>
      </c>
    </row>
    <row r="385" spans="1:14">
      <c r="A385" s="1" t="s">
        <v>367</v>
      </c>
      <c r="B385" s="1">
        <v>31</v>
      </c>
      <c r="C385" s="1">
        <v>-7</v>
      </c>
      <c r="D385" s="1">
        <v>5</v>
      </c>
      <c r="E385" s="1" t="s">
        <v>1076</v>
      </c>
      <c r="F385" s="1" t="s">
        <v>1117</v>
      </c>
      <c r="G385" s="7" t="str">
        <f>_xlfn.XLOOKUP(Order_Details[[#This Row],[Order ID]], List_of_orders[Order ID], List_of_orders[State])</f>
        <v>Maharashtra</v>
      </c>
      <c r="H385" s="10">
        <f>_xlfn.XLOOKUP(Order_Details[[#This Row],[Order ID]], List_of_orders[Order ID], List_of_orders[Order Date (Clean)])</f>
        <v>43312</v>
      </c>
      <c r="I385" s="7" t="str">
        <f>_xlfn.XLOOKUP(Order_Details[[#This Row],[Order ID]], List_of_orders[Order ID], List_of_orders[CustomerName])</f>
        <v>Akshat</v>
      </c>
      <c r="J385" s="7" t="str">
        <f>_xlfn.XLOOKUP(Order_Details[[#This Row],[Order ID]], List_of_orders[Order ID], List_of_orders[City])</f>
        <v>Mumbai</v>
      </c>
      <c r="K385" s="8" t="str">
        <f>TEXT(Order_Details[[#This Row],[Order Date]], "YY-MMM")</f>
        <v>18-Jul</v>
      </c>
      <c r="L385" s="11">
        <f>Order_Details[[#This Row],[Profit]]/Order_Details[[#This Row],[Amount]]</f>
        <v>-0.22580645161290322</v>
      </c>
      <c r="M385" s="8">
        <f>YEAR(Order_Details[[#This Row],[Order Date]])</f>
        <v>2018</v>
      </c>
      <c r="N385" s="8">
        <f>ROUNDUP(MONTH(Order_Details[[#This Row],[Order Date]])/3, 0)</f>
        <v>3</v>
      </c>
    </row>
    <row r="386" spans="1:14">
      <c r="A386" s="1" t="s">
        <v>370</v>
      </c>
      <c r="B386" s="1">
        <v>187</v>
      </c>
      <c r="C386" s="1">
        <v>-15</v>
      </c>
      <c r="D386" s="1">
        <v>3</v>
      </c>
      <c r="E386" s="1" t="s">
        <v>1076</v>
      </c>
      <c r="F386" s="1" t="s">
        <v>1107</v>
      </c>
      <c r="G386" s="7" t="str">
        <f>_xlfn.XLOOKUP(Order_Details[[#This Row],[Order ID]], List_of_orders[Order ID], List_of_orders[State])</f>
        <v>Madhya Pradesh</v>
      </c>
      <c r="H386" s="10">
        <f>_xlfn.XLOOKUP(Order_Details[[#This Row],[Order ID]], List_of_orders[Order ID], List_of_orders[Order Date (Clean)])</f>
        <v>43313</v>
      </c>
      <c r="I386" s="7" t="str">
        <f>_xlfn.XLOOKUP(Order_Details[[#This Row],[Order ID]], List_of_orders[Order ID], List_of_orders[CustomerName])</f>
        <v>Shubham</v>
      </c>
      <c r="J386" s="7" t="str">
        <f>_xlfn.XLOOKUP(Order_Details[[#This Row],[Order ID]], List_of_orders[Order ID], List_of_orders[City])</f>
        <v>Indore</v>
      </c>
      <c r="K386" s="8" t="str">
        <f>TEXT(Order_Details[[#This Row],[Order Date]], "YY-MMM")</f>
        <v>18-Aug</v>
      </c>
      <c r="L386" s="11">
        <f>Order_Details[[#This Row],[Profit]]/Order_Details[[#This Row],[Amount]]</f>
        <v>-8.0213903743315509E-2</v>
      </c>
      <c r="M386" s="8">
        <f>YEAR(Order_Details[[#This Row],[Order Date]])</f>
        <v>2018</v>
      </c>
      <c r="N386" s="8">
        <f>ROUNDUP(MONTH(Order_Details[[#This Row],[Order Date]])/3, 0)</f>
        <v>3</v>
      </c>
    </row>
    <row r="387" spans="1:14">
      <c r="A387" s="1" t="s">
        <v>372</v>
      </c>
      <c r="B387" s="1">
        <v>70</v>
      </c>
      <c r="C387" s="1">
        <v>-14</v>
      </c>
      <c r="D387" s="1">
        <v>2</v>
      </c>
      <c r="E387" s="1" t="s">
        <v>1075</v>
      </c>
      <c r="F387" s="1" t="s">
        <v>1116</v>
      </c>
      <c r="G387" s="7" t="str">
        <f>_xlfn.XLOOKUP(Order_Details[[#This Row],[Order ID]], List_of_orders[Order ID], List_of_orders[State])</f>
        <v>Punjab</v>
      </c>
      <c r="H387" s="10">
        <f>_xlfn.XLOOKUP(Order_Details[[#This Row],[Order ID]], List_of_orders[Order ID], List_of_orders[Order Date (Clean)])</f>
        <v>43314</v>
      </c>
      <c r="I387" s="7" t="str">
        <f>_xlfn.XLOOKUP(Order_Details[[#This Row],[Order ID]], List_of_orders[Order ID], List_of_orders[CustomerName])</f>
        <v>Ayush</v>
      </c>
      <c r="J387" s="7" t="str">
        <f>_xlfn.XLOOKUP(Order_Details[[#This Row],[Order ID]], List_of_orders[Order ID], List_of_orders[City])</f>
        <v>Chandigarh</v>
      </c>
      <c r="K387" s="8" t="str">
        <f>TEXT(Order_Details[[#This Row],[Order Date]], "YY-MMM")</f>
        <v>18-Aug</v>
      </c>
      <c r="L387" s="11">
        <f>Order_Details[[#This Row],[Profit]]/Order_Details[[#This Row],[Amount]]</f>
        <v>-0.2</v>
      </c>
      <c r="M387" s="8">
        <f>YEAR(Order_Details[[#This Row],[Order Date]])</f>
        <v>2018</v>
      </c>
      <c r="N387" s="8">
        <f>ROUNDUP(MONTH(Order_Details[[#This Row],[Order Date]])/3, 0)</f>
        <v>3</v>
      </c>
    </row>
    <row r="388" spans="1:14">
      <c r="A388" s="1" t="s">
        <v>372</v>
      </c>
      <c r="B388" s="1">
        <v>72</v>
      </c>
      <c r="C388" s="1">
        <v>-6</v>
      </c>
      <c r="D388" s="1">
        <v>3</v>
      </c>
      <c r="E388" s="1" t="s">
        <v>1076</v>
      </c>
      <c r="F388" s="1" t="s">
        <v>1106</v>
      </c>
      <c r="G388" s="7" t="str">
        <f>_xlfn.XLOOKUP(Order_Details[[#This Row],[Order ID]], List_of_orders[Order ID], List_of_orders[State])</f>
        <v>Punjab</v>
      </c>
      <c r="H388" s="10">
        <f>_xlfn.XLOOKUP(Order_Details[[#This Row],[Order ID]], List_of_orders[Order ID], List_of_orders[Order Date (Clean)])</f>
        <v>43314</v>
      </c>
      <c r="I388" s="7" t="str">
        <f>_xlfn.XLOOKUP(Order_Details[[#This Row],[Order ID]], List_of_orders[Order ID], List_of_orders[CustomerName])</f>
        <v>Ayush</v>
      </c>
      <c r="J388" s="7" t="str">
        <f>_xlfn.XLOOKUP(Order_Details[[#This Row],[Order ID]], List_of_orders[Order ID], List_of_orders[City])</f>
        <v>Chandigarh</v>
      </c>
      <c r="K388" s="8" t="str">
        <f>TEXT(Order_Details[[#This Row],[Order Date]], "YY-MMM")</f>
        <v>18-Aug</v>
      </c>
      <c r="L388" s="11">
        <f>Order_Details[[#This Row],[Profit]]/Order_Details[[#This Row],[Amount]]</f>
        <v>-8.3333333333333329E-2</v>
      </c>
      <c r="M388" s="8">
        <f>YEAR(Order_Details[[#This Row],[Order Date]])</f>
        <v>2018</v>
      </c>
      <c r="N388" s="8">
        <f>ROUNDUP(MONTH(Order_Details[[#This Row],[Order Date]])/3, 0)</f>
        <v>3</v>
      </c>
    </row>
    <row r="389" spans="1:14">
      <c r="A389" s="1" t="s">
        <v>372</v>
      </c>
      <c r="B389" s="1">
        <v>1069</v>
      </c>
      <c r="C389" s="1">
        <v>0</v>
      </c>
      <c r="D389" s="1">
        <v>6</v>
      </c>
      <c r="E389" s="1" t="s">
        <v>1076</v>
      </c>
      <c r="F389" s="1" t="s">
        <v>1106</v>
      </c>
      <c r="G389" s="7" t="str">
        <f>_xlfn.XLOOKUP(Order_Details[[#This Row],[Order ID]], List_of_orders[Order ID], List_of_orders[State])</f>
        <v>Punjab</v>
      </c>
      <c r="H389" s="10">
        <f>_xlfn.XLOOKUP(Order_Details[[#This Row],[Order ID]], List_of_orders[Order ID], List_of_orders[Order Date (Clean)])</f>
        <v>43314</v>
      </c>
      <c r="I389" s="7" t="str">
        <f>_xlfn.XLOOKUP(Order_Details[[#This Row],[Order ID]], List_of_orders[Order ID], List_of_orders[CustomerName])</f>
        <v>Ayush</v>
      </c>
      <c r="J389" s="7" t="str">
        <f>_xlfn.XLOOKUP(Order_Details[[#This Row],[Order ID]], List_of_orders[Order ID], List_of_orders[City])</f>
        <v>Chandigarh</v>
      </c>
      <c r="K389" s="8" t="str">
        <f>TEXT(Order_Details[[#This Row],[Order Date]], "YY-MMM")</f>
        <v>18-Aug</v>
      </c>
      <c r="L389" s="11">
        <f>Order_Details[[#This Row],[Profit]]/Order_Details[[#This Row],[Amount]]</f>
        <v>0</v>
      </c>
      <c r="M389" s="8">
        <f>YEAR(Order_Details[[#This Row],[Order Date]])</f>
        <v>2018</v>
      </c>
      <c r="N389" s="8">
        <f>ROUNDUP(MONTH(Order_Details[[#This Row],[Order Date]])/3, 0)</f>
        <v>3</v>
      </c>
    </row>
    <row r="390" spans="1:14">
      <c r="A390" s="1" t="s">
        <v>372</v>
      </c>
      <c r="B390" s="1">
        <v>148</v>
      </c>
      <c r="C390" s="1">
        <v>-91</v>
      </c>
      <c r="D390" s="1">
        <v>2</v>
      </c>
      <c r="E390" s="1" t="s">
        <v>1077</v>
      </c>
      <c r="F390" s="1" t="s">
        <v>1105</v>
      </c>
      <c r="G390" s="7" t="str">
        <f>_xlfn.XLOOKUP(Order_Details[[#This Row],[Order ID]], List_of_orders[Order ID], List_of_orders[State])</f>
        <v>Punjab</v>
      </c>
      <c r="H390" s="10">
        <f>_xlfn.XLOOKUP(Order_Details[[#This Row],[Order ID]], List_of_orders[Order ID], List_of_orders[Order Date (Clean)])</f>
        <v>43314</v>
      </c>
      <c r="I390" s="7" t="str">
        <f>_xlfn.XLOOKUP(Order_Details[[#This Row],[Order ID]], List_of_orders[Order ID], List_of_orders[CustomerName])</f>
        <v>Ayush</v>
      </c>
      <c r="J390" s="7" t="str">
        <f>_xlfn.XLOOKUP(Order_Details[[#This Row],[Order ID]], List_of_orders[Order ID], List_of_orders[City])</f>
        <v>Chandigarh</v>
      </c>
      <c r="K390" s="8" t="str">
        <f>TEXT(Order_Details[[#This Row],[Order Date]], "YY-MMM")</f>
        <v>18-Aug</v>
      </c>
      <c r="L390" s="11">
        <f>Order_Details[[#This Row],[Profit]]/Order_Details[[#This Row],[Amount]]</f>
        <v>-0.61486486486486491</v>
      </c>
      <c r="M390" s="8">
        <f>YEAR(Order_Details[[#This Row],[Order Date]])</f>
        <v>2018</v>
      </c>
      <c r="N390" s="8">
        <f>ROUNDUP(MONTH(Order_Details[[#This Row],[Order Date]])/3, 0)</f>
        <v>3</v>
      </c>
    </row>
    <row r="391" spans="1:14">
      <c r="A391" s="1" t="s">
        <v>374</v>
      </c>
      <c r="B391" s="1">
        <v>133</v>
      </c>
      <c r="C391" s="1">
        <v>-56</v>
      </c>
      <c r="D391" s="1">
        <v>2</v>
      </c>
      <c r="E391" s="1" t="s">
        <v>1075</v>
      </c>
      <c r="F391" s="1" t="s">
        <v>1108</v>
      </c>
      <c r="G391" s="7" t="str">
        <f>_xlfn.XLOOKUP(Order_Details[[#This Row],[Order ID]], List_of_orders[Order ID], List_of_orders[State])</f>
        <v>Haryana</v>
      </c>
      <c r="H391" s="10">
        <f>_xlfn.XLOOKUP(Order_Details[[#This Row],[Order ID]], List_of_orders[Order ID], List_of_orders[Order Date (Clean)])</f>
        <v>43315</v>
      </c>
      <c r="I391" s="7" t="str">
        <f>_xlfn.XLOOKUP(Order_Details[[#This Row],[Order ID]], List_of_orders[Order ID], List_of_orders[CustomerName])</f>
        <v>Daksh</v>
      </c>
      <c r="J391" s="7" t="str">
        <f>_xlfn.XLOOKUP(Order_Details[[#This Row],[Order ID]], List_of_orders[Order ID], List_of_orders[City])</f>
        <v>Chandigarh</v>
      </c>
      <c r="K391" s="8" t="str">
        <f>TEXT(Order_Details[[#This Row],[Order Date]], "YY-MMM")</f>
        <v>18-Aug</v>
      </c>
      <c r="L391" s="11">
        <f>Order_Details[[#This Row],[Profit]]/Order_Details[[#This Row],[Amount]]</f>
        <v>-0.42105263157894735</v>
      </c>
      <c r="M391" s="8">
        <f>YEAR(Order_Details[[#This Row],[Order Date]])</f>
        <v>2018</v>
      </c>
      <c r="N391" s="8">
        <f>ROUNDUP(MONTH(Order_Details[[#This Row],[Order Date]])/3, 0)</f>
        <v>3</v>
      </c>
    </row>
    <row r="392" spans="1:14">
      <c r="A392" s="1" t="s">
        <v>376</v>
      </c>
      <c r="B392" s="1">
        <v>40</v>
      </c>
      <c r="C392" s="1">
        <v>-37</v>
      </c>
      <c r="D392" s="1">
        <v>3</v>
      </c>
      <c r="E392" s="1" t="s">
        <v>1076</v>
      </c>
      <c r="F392" s="1" t="s">
        <v>1102</v>
      </c>
      <c r="G392" s="7" t="str">
        <f>_xlfn.XLOOKUP(Order_Details[[#This Row],[Order ID]], List_of_orders[Order ID], List_of_orders[State])</f>
        <v>Maharashtra</v>
      </c>
      <c r="H392" s="10">
        <f>_xlfn.XLOOKUP(Order_Details[[#This Row],[Order ID]], List_of_orders[Order ID], List_of_orders[Order Date (Clean)])</f>
        <v>43315</v>
      </c>
      <c r="I392" s="7" t="str">
        <f>_xlfn.XLOOKUP(Order_Details[[#This Row],[Order ID]], List_of_orders[Order ID], List_of_orders[CustomerName])</f>
        <v>Rane</v>
      </c>
      <c r="J392" s="7" t="str">
        <f>_xlfn.XLOOKUP(Order_Details[[#This Row],[Order ID]], List_of_orders[Order ID], List_of_orders[City])</f>
        <v>Mumbai</v>
      </c>
      <c r="K392" s="8" t="str">
        <f>TEXT(Order_Details[[#This Row],[Order Date]], "YY-MMM")</f>
        <v>18-Aug</v>
      </c>
      <c r="L392" s="11">
        <f>Order_Details[[#This Row],[Profit]]/Order_Details[[#This Row],[Amount]]</f>
        <v>-0.92500000000000004</v>
      </c>
      <c r="M392" s="8">
        <f>YEAR(Order_Details[[#This Row],[Order Date]])</f>
        <v>2018</v>
      </c>
      <c r="N392" s="8">
        <f>ROUNDUP(MONTH(Order_Details[[#This Row],[Order Date]])/3, 0)</f>
        <v>3</v>
      </c>
    </row>
    <row r="393" spans="1:14">
      <c r="A393" s="1" t="s">
        <v>376</v>
      </c>
      <c r="B393" s="1">
        <v>7</v>
      </c>
      <c r="C393" s="1">
        <v>0</v>
      </c>
      <c r="D393" s="1">
        <v>2</v>
      </c>
      <c r="E393" s="1" t="s">
        <v>1076</v>
      </c>
      <c r="F393" s="1" t="s">
        <v>1117</v>
      </c>
      <c r="G393" s="7" t="str">
        <f>_xlfn.XLOOKUP(Order_Details[[#This Row],[Order ID]], List_of_orders[Order ID], List_of_orders[State])</f>
        <v>Maharashtra</v>
      </c>
      <c r="H393" s="10">
        <f>_xlfn.XLOOKUP(Order_Details[[#This Row],[Order ID]], List_of_orders[Order ID], List_of_orders[Order Date (Clean)])</f>
        <v>43315</v>
      </c>
      <c r="I393" s="7" t="str">
        <f>_xlfn.XLOOKUP(Order_Details[[#This Row],[Order ID]], List_of_orders[Order ID], List_of_orders[CustomerName])</f>
        <v>Rane</v>
      </c>
      <c r="J393" s="7" t="str">
        <f>_xlfn.XLOOKUP(Order_Details[[#This Row],[Order ID]], List_of_orders[Order ID], List_of_orders[City])</f>
        <v>Mumbai</v>
      </c>
      <c r="K393" s="8" t="str">
        <f>TEXT(Order_Details[[#This Row],[Order Date]], "YY-MMM")</f>
        <v>18-Aug</v>
      </c>
      <c r="L393" s="11">
        <f>Order_Details[[#This Row],[Profit]]/Order_Details[[#This Row],[Amount]]</f>
        <v>0</v>
      </c>
      <c r="M393" s="8">
        <f>YEAR(Order_Details[[#This Row],[Order Date]])</f>
        <v>2018</v>
      </c>
      <c r="N393" s="8">
        <f>ROUNDUP(MONTH(Order_Details[[#This Row],[Order Date]])/3, 0)</f>
        <v>3</v>
      </c>
    </row>
    <row r="394" spans="1:14">
      <c r="A394" s="1" t="s">
        <v>376</v>
      </c>
      <c r="B394" s="1">
        <v>58</v>
      </c>
      <c r="C394" s="1">
        <v>-8</v>
      </c>
      <c r="D394" s="1">
        <v>2</v>
      </c>
      <c r="E394" s="1" t="s">
        <v>1076</v>
      </c>
      <c r="F394" s="1" t="s">
        <v>1106</v>
      </c>
      <c r="G394" s="7" t="str">
        <f>_xlfn.XLOOKUP(Order_Details[[#This Row],[Order ID]], List_of_orders[Order ID], List_of_orders[State])</f>
        <v>Maharashtra</v>
      </c>
      <c r="H394" s="10">
        <f>_xlfn.XLOOKUP(Order_Details[[#This Row],[Order ID]], List_of_orders[Order ID], List_of_orders[Order Date (Clean)])</f>
        <v>43315</v>
      </c>
      <c r="I394" s="7" t="str">
        <f>_xlfn.XLOOKUP(Order_Details[[#This Row],[Order ID]], List_of_orders[Order ID], List_of_orders[CustomerName])</f>
        <v>Rane</v>
      </c>
      <c r="J394" s="7" t="str">
        <f>_xlfn.XLOOKUP(Order_Details[[#This Row],[Order ID]], List_of_orders[Order ID], List_of_orders[City])</f>
        <v>Mumbai</v>
      </c>
      <c r="K394" s="8" t="str">
        <f>TEXT(Order_Details[[#This Row],[Order Date]], "YY-MMM")</f>
        <v>18-Aug</v>
      </c>
      <c r="L394" s="11">
        <f>Order_Details[[#This Row],[Profit]]/Order_Details[[#This Row],[Amount]]</f>
        <v>-0.13793103448275862</v>
      </c>
      <c r="M394" s="8">
        <f>YEAR(Order_Details[[#This Row],[Order Date]])</f>
        <v>2018</v>
      </c>
      <c r="N394" s="8">
        <f>ROUNDUP(MONTH(Order_Details[[#This Row],[Order Date]])/3, 0)</f>
        <v>3</v>
      </c>
    </row>
    <row r="395" spans="1:14">
      <c r="A395" s="1" t="s">
        <v>378</v>
      </c>
      <c r="B395" s="1">
        <v>482</v>
      </c>
      <c r="C395" s="1">
        <v>-6</v>
      </c>
      <c r="D395" s="1">
        <v>7</v>
      </c>
      <c r="E395" s="1" t="s">
        <v>1077</v>
      </c>
      <c r="F395" s="1" t="s">
        <v>1104</v>
      </c>
      <c r="G395" s="7" t="str">
        <f>_xlfn.XLOOKUP(Order_Details[[#This Row],[Order ID]], List_of_orders[Order ID], List_of_orders[State])</f>
        <v>Madhya Pradesh</v>
      </c>
      <c r="H395" s="10">
        <f>_xlfn.XLOOKUP(Order_Details[[#This Row],[Order ID]], List_of_orders[Order ID], List_of_orders[Order Date (Clean)])</f>
        <v>43315</v>
      </c>
      <c r="I395" s="7" t="str">
        <f>_xlfn.XLOOKUP(Order_Details[[#This Row],[Order ID]], List_of_orders[Order ID], List_of_orders[CustomerName])</f>
        <v>Navdeep</v>
      </c>
      <c r="J395" s="7" t="str">
        <f>_xlfn.XLOOKUP(Order_Details[[#This Row],[Order ID]], List_of_orders[Order ID], List_of_orders[City])</f>
        <v>Indore</v>
      </c>
      <c r="K395" s="8" t="str">
        <f>TEXT(Order_Details[[#This Row],[Order Date]], "YY-MMM")</f>
        <v>18-Aug</v>
      </c>
      <c r="L395" s="11">
        <f>Order_Details[[#This Row],[Profit]]/Order_Details[[#This Row],[Amount]]</f>
        <v>-1.2448132780082987E-2</v>
      </c>
      <c r="M395" s="8">
        <f>YEAR(Order_Details[[#This Row],[Order Date]])</f>
        <v>2018</v>
      </c>
      <c r="N395" s="8">
        <f>ROUNDUP(MONTH(Order_Details[[#This Row],[Order Date]])/3, 0)</f>
        <v>3</v>
      </c>
    </row>
    <row r="396" spans="1:14">
      <c r="A396" s="1" t="s">
        <v>380</v>
      </c>
      <c r="B396" s="1">
        <v>11</v>
      </c>
      <c r="C396" s="1">
        <v>-8</v>
      </c>
      <c r="D396" s="1">
        <v>2</v>
      </c>
      <c r="E396" s="1" t="s">
        <v>1076</v>
      </c>
      <c r="F396" s="1" t="s">
        <v>1117</v>
      </c>
      <c r="G396" s="7" t="str">
        <f>_xlfn.XLOOKUP(Order_Details[[#This Row],[Order ID]], List_of_orders[Order ID], List_of_orders[State])</f>
        <v>Goa</v>
      </c>
      <c r="H396" s="10">
        <f>_xlfn.XLOOKUP(Order_Details[[#This Row],[Order ID]], List_of_orders[Order ID], List_of_orders[Order Date (Clean)])</f>
        <v>43315</v>
      </c>
      <c r="I396" s="7" t="str">
        <f>_xlfn.XLOOKUP(Order_Details[[#This Row],[Order ID]], List_of_orders[Order ID], List_of_orders[CustomerName])</f>
        <v>Ashwin</v>
      </c>
      <c r="J396" s="7" t="str">
        <f>_xlfn.XLOOKUP(Order_Details[[#This Row],[Order ID]], List_of_orders[Order ID], List_of_orders[City])</f>
        <v>Goa</v>
      </c>
      <c r="K396" s="8" t="str">
        <f>TEXT(Order_Details[[#This Row],[Order Date]], "YY-MMM")</f>
        <v>18-Aug</v>
      </c>
      <c r="L396" s="11">
        <f>Order_Details[[#This Row],[Profit]]/Order_Details[[#This Row],[Amount]]</f>
        <v>-0.72727272727272729</v>
      </c>
      <c r="M396" s="8">
        <f>YEAR(Order_Details[[#This Row],[Order Date]])</f>
        <v>2018</v>
      </c>
      <c r="N396" s="8">
        <f>ROUNDUP(MONTH(Order_Details[[#This Row],[Order Date]])/3, 0)</f>
        <v>3</v>
      </c>
    </row>
    <row r="397" spans="1:14">
      <c r="A397" s="1" t="s">
        <v>382</v>
      </c>
      <c r="B397" s="1">
        <v>143</v>
      </c>
      <c r="C397" s="1">
        <v>-124</v>
      </c>
      <c r="D397" s="1">
        <v>5</v>
      </c>
      <c r="E397" s="1" t="s">
        <v>1076</v>
      </c>
      <c r="F397" s="1" t="s">
        <v>1106</v>
      </c>
      <c r="G397" s="7" t="str">
        <f>_xlfn.XLOOKUP(Order_Details[[#This Row],[Order ID]], List_of_orders[Order ID], List_of_orders[State])</f>
        <v>Nagaland</v>
      </c>
      <c r="H397" s="10">
        <f>_xlfn.XLOOKUP(Order_Details[[#This Row],[Order ID]], List_of_orders[Order ID], List_of_orders[Order Date (Clean)])</f>
        <v>43319</v>
      </c>
      <c r="I397" s="7" t="str">
        <f>_xlfn.XLOOKUP(Order_Details[[#This Row],[Order ID]], List_of_orders[Order ID], List_of_orders[CustomerName])</f>
        <v>Aman</v>
      </c>
      <c r="J397" s="7" t="str">
        <f>_xlfn.XLOOKUP(Order_Details[[#This Row],[Order ID]], List_of_orders[Order ID], List_of_orders[City])</f>
        <v>Kohima</v>
      </c>
      <c r="K397" s="8" t="str">
        <f>TEXT(Order_Details[[#This Row],[Order Date]], "YY-MMM")</f>
        <v>18-Aug</v>
      </c>
      <c r="L397" s="11">
        <f>Order_Details[[#This Row],[Profit]]/Order_Details[[#This Row],[Amount]]</f>
        <v>-0.86713286713286708</v>
      </c>
      <c r="M397" s="8">
        <f>YEAR(Order_Details[[#This Row],[Order Date]])</f>
        <v>2018</v>
      </c>
      <c r="N397" s="8">
        <f>ROUNDUP(MONTH(Order_Details[[#This Row],[Order Date]])/3, 0)</f>
        <v>3</v>
      </c>
    </row>
    <row r="398" spans="1:14">
      <c r="A398" s="1" t="s">
        <v>382</v>
      </c>
      <c r="B398" s="1">
        <v>9</v>
      </c>
      <c r="C398" s="1">
        <v>-5</v>
      </c>
      <c r="D398" s="1">
        <v>1</v>
      </c>
      <c r="E398" s="1" t="s">
        <v>1076</v>
      </c>
      <c r="F398" s="1" t="s">
        <v>1106</v>
      </c>
      <c r="G398" s="7" t="str">
        <f>_xlfn.XLOOKUP(Order_Details[[#This Row],[Order ID]], List_of_orders[Order ID], List_of_orders[State])</f>
        <v>Nagaland</v>
      </c>
      <c r="H398" s="10">
        <f>_xlfn.XLOOKUP(Order_Details[[#This Row],[Order ID]], List_of_orders[Order ID], List_of_orders[Order Date (Clean)])</f>
        <v>43319</v>
      </c>
      <c r="I398" s="7" t="str">
        <f>_xlfn.XLOOKUP(Order_Details[[#This Row],[Order ID]], List_of_orders[Order ID], List_of_orders[CustomerName])</f>
        <v>Aman</v>
      </c>
      <c r="J398" s="7" t="str">
        <f>_xlfn.XLOOKUP(Order_Details[[#This Row],[Order ID]], List_of_orders[Order ID], List_of_orders[City])</f>
        <v>Kohima</v>
      </c>
      <c r="K398" s="8" t="str">
        <f>TEXT(Order_Details[[#This Row],[Order Date]], "YY-MMM")</f>
        <v>18-Aug</v>
      </c>
      <c r="L398" s="11">
        <f>Order_Details[[#This Row],[Profit]]/Order_Details[[#This Row],[Amount]]</f>
        <v>-0.55555555555555558</v>
      </c>
      <c r="M398" s="8">
        <f>YEAR(Order_Details[[#This Row],[Order Date]])</f>
        <v>2018</v>
      </c>
      <c r="N398" s="8">
        <f>ROUNDUP(MONTH(Order_Details[[#This Row],[Order Date]])/3, 0)</f>
        <v>3</v>
      </c>
    </row>
    <row r="399" spans="1:14">
      <c r="A399" s="1" t="s">
        <v>382</v>
      </c>
      <c r="B399" s="1">
        <v>503</v>
      </c>
      <c r="C399" s="1">
        <v>-56</v>
      </c>
      <c r="D399" s="1">
        <v>2</v>
      </c>
      <c r="E399" s="1" t="s">
        <v>1076</v>
      </c>
      <c r="F399" s="1" t="s">
        <v>1107</v>
      </c>
      <c r="G399" s="7" t="str">
        <f>_xlfn.XLOOKUP(Order_Details[[#This Row],[Order ID]], List_of_orders[Order ID], List_of_orders[State])</f>
        <v>Nagaland</v>
      </c>
      <c r="H399" s="10">
        <f>_xlfn.XLOOKUP(Order_Details[[#This Row],[Order ID]], List_of_orders[Order ID], List_of_orders[Order Date (Clean)])</f>
        <v>43319</v>
      </c>
      <c r="I399" s="7" t="str">
        <f>_xlfn.XLOOKUP(Order_Details[[#This Row],[Order ID]], List_of_orders[Order ID], List_of_orders[CustomerName])</f>
        <v>Aman</v>
      </c>
      <c r="J399" s="7" t="str">
        <f>_xlfn.XLOOKUP(Order_Details[[#This Row],[Order ID]], List_of_orders[Order ID], List_of_orders[City])</f>
        <v>Kohima</v>
      </c>
      <c r="K399" s="8" t="str">
        <f>TEXT(Order_Details[[#This Row],[Order Date]], "YY-MMM")</f>
        <v>18-Aug</v>
      </c>
      <c r="L399" s="11">
        <f>Order_Details[[#This Row],[Profit]]/Order_Details[[#This Row],[Amount]]</f>
        <v>-0.11133200795228629</v>
      </c>
      <c r="M399" s="8">
        <f>YEAR(Order_Details[[#This Row],[Order Date]])</f>
        <v>2018</v>
      </c>
      <c r="N399" s="8">
        <f>ROUNDUP(MONTH(Order_Details[[#This Row],[Order Date]])/3, 0)</f>
        <v>3</v>
      </c>
    </row>
    <row r="400" spans="1:14">
      <c r="A400" s="1" t="s">
        <v>382</v>
      </c>
      <c r="B400" s="1">
        <v>74</v>
      </c>
      <c r="C400" s="1">
        <v>-51</v>
      </c>
      <c r="D400" s="1">
        <v>3</v>
      </c>
      <c r="E400" s="1" t="s">
        <v>1076</v>
      </c>
      <c r="F400" s="1" t="s">
        <v>1102</v>
      </c>
      <c r="G400" s="7" t="str">
        <f>_xlfn.XLOOKUP(Order_Details[[#This Row],[Order ID]], List_of_orders[Order ID], List_of_orders[State])</f>
        <v>Nagaland</v>
      </c>
      <c r="H400" s="10">
        <f>_xlfn.XLOOKUP(Order_Details[[#This Row],[Order ID]], List_of_orders[Order ID], List_of_orders[Order Date (Clean)])</f>
        <v>43319</v>
      </c>
      <c r="I400" s="7" t="str">
        <f>_xlfn.XLOOKUP(Order_Details[[#This Row],[Order ID]], List_of_orders[Order ID], List_of_orders[CustomerName])</f>
        <v>Aman</v>
      </c>
      <c r="J400" s="7" t="str">
        <f>_xlfn.XLOOKUP(Order_Details[[#This Row],[Order ID]], List_of_orders[Order ID], List_of_orders[City])</f>
        <v>Kohima</v>
      </c>
      <c r="K400" s="8" t="str">
        <f>TEXT(Order_Details[[#This Row],[Order Date]], "YY-MMM")</f>
        <v>18-Aug</v>
      </c>
      <c r="L400" s="11">
        <f>Order_Details[[#This Row],[Profit]]/Order_Details[[#This Row],[Amount]]</f>
        <v>-0.68918918918918914</v>
      </c>
      <c r="M400" s="8">
        <f>YEAR(Order_Details[[#This Row],[Order Date]])</f>
        <v>2018</v>
      </c>
      <c r="N400" s="8">
        <f>ROUNDUP(MONTH(Order_Details[[#This Row],[Order Date]])/3, 0)</f>
        <v>3</v>
      </c>
    </row>
    <row r="401" spans="1:14">
      <c r="A401" s="1" t="s">
        <v>382</v>
      </c>
      <c r="B401" s="1">
        <v>56</v>
      </c>
      <c r="C401" s="1">
        <v>0</v>
      </c>
      <c r="D401" s="1">
        <v>4</v>
      </c>
      <c r="E401" s="1" t="s">
        <v>1076</v>
      </c>
      <c r="F401" s="1" t="s">
        <v>1103</v>
      </c>
      <c r="G401" s="7" t="str">
        <f>_xlfn.XLOOKUP(Order_Details[[#This Row],[Order ID]], List_of_orders[Order ID], List_of_orders[State])</f>
        <v>Nagaland</v>
      </c>
      <c r="H401" s="10">
        <f>_xlfn.XLOOKUP(Order_Details[[#This Row],[Order ID]], List_of_orders[Order ID], List_of_orders[Order Date (Clean)])</f>
        <v>43319</v>
      </c>
      <c r="I401" s="7" t="str">
        <f>_xlfn.XLOOKUP(Order_Details[[#This Row],[Order ID]], List_of_orders[Order ID], List_of_orders[CustomerName])</f>
        <v>Aman</v>
      </c>
      <c r="J401" s="7" t="str">
        <f>_xlfn.XLOOKUP(Order_Details[[#This Row],[Order ID]], List_of_orders[Order ID], List_of_orders[City])</f>
        <v>Kohima</v>
      </c>
      <c r="K401" s="8" t="str">
        <f>TEXT(Order_Details[[#This Row],[Order Date]], "YY-MMM")</f>
        <v>18-Aug</v>
      </c>
      <c r="L401" s="11">
        <f>Order_Details[[#This Row],[Profit]]/Order_Details[[#This Row],[Amount]]</f>
        <v>0</v>
      </c>
      <c r="M401" s="8">
        <f>YEAR(Order_Details[[#This Row],[Order Date]])</f>
        <v>2018</v>
      </c>
      <c r="N401" s="8">
        <f>ROUNDUP(MONTH(Order_Details[[#This Row],[Order Date]])/3, 0)</f>
        <v>3</v>
      </c>
    </row>
    <row r="402" spans="1:14">
      <c r="A402" s="1" t="s">
        <v>384</v>
      </c>
      <c r="B402" s="1">
        <v>373</v>
      </c>
      <c r="C402" s="1">
        <v>-254</v>
      </c>
      <c r="D402" s="1">
        <v>6</v>
      </c>
      <c r="E402" s="1" t="s">
        <v>1077</v>
      </c>
      <c r="F402" s="1" t="s">
        <v>1114</v>
      </c>
      <c r="G402" s="7" t="str">
        <f>_xlfn.XLOOKUP(Order_Details[[#This Row],[Order ID]], List_of_orders[Order ID], List_of_orders[State])</f>
        <v>Andhra Pradesh</v>
      </c>
      <c r="H402" s="10">
        <f>_xlfn.XLOOKUP(Order_Details[[#This Row],[Order ID]], List_of_orders[Order ID], List_of_orders[Order Date (Clean)])</f>
        <v>43320</v>
      </c>
      <c r="I402" s="7" t="str">
        <f>_xlfn.XLOOKUP(Order_Details[[#This Row],[Order ID]], List_of_orders[Order ID], List_of_orders[CustomerName])</f>
        <v>Devendra</v>
      </c>
      <c r="J402" s="7" t="str">
        <f>_xlfn.XLOOKUP(Order_Details[[#This Row],[Order ID]], List_of_orders[Order ID], List_of_orders[City])</f>
        <v>Hyderabad</v>
      </c>
      <c r="K402" s="8" t="str">
        <f>TEXT(Order_Details[[#This Row],[Order Date]], "YY-MMM")</f>
        <v>18-Aug</v>
      </c>
      <c r="L402" s="11">
        <f>Order_Details[[#This Row],[Profit]]/Order_Details[[#This Row],[Amount]]</f>
        <v>-0.68096514745308312</v>
      </c>
      <c r="M402" s="8">
        <f>YEAR(Order_Details[[#This Row],[Order Date]])</f>
        <v>2018</v>
      </c>
      <c r="N402" s="8">
        <f>ROUNDUP(MONTH(Order_Details[[#This Row],[Order Date]])/3, 0)</f>
        <v>3</v>
      </c>
    </row>
    <row r="403" spans="1:14">
      <c r="A403" s="1" t="s">
        <v>386</v>
      </c>
      <c r="B403" s="1">
        <v>44</v>
      </c>
      <c r="C403" s="1">
        <v>-8</v>
      </c>
      <c r="D403" s="1">
        <v>3</v>
      </c>
      <c r="E403" s="1" t="s">
        <v>1076</v>
      </c>
      <c r="F403" s="1" t="s">
        <v>1102</v>
      </c>
      <c r="G403" s="7" t="str">
        <f>_xlfn.XLOOKUP(Order_Details[[#This Row],[Order ID]], List_of_orders[Order ID], List_of_orders[State])</f>
        <v>Gujarat</v>
      </c>
      <c r="H403" s="10">
        <f>_xlfn.XLOOKUP(Order_Details[[#This Row],[Order ID]], List_of_orders[Order ID], List_of_orders[Order Date (Clean)])</f>
        <v>43321</v>
      </c>
      <c r="I403" s="7" t="str">
        <f>_xlfn.XLOOKUP(Order_Details[[#This Row],[Order ID]], List_of_orders[Order ID], List_of_orders[CustomerName])</f>
        <v>Kartik</v>
      </c>
      <c r="J403" s="7" t="str">
        <f>_xlfn.XLOOKUP(Order_Details[[#This Row],[Order ID]], List_of_orders[Order ID], List_of_orders[City])</f>
        <v>Ahmedabad</v>
      </c>
      <c r="K403" s="8" t="str">
        <f>TEXT(Order_Details[[#This Row],[Order Date]], "YY-MMM")</f>
        <v>18-Aug</v>
      </c>
      <c r="L403" s="11">
        <f>Order_Details[[#This Row],[Profit]]/Order_Details[[#This Row],[Amount]]</f>
        <v>-0.18181818181818182</v>
      </c>
      <c r="M403" s="8">
        <f>YEAR(Order_Details[[#This Row],[Order Date]])</f>
        <v>2018</v>
      </c>
      <c r="N403" s="8">
        <f>ROUNDUP(MONTH(Order_Details[[#This Row],[Order Date]])/3, 0)</f>
        <v>3</v>
      </c>
    </row>
    <row r="404" spans="1:14">
      <c r="A404" s="1" t="s">
        <v>386</v>
      </c>
      <c r="B404" s="1">
        <v>296</v>
      </c>
      <c r="C404" s="1">
        <v>-225</v>
      </c>
      <c r="D404" s="1">
        <v>11</v>
      </c>
      <c r="E404" s="1" t="s">
        <v>1076</v>
      </c>
      <c r="F404" s="1" t="s">
        <v>1106</v>
      </c>
      <c r="G404" s="7" t="str">
        <f>_xlfn.XLOOKUP(Order_Details[[#This Row],[Order ID]], List_of_orders[Order ID], List_of_orders[State])</f>
        <v>Gujarat</v>
      </c>
      <c r="H404" s="10">
        <f>_xlfn.XLOOKUP(Order_Details[[#This Row],[Order ID]], List_of_orders[Order ID], List_of_orders[Order Date (Clean)])</f>
        <v>43321</v>
      </c>
      <c r="I404" s="7" t="str">
        <f>_xlfn.XLOOKUP(Order_Details[[#This Row],[Order ID]], List_of_orders[Order ID], List_of_orders[CustomerName])</f>
        <v>Kartik</v>
      </c>
      <c r="J404" s="7" t="str">
        <f>_xlfn.XLOOKUP(Order_Details[[#This Row],[Order ID]], List_of_orders[Order ID], List_of_orders[City])</f>
        <v>Ahmedabad</v>
      </c>
      <c r="K404" s="8" t="str">
        <f>TEXT(Order_Details[[#This Row],[Order Date]], "YY-MMM")</f>
        <v>18-Aug</v>
      </c>
      <c r="L404" s="11">
        <f>Order_Details[[#This Row],[Profit]]/Order_Details[[#This Row],[Amount]]</f>
        <v>-0.76013513513513509</v>
      </c>
      <c r="M404" s="8">
        <f>YEAR(Order_Details[[#This Row],[Order Date]])</f>
        <v>2018</v>
      </c>
      <c r="N404" s="8">
        <f>ROUNDUP(MONTH(Order_Details[[#This Row],[Order Date]])/3, 0)</f>
        <v>3</v>
      </c>
    </row>
    <row r="405" spans="1:14">
      <c r="A405" s="1" t="s">
        <v>386</v>
      </c>
      <c r="B405" s="1">
        <v>670</v>
      </c>
      <c r="C405" s="1">
        <v>15</v>
      </c>
      <c r="D405" s="1">
        <v>5</v>
      </c>
      <c r="E405" s="1" t="s">
        <v>1075</v>
      </c>
      <c r="F405" s="1" t="s">
        <v>1101</v>
      </c>
      <c r="G405" s="7" t="str">
        <f>_xlfn.XLOOKUP(Order_Details[[#This Row],[Order ID]], List_of_orders[Order ID], List_of_orders[State])</f>
        <v>Gujarat</v>
      </c>
      <c r="H405" s="10">
        <f>_xlfn.XLOOKUP(Order_Details[[#This Row],[Order ID]], List_of_orders[Order ID], List_of_orders[Order Date (Clean)])</f>
        <v>43321</v>
      </c>
      <c r="I405" s="7" t="str">
        <f>_xlfn.XLOOKUP(Order_Details[[#This Row],[Order ID]], List_of_orders[Order ID], List_of_orders[CustomerName])</f>
        <v>Kartik</v>
      </c>
      <c r="J405" s="7" t="str">
        <f>_xlfn.XLOOKUP(Order_Details[[#This Row],[Order ID]], List_of_orders[Order ID], List_of_orders[City])</f>
        <v>Ahmedabad</v>
      </c>
      <c r="K405" s="8" t="str">
        <f>TEXT(Order_Details[[#This Row],[Order Date]], "YY-MMM")</f>
        <v>18-Aug</v>
      </c>
      <c r="L405" s="11">
        <f>Order_Details[[#This Row],[Profit]]/Order_Details[[#This Row],[Amount]]</f>
        <v>2.2388059701492536E-2</v>
      </c>
      <c r="M405" s="8">
        <f>YEAR(Order_Details[[#This Row],[Order Date]])</f>
        <v>2018</v>
      </c>
      <c r="N405" s="8">
        <f>ROUNDUP(MONTH(Order_Details[[#This Row],[Order Date]])/3, 0)</f>
        <v>3</v>
      </c>
    </row>
    <row r="406" spans="1:14">
      <c r="A406" s="1" t="s">
        <v>386</v>
      </c>
      <c r="B406" s="1">
        <v>132</v>
      </c>
      <c r="C406" s="1">
        <v>-79</v>
      </c>
      <c r="D406" s="1">
        <v>5</v>
      </c>
      <c r="E406" s="1" t="s">
        <v>1075</v>
      </c>
      <c r="F406" s="1" t="s">
        <v>1116</v>
      </c>
      <c r="G406" s="7" t="str">
        <f>_xlfn.XLOOKUP(Order_Details[[#This Row],[Order ID]], List_of_orders[Order ID], List_of_orders[State])</f>
        <v>Gujarat</v>
      </c>
      <c r="H406" s="10">
        <f>_xlfn.XLOOKUP(Order_Details[[#This Row],[Order ID]], List_of_orders[Order ID], List_of_orders[Order Date (Clean)])</f>
        <v>43321</v>
      </c>
      <c r="I406" s="7" t="str">
        <f>_xlfn.XLOOKUP(Order_Details[[#This Row],[Order ID]], List_of_orders[Order ID], List_of_orders[CustomerName])</f>
        <v>Kartik</v>
      </c>
      <c r="J406" s="7" t="str">
        <f>_xlfn.XLOOKUP(Order_Details[[#This Row],[Order ID]], List_of_orders[Order ID], List_of_orders[City])</f>
        <v>Ahmedabad</v>
      </c>
      <c r="K406" s="8" t="str">
        <f>TEXT(Order_Details[[#This Row],[Order Date]], "YY-MMM")</f>
        <v>18-Aug</v>
      </c>
      <c r="L406" s="11">
        <f>Order_Details[[#This Row],[Profit]]/Order_Details[[#This Row],[Amount]]</f>
        <v>-0.59848484848484851</v>
      </c>
      <c r="M406" s="8">
        <f>YEAR(Order_Details[[#This Row],[Order Date]])</f>
        <v>2018</v>
      </c>
      <c r="N406" s="8">
        <f>ROUNDUP(MONTH(Order_Details[[#This Row],[Order Date]])/3, 0)</f>
        <v>3</v>
      </c>
    </row>
    <row r="407" spans="1:14">
      <c r="A407" s="1" t="s">
        <v>388</v>
      </c>
      <c r="B407" s="1">
        <v>87</v>
      </c>
      <c r="C407" s="1">
        <v>16</v>
      </c>
      <c r="D407" s="1">
        <v>2</v>
      </c>
      <c r="E407" s="1" t="s">
        <v>1076</v>
      </c>
      <c r="F407" s="1" t="s">
        <v>1106</v>
      </c>
      <c r="G407" s="7" t="str">
        <f>_xlfn.XLOOKUP(Order_Details[[#This Row],[Order ID]], List_of_orders[Order ID], List_of_orders[State])</f>
        <v>Maharashtra</v>
      </c>
      <c r="H407" s="10">
        <f>_xlfn.XLOOKUP(Order_Details[[#This Row],[Order ID]], List_of_orders[Order ID], List_of_orders[Order Date (Clean)])</f>
        <v>43322</v>
      </c>
      <c r="I407" s="7" t="str">
        <f>_xlfn.XLOOKUP(Order_Details[[#This Row],[Order ID]], List_of_orders[Order ID], List_of_orders[CustomerName])</f>
        <v>Shivam</v>
      </c>
      <c r="J407" s="7" t="str">
        <f>_xlfn.XLOOKUP(Order_Details[[#This Row],[Order ID]], List_of_orders[Order ID], List_of_orders[City])</f>
        <v>Pune</v>
      </c>
      <c r="K407" s="8" t="str">
        <f>TEXT(Order_Details[[#This Row],[Order Date]], "YY-MMM")</f>
        <v>18-Aug</v>
      </c>
      <c r="L407" s="11">
        <f>Order_Details[[#This Row],[Profit]]/Order_Details[[#This Row],[Amount]]</f>
        <v>0.18390804597701149</v>
      </c>
      <c r="M407" s="8">
        <f>YEAR(Order_Details[[#This Row],[Order Date]])</f>
        <v>2018</v>
      </c>
      <c r="N407" s="8">
        <f>ROUNDUP(MONTH(Order_Details[[#This Row],[Order Date]])/3, 0)</f>
        <v>3</v>
      </c>
    </row>
    <row r="408" spans="1:14">
      <c r="A408" s="1" t="s">
        <v>390</v>
      </c>
      <c r="B408" s="1">
        <v>877</v>
      </c>
      <c r="C408" s="1">
        <v>395</v>
      </c>
      <c r="D408" s="1">
        <v>2</v>
      </c>
      <c r="E408" s="1" t="s">
        <v>1075</v>
      </c>
      <c r="F408" s="1" t="s">
        <v>1101</v>
      </c>
      <c r="G408" s="7" t="str">
        <f>_xlfn.XLOOKUP(Order_Details[[#This Row],[Order ID]], List_of_orders[Order ID], List_of_orders[State])</f>
        <v>Madhya Pradesh</v>
      </c>
      <c r="H408" s="10">
        <f>_xlfn.XLOOKUP(Order_Details[[#This Row],[Order ID]], List_of_orders[Order ID], List_of_orders[Order Date (Clean)])</f>
        <v>43323</v>
      </c>
      <c r="I408" s="7" t="str">
        <f>_xlfn.XLOOKUP(Order_Details[[#This Row],[Order ID]], List_of_orders[Order ID], List_of_orders[CustomerName])</f>
        <v>Harsh</v>
      </c>
      <c r="J408" s="7" t="str">
        <f>_xlfn.XLOOKUP(Order_Details[[#This Row],[Order ID]], List_of_orders[Order ID], List_of_orders[City])</f>
        <v>Bhopal</v>
      </c>
      <c r="K408" s="8" t="str">
        <f>TEXT(Order_Details[[#This Row],[Order Date]], "YY-MMM")</f>
        <v>18-Aug</v>
      </c>
      <c r="L408" s="11">
        <f>Order_Details[[#This Row],[Profit]]/Order_Details[[#This Row],[Amount]]</f>
        <v>0.45039908779931587</v>
      </c>
      <c r="M408" s="8">
        <f>YEAR(Order_Details[[#This Row],[Order Date]])</f>
        <v>2018</v>
      </c>
      <c r="N408" s="8">
        <f>ROUNDUP(MONTH(Order_Details[[#This Row],[Order Date]])/3, 0)</f>
        <v>3</v>
      </c>
    </row>
    <row r="409" spans="1:14">
      <c r="A409" s="1" t="s">
        <v>392</v>
      </c>
      <c r="B409" s="1">
        <v>141</v>
      </c>
      <c r="C409" s="1">
        <v>10</v>
      </c>
      <c r="D409" s="1">
        <v>4</v>
      </c>
      <c r="E409" s="1" t="s">
        <v>1076</v>
      </c>
      <c r="F409" s="1" t="s">
        <v>1111</v>
      </c>
      <c r="G409" s="7" t="str">
        <f>_xlfn.XLOOKUP(Order_Details[[#This Row],[Order ID]], List_of_orders[Order ID], List_of_orders[State])</f>
        <v>Rajasthan</v>
      </c>
      <c r="H409" s="10">
        <f>_xlfn.XLOOKUP(Order_Details[[#This Row],[Order ID]], List_of_orders[Order ID], List_of_orders[Order Date (Clean)])</f>
        <v>43324</v>
      </c>
      <c r="I409" s="7" t="str">
        <f>_xlfn.XLOOKUP(Order_Details[[#This Row],[Order ID]], List_of_orders[Order ID], List_of_orders[CustomerName])</f>
        <v>Nitant</v>
      </c>
      <c r="J409" s="7" t="str">
        <f>_xlfn.XLOOKUP(Order_Details[[#This Row],[Order ID]], List_of_orders[Order ID], List_of_orders[City])</f>
        <v>Jaipur</v>
      </c>
      <c r="K409" s="8" t="str">
        <f>TEXT(Order_Details[[#This Row],[Order Date]], "YY-MMM")</f>
        <v>18-Aug</v>
      </c>
      <c r="L409" s="11">
        <f>Order_Details[[#This Row],[Profit]]/Order_Details[[#This Row],[Amount]]</f>
        <v>7.0921985815602842E-2</v>
      </c>
      <c r="M409" s="8">
        <f>YEAR(Order_Details[[#This Row],[Order Date]])</f>
        <v>2018</v>
      </c>
      <c r="N409" s="8">
        <f>ROUNDUP(MONTH(Order_Details[[#This Row],[Order Date]])/3, 0)</f>
        <v>3</v>
      </c>
    </row>
    <row r="410" spans="1:14">
      <c r="A410" s="1" t="s">
        <v>392</v>
      </c>
      <c r="B410" s="1">
        <v>224</v>
      </c>
      <c r="C410" s="1">
        <v>58</v>
      </c>
      <c r="D410" s="1">
        <v>3</v>
      </c>
      <c r="E410" s="1" t="s">
        <v>1077</v>
      </c>
      <c r="F410" s="1" t="s">
        <v>1105</v>
      </c>
      <c r="G410" s="7" t="str">
        <f>_xlfn.XLOOKUP(Order_Details[[#This Row],[Order ID]], List_of_orders[Order ID], List_of_orders[State])</f>
        <v>Rajasthan</v>
      </c>
      <c r="H410" s="10">
        <f>_xlfn.XLOOKUP(Order_Details[[#This Row],[Order ID]], List_of_orders[Order ID], List_of_orders[Order Date (Clean)])</f>
        <v>43324</v>
      </c>
      <c r="I410" s="7" t="str">
        <f>_xlfn.XLOOKUP(Order_Details[[#This Row],[Order ID]], List_of_orders[Order ID], List_of_orders[CustomerName])</f>
        <v>Nitant</v>
      </c>
      <c r="J410" s="7" t="str">
        <f>_xlfn.XLOOKUP(Order_Details[[#This Row],[Order ID]], List_of_orders[Order ID], List_of_orders[City])</f>
        <v>Jaipur</v>
      </c>
      <c r="K410" s="8" t="str">
        <f>TEXT(Order_Details[[#This Row],[Order Date]], "YY-MMM")</f>
        <v>18-Aug</v>
      </c>
      <c r="L410" s="11">
        <f>Order_Details[[#This Row],[Profit]]/Order_Details[[#This Row],[Amount]]</f>
        <v>0.25892857142857145</v>
      </c>
      <c r="M410" s="8">
        <f>YEAR(Order_Details[[#This Row],[Order Date]])</f>
        <v>2018</v>
      </c>
      <c r="N410" s="8">
        <f>ROUNDUP(MONTH(Order_Details[[#This Row],[Order Date]])/3, 0)</f>
        <v>3</v>
      </c>
    </row>
    <row r="411" spans="1:14">
      <c r="A411" s="1" t="s">
        <v>392</v>
      </c>
      <c r="B411" s="1">
        <v>8</v>
      </c>
      <c r="C411" s="1">
        <v>-1</v>
      </c>
      <c r="D411" s="1">
        <v>2</v>
      </c>
      <c r="E411" s="1" t="s">
        <v>1076</v>
      </c>
      <c r="F411" s="1" t="s">
        <v>1112</v>
      </c>
      <c r="G411" s="7" t="str">
        <f>_xlfn.XLOOKUP(Order_Details[[#This Row],[Order ID]], List_of_orders[Order ID], List_of_orders[State])</f>
        <v>Rajasthan</v>
      </c>
      <c r="H411" s="10">
        <f>_xlfn.XLOOKUP(Order_Details[[#This Row],[Order ID]], List_of_orders[Order ID], List_of_orders[Order Date (Clean)])</f>
        <v>43324</v>
      </c>
      <c r="I411" s="7" t="str">
        <f>_xlfn.XLOOKUP(Order_Details[[#This Row],[Order ID]], List_of_orders[Order ID], List_of_orders[CustomerName])</f>
        <v>Nitant</v>
      </c>
      <c r="J411" s="7" t="str">
        <f>_xlfn.XLOOKUP(Order_Details[[#This Row],[Order ID]], List_of_orders[Order ID], List_of_orders[City])</f>
        <v>Jaipur</v>
      </c>
      <c r="K411" s="8" t="str">
        <f>TEXT(Order_Details[[#This Row],[Order Date]], "YY-MMM")</f>
        <v>18-Aug</v>
      </c>
      <c r="L411" s="11">
        <f>Order_Details[[#This Row],[Profit]]/Order_Details[[#This Row],[Amount]]</f>
        <v>-0.125</v>
      </c>
      <c r="M411" s="8">
        <f>YEAR(Order_Details[[#This Row],[Order Date]])</f>
        <v>2018</v>
      </c>
      <c r="N411" s="8">
        <f>ROUNDUP(MONTH(Order_Details[[#This Row],[Order Date]])/3, 0)</f>
        <v>3</v>
      </c>
    </row>
    <row r="412" spans="1:14">
      <c r="A412" s="1" t="s">
        <v>392</v>
      </c>
      <c r="B412" s="1">
        <v>47</v>
      </c>
      <c r="C412" s="1">
        <v>-21</v>
      </c>
      <c r="D412" s="1">
        <v>2</v>
      </c>
      <c r="E412" s="1" t="s">
        <v>1077</v>
      </c>
      <c r="F412" s="1" t="s">
        <v>1104</v>
      </c>
      <c r="G412" s="7" t="str">
        <f>_xlfn.XLOOKUP(Order_Details[[#This Row],[Order ID]], List_of_orders[Order ID], List_of_orders[State])</f>
        <v>Rajasthan</v>
      </c>
      <c r="H412" s="10">
        <f>_xlfn.XLOOKUP(Order_Details[[#This Row],[Order ID]], List_of_orders[Order ID], List_of_orders[Order Date (Clean)])</f>
        <v>43324</v>
      </c>
      <c r="I412" s="7" t="str">
        <f>_xlfn.XLOOKUP(Order_Details[[#This Row],[Order ID]], List_of_orders[Order ID], List_of_orders[CustomerName])</f>
        <v>Nitant</v>
      </c>
      <c r="J412" s="7" t="str">
        <f>_xlfn.XLOOKUP(Order_Details[[#This Row],[Order ID]], List_of_orders[Order ID], List_of_orders[City])</f>
        <v>Jaipur</v>
      </c>
      <c r="K412" s="8" t="str">
        <f>TEXT(Order_Details[[#This Row],[Order Date]], "YY-MMM")</f>
        <v>18-Aug</v>
      </c>
      <c r="L412" s="11">
        <f>Order_Details[[#This Row],[Profit]]/Order_Details[[#This Row],[Amount]]</f>
        <v>-0.44680851063829785</v>
      </c>
      <c r="M412" s="8">
        <f>YEAR(Order_Details[[#This Row],[Order Date]])</f>
        <v>2018</v>
      </c>
      <c r="N412" s="8">
        <f>ROUNDUP(MONTH(Order_Details[[#This Row],[Order Date]])/3, 0)</f>
        <v>3</v>
      </c>
    </row>
    <row r="413" spans="1:14">
      <c r="A413" s="1" t="s">
        <v>394</v>
      </c>
      <c r="B413" s="1">
        <v>1052</v>
      </c>
      <c r="C413" s="1">
        <v>-82</v>
      </c>
      <c r="D413" s="1">
        <v>3</v>
      </c>
      <c r="E413" s="1" t="s">
        <v>1075</v>
      </c>
      <c r="F413" s="1" t="s">
        <v>1101</v>
      </c>
      <c r="G413" s="7" t="str">
        <f>_xlfn.XLOOKUP(Order_Details[[#This Row],[Order ID]], List_of_orders[Order ID], List_of_orders[State])</f>
        <v>Maharashtra</v>
      </c>
      <c r="H413" s="10">
        <f>_xlfn.XLOOKUP(Order_Details[[#This Row],[Order ID]], List_of_orders[Order ID], List_of_orders[Order Date (Clean)])</f>
        <v>43325</v>
      </c>
      <c r="I413" s="7" t="str">
        <f>_xlfn.XLOOKUP(Order_Details[[#This Row],[Order ID]], List_of_orders[Order ID], List_of_orders[CustomerName])</f>
        <v>Ayush</v>
      </c>
      <c r="J413" s="7" t="str">
        <f>_xlfn.XLOOKUP(Order_Details[[#This Row],[Order ID]], List_of_orders[Order ID], List_of_orders[City])</f>
        <v>Mumbai</v>
      </c>
      <c r="K413" s="8" t="str">
        <f>TEXT(Order_Details[[#This Row],[Order Date]], "YY-MMM")</f>
        <v>18-Aug</v>
      </c>
      <c r="L413" s="11">
        <f>Order_Details[[#This Row],[Profit]]/Order_Details[[#This Row],[Amount]]</f>
        <v>-7.7946768060836502E-2</v>
      </c>
      <c r="M413" s="8">
        <f>YEAR(Order_Details[[#This Row],[Order Date]])</f>
        <v>2018</v>
      </c>
      <c r="N413" s="8">
        <f>ROUNDUP(MONTH(Order_Details[[#This Row],[Order Date]])/3, 0)</f>
        <v>3</v>
      </c>
    </row>
    <row r="414" spans="1:14">
      <c r="A414" s="1" t="s">
        <v>396</v>
      </c>
      <c r="B414" s="1">
        <v>212</v>
      </c>
      <c r="C414" s="1">
        <v>-24</v>
      </c>
      <c r="D414" s="1">
        <v>2</v>
      </c>
      <c r="E414" s="1" t="s">
        <v>1075</v>
      </c>
      <c r="F414" s="1" t="s">
        <v>1108</v>
      </c>
      <c r="G414" s="7" t="str">
        <f>_xlfn.XLOOKUP(Order_Details[[#This Row],[Order ID]], List_of_orders[Order ID], List_of_orders[State])</f>
        <v>Madhya Pradesh</v>
      </c>
      <c r="H414" s="10">
        <f>_xlfn.XLOOKUP(Order_Details[[#This Row],[Order ID]], List_of_orders[Order ID], List_of_orders[Order Date (Clean)])</f>
        <v>43326</v>
      </c>
      <c r="I414" s="7" t="str">
        <f>_xlfn.XLOOKUP(Order_Details[[#This Row],[Order ID]], List_of_orders[Order ID], List_of_orders[CustomerName])</f>
        <v>Priyanshu</v>
      </c>
      <c r="J414" s="7" t="str">
        <f>_xlfn.XLOOKUP(Order_Details[[#This Row],[Order ID]], List_of_orders[Order ID], List_of_orders[City])</f>
        <v>Indore</v>
      </c>
      <c r="K414" s="8" t="str">
        <f>TEXT(Order_Details[[#This Row],[Order Date]], "YY-MMM")</f>
        <v>18-Aug</v>
      </c>
      <c r="L414" s="11">
        <f>Order_Details[[#This Row],[Profit]]/Order_Details[[#This Row],[Amount]]</f>
        <v>-0.11320754716981132</v>
      </c>
      <c r="M414" s="8">
        <f>YEAR(Order_Details[[#This Row],[Order Date]])</f>
        <v>2018</v>
      </c>
      <c r="N414" s="8">
        <f>ROUNDUP(MONTH(Order_Details[[#This Row],[Order Date]])/3, 0)</f>
        <v>3</v>
      </c>
    </row>
    <row r="415" spans="1:14">
      <c r="A415" s="1" t="s">
        <v>396</v>
      </c>
      <c r="B415" s="1">
        <v>42</v>
      </c>
      <c r="C415" s="1">
        <v>-15</v>
      </c>
      <c r="D415" s="1">
        <v>12</v>
      </c>
      <c r="E415" s="1" t="s">
        <v>1076</v>
      </c>
      <c r="F415" s="1" t="s">
        <v>1117</v>
      </c>
      <c r="G415" s="7" t="str">
        <f>_xlfn.XLOOKUP(Order_Details[[#This Row],[Order ID]], List_of_orders[Order ID], List_of_orders[State])</f>
        <v>Madhya Pradesh</v>
      </c>
      <c r="H415" s="10">
        <f>_xlfn.XLOOKUP(Order_Details[[#This Row],[Order ID]], List_of_orders[Order ID], List_of_orders[Order Date (Clean)])</f>
        <v>43326</v>
      </c>
      <c r="I415" s="7" t="str">
        <f>_xlfn.XLOOKUP(Order_Details[[#This Row],[Order ID]], List_of_orders[Order ID], List_of_orders[CustomerName])</f>
        <v>Priyanshu</v>
      </c>
      <c r="J415" s="7" t="str">
        <f>_xlfn.XLOOKUP(Order_Details[[#This Row],[Order ID]], List_of_orders[Order ID], List_of_orders[City])</f>
        <v>Indore</v>
      </c>
      <c r="K415" s="8" t="str">
        <f>TEXT(Order_Details[[#This Row],[Order Date]], "YY-MMM")</f>
        <v>18-Aug</v>
      </c>
      <c r="L415" s="11">
        <f>Order_Details[[#This Row],[Profit]]/Order_Details[[#This Row],[Amount]]</f>
        <v>-0.35714285714285715</v>
      </c>
      <c r="M415" s="8">
        <f>YEAR(Order_Details[[#This Row],[Order Date]])</f>
        <v>2018</v>
      </c>
      <c r="N415" s="8">
        <f>ROUNDUP(MONTH(Order_Details[[#This Row],[Order Date]])/3, 0)</f>
        <v>3</v>
      </c>
    </row>
    <row r="416" spans="1:14">
      <c r="A416" s="1" t="s">
        <v>396</v>
      </c>
      <c r="B416" s="1">
        <v>208</v>
      </c>
      <c r="C416" s="1">
        <v>-25</v>
      </c>
      <c r="D416" s="1">
        <v>2</v>
      </c>
      <c r="E416" s="1" t="s">
        <v>1076</v>
      </c>
      <c r="F416" s="1" t="s">
        <v>1106</v>
      </c>
      <c r="G416" s="7" t="str">
        <f>_xlfn.XLOOKUP(Order_Details[[#This Row],[Order ID]], List_of_orders[Order ID], List_of_orders[State])</f>
        <v>Madhya Pradesh</v>
      </c>
      <c r="H416" s="10">
        <f>_xlfn.XLOOKUP(Order_Details[[#This Row],[Order ID]], List_of_orders[Order ID], List_of_orders[Order Date (Clean)])</f>
        <v>43326</v>
      </c>
      <c r="I416" s="7" t="str">
        <f>_xlfn.XLOOKUP(Order_Details[[#This Row],[Order ID]], List_of_orders[Order ID], List_of_orders[CustomerName])</f>
        <v>Priyanshu</v>
      </c>
      <c r="J416" s="7" t="str">
        <f>_xlfn.XLOOKUP(Order_Details[[#This Row],[Order ID]], List_of_orders[Order ID], List_of_orders[City])</f>
        <v>Indore</v>
      </c>
      <c r="K416" s="8" t="str">
        <f>TEXT(Order_Details[[#This Row],[Order Date]], "YY-MMM")</f>
        <v>18-Aug</v>
      </c>
      <c r="L416" s="11">
        <f>Order_Details[[#This Row],[Profit]]/Order_Details[[#This Row],[Amount]]</f>
        <v>-0.1201923076923077</v>
      </c>
      <c r="M416" s="8">
        <f>YEAR(Order_Details[[#This Row],[Order Date]])</f>
        <v>2018</v>
      </c>
      <c r="N416" s="8">
        <f>ROUNDUP(MONTH(Order_Details[[#This Row],[Order Date]])/3, 0)</f>
        <v>3</v>
      </c>
    </row>
    <row r="417" spans="1:14">
      <c r="A417" s="1" t="s">
        <v>396</v>
      </c>
      <c r="B417" s="1">
        <v>22</v>
      </c>
      <c r="C417" s="1">
        <v>-12</v>
      </c>
      <c r="D417" s="1">
        <v>3</v>
      </c>
      <c r="E417" s="1" t="s">
        <v>1076</v>
      </c>
      <c r="F417" s="1" t="s">
        <v>1102</v>
      </c>
      <c r="G417" s="7" t="str">
        <f>_xlfn.XLOOKUP(Order_Details[[#This Row],[Order ID]], List_of_orders[Order ID], List_of_orders[State])</f>
        <v>Madhya Pradesh</v>
      </c>
      <c r="H417" s="10">
        <f>_xlfn.XLOOKUP(Order_Details[[#This Row],[Order ID]], List_of_orders[Order ID], List_of_orders[Order Date (Clean)])</f>
        <v>43326</v>
      </c>
      <c r="I417" s="7" t="str">
        <f>_xlfn.XLOOKUP(Order_Details[[#This Row],[Order ID]], List_of_orders[Order ID], List_of_orders[CustomerName])</f>
        <v>Priyanshu</v>
      </c>
      <c r="J417" s="7" t="str">
        <f>_xlfn.XLOOKUP(Order_Details[[#This Row],[Order ID]], List_of_orders[Order ID], List_of_orders[City])</f>
        <v>Indore</v>
      </c>
      <c r="K417" s="8" t="str">
        <f>TEXT(Order_Details[[#This Row],[Order Date]], "YY-MMM")</f>
        <v>18-Aug</v>
      </c>
      <c r="L417" s="11">
        <f>Order_Details[[#This Row],[Profit]]/Order_Details[[#This Row],[Amount]]</f>
        <v>-0.54545454545454541</v>
      </c>
      <c r="M417" s="8">
        <f>YEAR(Order_Details[[#This Row],[Order Date]])</f>
        <v>2018</v>
      </c>
      <c r="N417" s="8">
        <f>ROUNDUP(MONTH(Order_Details[[#This Row],[Order Date]])/3, 0)</f>
        <v>3</v>
      </c>
    </row>
    <row r="418" spans="1:14">
      <c r="A418" s="1" t="s">
        <v>396</v>
      </c>
      <c r="B418" s="1">
        <v>539</v>
      </c>
      <c r="C418" s="1">
        <v>-146</v>
      </c>
      <c r="D418" s="1">
        <v>7</v>
      </c>
      <c r="E418" s="1" t="s">
        <v>1075</v>
      </c>
      <c r="F418" s="1" t="s">
        <v>1116</v>
      </c>
      <c r="G418" s="7" t="str">
        <f>_xlfn.XLOOKUP(Order_Details[[#This Row],[Order ID]], List_of_orders[Order ID], List_of_orders[State])</f>
        <v>Madhya Pradesh</v>
      </c>
      <c r="H418" s="10">
        <f>_xlfn.XLOOKUP(Order_Details[[#This Row],[Order ID]], List_of_orders[Order ID], List_of_orders[Order Date (Clean)])</f>
        <v>43326</v>
      </c>
      <c r="I418" s="7" t="str">
        <f>_xlfn.XLOOKUP(Order_Details[[#This Row],[Order ID]], List_of_orders[Order ID], List_of_orders[CustomerName])</f>
        <v>Priyanshu</v>
      </c>
      <c r="J418" s="7" t="str">
        <f>_xlfn.XLOOKUP(Order_Details[[#This Row],[Order ID]], List_of_orders[Order ID], List_of_orders[City])</f>
        <v>Indore</v>
      </c>
      <c r="K418" s="8" t="str">
        <f>TEXT(Order_Details[[#This Row],[Order Date]], "YY-MMM")</f>
        <v>18-Aug</v>
      </c>
      <c r="L418" s="11">
        <f>Order_Details[[#This Row],[Profit]]/Order_Details[[#This Row],[Amount]]</f>
        <v>-0.27087198515769945</v>
      </c>
      <c r="M418" s="8">
        <f>YEAR(Order_Details[[#This Row],[Order Date]])</f>
        <v>2018</v>
      </c>
      <c r="N418" s="8">
        <f>ROUNDUP(MONTH(Order_Details[[#This Row],[Order Date]])/3, 0)</f>
        <v>3</v>
      </c>
    </row>
    <row r="419" spans="1:14">
      <c r="A419" s="1" t="s">
        <v>396</v>
      </c>
      <c r="B419" s="1">
        <v>78</v>
      </c>
      <c r="C419" s="1">
        <v>-6</v>
      </c>
      <c r="D419" s="1">
        <v>2</v>
      </c>
      <c r="E419" s="1" t="s">
        <v>1075</v>
      </c>
      <c r="F419" s="1" t="s">
        <v>1116</v>
      </c>
      <c r="G419" s="7" t="str">
        <f>_xlfn.XLOOKUP(Order_Details[[#This Row],[Order ID]], List_of_orders[Order ID], List_of_orders[State])</f>
        <v>Madhya Pradesh</v>
      </c>
      <c r="H419" s="10">
        <f>_xlfn.XLOOKUP(Order_Details[[#This Row],[Order ID]], List_of_orders[Order ID], List_of_orders[Order Date (Clean)])</f>
        <v>43326</v>
      </c>
      <c r="I419" s="7" t="str">
        <f>_xlfn.XLOOKUP(Order_Details[[#This Row],[Order ID]], List_of_orders[Order ID], List_of_orders[CustomerName])</f>
        <v>Priyanshu</v>
      </c>
      <c r="J419" s="7" t="str">
        <f>_xlfn.XLOOKUP(Order_Details[[#This Row],[Order ID]], List_of_orders[Order ID], List_of_orders[City])</f>
        <v>Indore</v>
      </c>
      <c r="K419" s="8" t="str">
        <f>TEXT(Order_Details[[#This Row],[Order Date]], "YY-MMM")</f>
        <v>18-Aug</v>
      </c>
      <c r="L419" s="11">
        <f>Order_Details[[#This Row],[Profit]]/Order_Details[[#This Row],[Amount]]</f>
        <v>-7.6923076923076927E-2</v>
      </c>
      <c r="M419" s="8">
        <f>YEAR(Order_Details[[#This Row],[Order Date]])</f>
        <v>2018</v>
      </c>
      <c r="N419" s="8">
        <f>ROUNDUP(MONTH(Order_Details[[#This Row],[Order Date]])/3, 0)</f>
        <v>3</v>
      </c>
    </row>
    <row r="420" spans="1:14">
      <c r="A420" s="1" t="s">
        <v>396</v>
      </c>
      <c r="B420" s="1">
        <v>20</v>
      </c>
      <c r="C420" s="1">
        <v>-18</v>
      </c>
      <c r="D420" s="1">
        <v>2</v>
      </c>
      <c r="E420" s="1" t="s">
        <v>1076</v>
      </c>
      <c r="F420" s="1" t="s">
        <v>1106</v>
      </c>
      <c r="G420" s="7" t="str">
        <f>_xlfn.XLOOKUP(Order_Details[[#This Row],[Order ID]], List_of_orders[Order ID], List_of_orders[State])</f>
        <v>Madhya Pradesh</v>
      </c>
      <c r="H420" s="10">
        <f>_xlfn.XLOOKUP(Order_Details[[#This Row],[Order ID]], List_of_orders[Order ID], List_of_orders[Order Date (Clean)])</f>
        <v>43326</v>
      </c>
      <c r="I420" s="7" t="str">
        <f>_xlfn.XLOOKUP(Order_Details[[#This Row],[Order ID]], List_of_orders[Order ID], List_of_orders[CustomerName])</f>
        <v>Priyanshu</v>
      </c>
      <c r="J420" s="7" t="str">
        <f>_xlfn.XLOOKUP(Order_Details[[#This Row],[Order ID]], List_of_orders[Order ID], List_of_orders[City])</f>
        <v>Indore</v>
      </c>
      <c r="K420" s="8" t="str">
        <f>TEXT(Order_Details[[#This Row],[Order Date]], "YY-MMM")</f>
        <v>18-Aug</v>
      </c>
      <c r="L420" s="11">
        <f>Order_Details[[#This Row],[Profit]]/Order_Details[[#This Row],[Amount]]</f>
        <v>-0.9</v>
      </c>
      <c r="M420" s="8">
        <f>YEAR(Order_Details[[#This Row],[Order Date]])</f>
        <v>2018</v>
      </c>
      <c r="N420" s="8">
        <f>ROUNDUP(MONTH(Order_Details[[#This Row],[Order Date]])/3, 0)</f>
        <v>3</v>
      </c>
    </row>
    <row r="421" spans="1:14">
      <c r="A421" s="1" t="s">
        <v>396</v>
      </c>
      <c r="B421" s="1">
        <v>19</v>
      </c>
      <c r="C421" s="1">
        <v>-1</v>
      </c>
      <c r="D421" s="1">
        <v>1</v>
      </c>
      <c r="E421" s="1" t="s">
        <v>1076</v>
      </c>
      <c r="F421" s="1" t="s">
        <v>1111</v>
      </c>
      <c r="G421" s="7" t="str">
        <f>_xlfn.XLOOKUP(Order_Details[[#This Row],[Order ID]], List_of_orders[Order ID], List_of_orders[State])</f>
        <v>Madhya Pradesh</v>
      </c>
      <c r="H421" s="10">
        <f>_xlfn.XLOOKUP(Order_Details[[#This Row],[Order ID]], List_of_orders[Order ID], List_of_orders[Order Date (Clean)])</f>
        <v>43326</v>
      </c>
      <c r="I421" s="7" t="str">
        <f>_xlfn.XLOOKUP(Order_Details[[#This Row],[Order ID]], List_of_orders[Order ID], List_of_orders[CustomerName])</f>
        <v>Priyanshu</v>
      </c>
      <c r="J421" s="7" t="str">
        <f>_xlfn.XLOOKUP(Order_Details[[#This Row],[Order ID]], List_of_orders[Order ID], List_of_orders[City])</f>
        <v>Indore</v>
      </c>
      <c r="K421" s="8" t="str">
        <f>TEXT(Order_Details[[#This Row],[Order Date]], "YY-MMM")</f>
        <v>18-Aug</v>
      </c>
      <c r="L421" s="11">
        <f>Order_Details[[#This Row],[Profit]]/Order_Details[[#This Row],[Amount]]</f>
        <v>-5.2631578947368418E-2</v>
      </c>
      <c r="M421" s="8">
        <f>YEAR(Order_Details[[#This Row],[Order Date]])</f>
        <v>2018</v>
      </c>
      <c r="N421" s="8">
        <f>ROUNDUP(MONTH(Order_Details[[#This Row],[Order Date]])/3, 0)</f>
        <v>3</v>
      </c>
    </row>
    <row r="422" spans="1:14">
      <c r="A422" s="1" t="s">
        <v>396</v>
      </c>
      <c r="B422" s="1">
        <v>73</v>
      </c>
      <c r="C422" s="1">
        <v>-31</v>
      </c>
      <c r="D422" s="1">
        <v>1</v>
      </c>
      <c r="E422" s="1" t="s">
        <v>1075</v>
      </c>
      <c r="F422" s="1" t="s">
        <v>1101</v>
      </c>
      <c r="G422" s="7" t="str">
        <f>_xlfn.XLOOKUP(Order_Details[[#This Row],[Order ID]], List_of_orders[Order ID], List_of_orders[State])</f>
        <v>Madhya Pradesh</v>
      </c>
      <c r="H422" s="10">
        <f>_xlfn.XLOOKUP(Order_Details[[#This Row],[Order ID]], List_of_orders[Order ID], List_of_orders[Order Date (Clean)])</f>
        <v>43326</v>
      </c>
      <c r="I422" s="7" t="str">
        <f>_xlfn.XLOOKUP(Order_Details[[#This Row],[Order ID]], List_of_orders[Order ID], List_of_orders[CustomerName])</f>
        <v>Priyanshu</v>
      </c>
      <c r="J422" s="7" t="str">
        <f>_xlfn.XLOOKUP(Order_Details[[#This Row],[Order ID]], List_of_orders[Order ID], List_of_orders[City])</f>
        <v>Indore</v>
      </c>
      <c r="K422" s="8" t="str">
        <f>TEXT(Order_Details[[#This Row],[Order Date]], "YY-MMM")</f>
        <v>18-Aug</v>
      </c>
      <c r="L422" s="11">
        <f>Order_Details[[#This Row],[Profit]]/Order_Details[[#This Row],[Amount]]</f>
        <v>-0.42465753424657532</v>
      </c>
      <c r="M422" s="8">
        <f>YEAR(Order_Details[[#This Row],[Order Date]])</f>
        <v>2018</v>
      </c>
      <c r="N422" s="8">
        <f>ROUNDUP(MONTH(Order_Details[[#This Row],[Order Date]])/3, 0)</f>
        <v>3</v>
      </c>
    </row>
    <row r="423" spans="1:14">
      <c r="A423" s="1" t="s">
        <v>399</v>
      </c>
      <c r="B423" s="1">
        <v>10</v>
      </c>
      <c r="C423" s="1">
        <v>-8</v>
      </c>
      <c r="D423" s="1">
        <v>1</v>
      </c>
      <c r="E423" s="1" t="s">
        <v>1076</v>
      </c>
      <c r="F423" s="1" t="s">
        <v>1109</v>
      </c>
      <c r="G423" s="7" t="str">
        <f>_xlfn.XLOOKUP(Order_Details[[#This Row],[Order ID]], List_of_orders[Order ID], List_of_orders[State])</f>
        <v>Maharashtra</v>
      </c>
      <c r="H423" s="10">
        <f>_xlfn.XLOOKUP(Order_Details[[#This Row],[Order ID]], List_of_orders[Order ID], List_of_orders[Order Date (Clean)])</f>
        <v>43326</v>
      </c>
      <c r="I423" s="7" t="str">
        <f>_xlfn.XLOOKUP(Order_Details[[#This Row],[Order ID]], List_of_orders[Order ID], List_of_orders[CustomerName])</f>
        <v>Nishant</v>
      </c>
      <c r="J423" s="7" t="str">
        <f>_xlfn.XLOOKUP(Order_Details[[#This Row],[Order ID]], List_of_orders[Order ID], List_of_orders[City])</f>
        <v>Mumbai</v>
      </c>
      <c r="K423" s="8" t="str">
        <f>TEXT(Order_Details[[#This Row],[Order Date]], "YY-MMM")</f>
        <v>18-Aug</v>
      </c>
      <c r="L423" s="11">
        <f>Order_Details[[#This Row],[Profit]]/Order_Details[[#This Row],[Amount]]</f>
        <v>-0.8</v>
      </c>
      <c r="M423" s="8">
        <f>YEAR(Order_Details[[#This Row],[Order Date]])</f>
        <v>2018</v>
      </c>
      <c r="N423" s="8">
        <f>ROUNDUP(MONTH(Order_Details[[#This Row],[Order Date]])/3, 0)</f>
        <v>3</v>
      </c>
    </row>
    <row r="424" spans="1:14">
      <c r="A424" s="1" t="s">
        <v>399</v>
      </c>
      <c r="B424" s="1">
        <v>14</v>
      </c>
      <c r="C424" s="1">
        <v>-3</v>
      </c>
      <c r="D424" s="1">
        <v>2</v>
      </c>
      <c r="E424" s="1" t="s">
        <v>1076</v>
      </c>
      <c r="F424" s="1" t="s">
        <v>1112</v>
      </c>
      <c r="G424" s="7" t="str">
        <f>_xlfn.XLOOKUP(Order_Details[[#This Row],[Order ID]], List_of_orders[Order ID], List_of_orders[State])</f>
        <v>Maharashtra</v>
      </c>
      <c r="H424" s="10">
        <f>_xlfn.XLOOKUP(Order_Details[[#This Row],[Order ID]], List_of_orders[Order ID], List_of_orders[Order Date (Clean)])</f>
        <v>43326</v>
      </c>
      <c r="I424" s="7" t="str">
        <f>_xlfn.XLOOKUP(Order_Details[[#This Row],[Order ID]], List_of_orders[Order ID], List_of_orders[CustomerName])</f>
        <v>Nishant</v>
      </c>
      <c r="J424" s="7" t="str">
        <f>_xlfn.XLOOKUP(Order_Details[[#This Row],[Order ID]], List_of_orders[Order ID], List_of_orders[City])</f>
        <v>Mumbai</v>
      </c>
      <c r="K424" s="8" t="str">
        <f>TEXT(Order_Details[[#This Row],[Order Date]], "YY-MMM")</f>
        <v>18-Aug</v>
      </c>
      <c r="L424" s="11">
        <f>Order_Details[[#This Row],[Profit]]/Order_Details[[#This Row],[Amount]]</f>
        <v>-0.21428571428571427</v>
      </c>
      <c r="M424" s="8">
        <f>YEAR(Order_Details[[#This Row],[Order Date]])</f>
        <v>2018</v>
      </c>
      <c r="N424" s="8">
        <f>ROUNDUP(MONTH(Order_Details[[#This Row],[Order Date]])/3, 0)</f>
        <v>3</v>
      </c>
    </row>
    <row r="425" spans="1:14">
      <c r="A425" s="1" t="s">
        <v>399</v>
      </c>
      <c r="B425" s="1">
        <v>68</v>
      </c>
      <c r="C425" s="1">
        <v>-56</v>
      </c>
      <c r="D425" s="1">
        <v>2</v>
      </c>
      <c r="E425" s="1" t="s">
        <v>1077</v>
      </c>
      <c r="F425" s="1" t="s">
        <v>1105</v>
      </c>
      <c r="G425" s="7" t="str">
        <f>_xlfn.XLOOKUP(Order_Details[[#This Row],[Order ID]], List_of_orders[Order ID], List_of_orders[State])</f>
        <v>Maharashtra</v>
      </c>
      <c r="H425" s="10">
        <f>_xlfn.XLOOKUP(Order_Details[[#This Row],[Order ID]], List_of_orders[Order ID], List_of_orders[Order Date (Clean)])</f>
        <v>43326</v>
      </c>
      <c r="I425" s="7" t="str">
        <f>_xlfn.XLOOKUP(Order_Details[[#This Row],[Order ID]], List_of_orders[Order ID], List_of_orders[CustomerName])</f>
        <v>Nishant</v>
      </c>
      <c r="J425" s="7" t="str">
        <f>_xlfn.XLOOKUP(Order_Details[[#This Row],[Order ID]], List_of_orders[Order ID], List_of_orders[City])</f>
        <v>Mumbai</v>
      </c>
      <c r="K425" s="8" t="str">
        <f>TEXT(Order_Details[[#This Row],[Order Date]], "YY-MMM")</f>
        <v>18-Aug</v>
      </c>
      <c r="L425" s="11">
        <f>Order_Details[[#This Row],[Profit]]/Order_Details[[#This Row],[Amount]]</f>
        <v>-0.82352941176470584</v>
      </c>
      <c r="M425" s="8">
        <f>YEAR(Order_Details[[#This Row],[Order Date]])</f>
        <v>2018</v>
      </c>
      <c r="N425" s="8">
        <f>ROUNDUP(MONTH(Order_Details[[#This Row],[Order Date]])/3, 0)</f>
        <v>3</v>
      </c>
    </row>
    <row r="426" spans="1:14">
      <c r="A426" s="1" t="s">
        <v>399</v>
      </c>
      <c r="B426" s="1">
        <v>106</v>
      </c>
      <c r="C426" s="1">
        <v>0</v>
      </c>
      <c r="D426" s="1">
        <v>2</v>
      </c>
      <c r="E426" s="1" t="s">
        <v>1077</v>
      </c>
      <c r="F426" s="1" t="s">
        <v>1105</v>
      </c>
      <c r="G426" s="7" t="str">
        <f>_xlfn.XLOOKUP(Order_Details[[#This Row],[Order ID]], List_of_orders[Order ID], List_of_orders[State])</f>
        <v>Maharashtra</v>
      </c>
      <c r="H426" s="10">
        <f>_xlfn.XLOOKUP(Order_Details[[#This Row],[Order ID]], List_of_orders[Order ID], List_of_orders[Order Date (Clean)])</f>
        <v>43326</v>
      </c>
      <c r="I426" s="7" t="str">
        <f>_xlfn.XLOOKUP(Order_Details[[#This Row],[Order ID]], List_of_orders[Order ID], List_of_orders[CustomerName])</f>
        <v>Nishant</v>
      </c>
      <c r="J426" s="7" t="str">
        <f>_xlfn.XLOOKUP(Order_Details[[#This Row],[Order ID]], List_of_orders[Order ID], List_of_orders[City])</f>
        <v>Mumbai</v>
      </c>
      <c r="K426" s="8" t="str">
        <f>TEXT(Order_Details[[#This Row],[Order Date]], "YY-MMM")</f>
        <v>18-Aug</v>
      </c>
      <c r="L426" s="11">
        <f>Order_Details[[#This Row],[Profit]]/Order_Details[[#This Row],[Amount]]</f>
        <v>0</v>
      </c>
      <c r="M426" s="8">
        <f>YEAR(Order_Details[[#This Row],[Order Date]])</f>
        <v>2018</v>
      </c>
      <c r="N426" s="8">
        <f>ROUNDUP(MONTH(Order_Details[[#This Row],[Order Date]])/3, 0)</f>
        <v>3</v>
      </c>
    </row>
    <row r="427" spans="1:14">
      <c r="A427" s="1" t="s">
        <v>399</v>
      </c>
      <c r="B427" s="1">
        <v>43</v>
      </c>
      <c r="C427" s="1">
        <v>-5</v>
      </c>
      <c r="D427" s="1">
        <v>2</v>
      </c>
      <c r="E427" s="1" t="s">
        <v>1076</v>
      </c>
      <c r="F427" s="1" t="s">
        <v>1106</v>
      </c>
      <c r="G427" s="7" t="str">
        <f>_xlfn.XLOOKUP(Order_Details[[#This Row],[Order ID]], List_of_orders[Order ID], List_of_orders[State])</f>
        <v>Maharashtra</v>
      </c>
      <c r="H427" s="10">
        <f>_xlfn.XLOOKUP(Order_Details[[#This Row],[Order ID]], List_of_orders[Order ID], List_of_orders[Order Date (Clean)])</f>
        <v>43326</v>
      </c>
      <c r="I427" s="7" t="str">
        <f>_xlfn.XLOOKUP(Order_Details[[#This Row],[Order ID]], List_of_orders[Order ID], List_of_orders[CustomerName])</f>
        <v>Nishant</v>
      </c>
      <c r="J427" s="7" t="str">
        <f>_xlfn.XLOOKUP(Order_Details[[#This Row],[Order ID]], List_of_orders[Order ID], List_of_orders[City])</f>
        <v>Mumbai</v>
      </c>
      <c r="K427" s="8" t="str">
        <f>TEXT(Order_Details[[#This Row],[Order Date]], "YY-MMM")</f>
        <v>18-Aug</v>
      </c>
      <c r="L427" s="11">
        <f>Order_Details[[#This Row],[Profit]]/Order_Details[[#This Row],[Amount]]</f>
        <v>-0.11627906976744186</v>
      </c>
      <c r="M427" s="8">
        <f>YEAR(Order_Details[[#This Row],[Order Date]])</f>
        <v>2018</v>
      </c>
      <c r="N427" s="8">
        <f>ROUNDUP(MONTH(Order_Details[[#This Row],[Order Date]])/3, 0)</f>
        <v>3</v>
      </c>
    </row>
    <row r="428" spans="1:14">
      <c r="A428" s="1" t="s">
        <v>399</v>
      </c>
      <c r="B428" s="1">
        <v>43</v>
      </c>
      <c r="C428" s="1">
        <v>21</v>
      </c>
      <c r="D428" s="1">
        <v>3</v>
      </c>
      <c r="E428" s="1" t="s">
        <v>1076</v>
      </c>
      <c r="F428" s="1" t="s">
        <v>1111</v>
      </c>
      <c r="G428" s="7" t="str">
        <f>_xlfn.XLOOKUP(Order_Details[[#This Row],[Order ID]], List_of_orders[Order ID], List_of_orders[State])</f>
        <v>Maharashtra</v>
      </c>
      <c r="H428" s="10">
        <f>_xlfn.XLOOKUP(Order_Details[[#This Row],[Order ID]], List_of_orders[Order ID], List_of_orders[Order Date (Clean)])</f>
        <v>43326</v>
      </c>
      <c r="I428" s="7" t="str">
        <f>_xlfn.XLOOKUP(Order_Details[[#This Row],[Order ID]], List_of_orders[Order ID], List_of_orders[CustomerName])</f>
        <v>Nishant</v>
      </c>
      <c r="J428" s="7" t="str">
        <f>_xlfn.XLOOKUP(Order_Details[[#This Row],[Order ID]], List_of_orders[Order ID], List_of_orders[City])</f>
        <v>Mumbai</v>
      </c>
      <c r="K428" s="8" t="str">
        <f>TEXT(Order_Details[[#This Row],[Order Date]], "YY-MMM")</f>
        <v>18-Aug</v>
      </c>
      <c r="L428" s="11">
        <f>Order_Details[[#This Row],[Profit]]/Order_Details[[#This Row],[Amount]]</f>
        <v>0.48837209302325579</v>
      </c>
      <c r="M428" s="8">
        <f>YEAR(Order_Details[[#This Row],[Order Date]])</f>
        <v>2018</v>
      </c>
      <c r="N428" s="8">
        <f>ROUNDUP(MONTH(Order_Details[[#This Row],[Order Date]])/3, 0)</f>
        <v>3</v>
      </c>
    </row>
    <row r="429" spans="1:14">
      <c r="A429" s="1" t="s">
        <v>399</v>
      </c>
      <c r="B429" s="1">
        <v>534</v>
      </c>
      <c r="C429" s="1">
        <v>5</v>
      </c>
      <c r="D429" s="1">
        <v>2</v>
      </c>
      <c r="E429" s="1" t="s">
        <v>1077</v>
      </c>
      <c r="F429" s="1" t="s">
        <v>1104</v>
      </c>
      <c r="G429" s="7" t="str">
        <f>_xlfn.XLOOKUP(Order_Details[[#This Row],[Order ID]], List_of_orders[Order ID], List_of_orders[State])</f>
        <v>Maharashtra</v>
      </c>
      <c r="H429" s="10">
        <f>_xlfn.XLOOKUP(Order_Details[[#This Row],[Order ID]], List_of_orders[Order ID], List_of_orders[Order Date (Clean)])</f>
        <v>43326</v>
      </c>
      <c r="I429" s="7" t="str">
        <f>_xlfn.XLOOKUP(Order_Details[[#This Row],[Order ID]], List_of_orders[Order ID], List_of_orders[CustomerName])</f>
        <v>Nishant</v>
      </c>
      <c r="J429" s="7" t="str">
        <f>_xlfn.XLOOKUP(Order_Details[[#This Row],[Order ID]], List_of_orders[Order ID], List_of_orders[City])</f>
        <v>Mumbai</v>
      </c>
      <c r="K429" s="8" t="str">
        <f>TEXT(Order_Details[[#This Row],[Order Date]], "YY-MMM")</f>
        <v>18-Aug</v>
      </c>
      <c r="L429" s="11">
        <f>Order_Details[[#This Row],[Profit]]/Order_Details[[#This Row],[Amount]]</f>
        <v>9.3632958801498131E-3</v>
      </c>
      <c r="M429" s="8">
        <f>YEAR(Order_Details[[#This Row],[Order Date]])</f>
        <v>2018</v>
      </c>
      <c r="N429" s="8">
        <f>ROUNDUP(MONTH(Order_Details[[#This Row],[Order Date]])/3, 0)</f>
        <v>3</v>
      </c>
    </row>
    <row r="430" spans="1:14">
      <c r="A430" s="1" t="s">
        <v>399</v>
      </c>
      <c r="B430" s="1">
        <v>32</v>
      </c>
      <c r="C430" s="1">
        <v>7</v>
      </c>
      <c r="D430" s="1">
        <v>3</v>
      </c>
      <c r="E430" s="1" t="s">
        <v>1076</v>
      </c>
      <c r="F430" s="1" t="s">
        <v>1103</v>
      </c>
      <c r="G430" s="7" t="str">
        <f>_xlfn.XLOOKUP(Order_Details[[#This Row],[Order ID]], List_of_orders[Order ID], List_of_orders[State])</f>
        <v>Maharashtra</v>
      </c>
      <c r="H430" s="10">
        <f>_xlfn.XLOOKUP(Order_Details[[#This Row],[Order ID]], List_of_orders[Order ID], List_of_orders[Order Date (Clean)])</f>
        <v>43326</v>
      </c>
      <c r="I430" s="7" t="str">
        <f>_xlfn.XLOOKUP(Order_Details[[#This Row],[Order ID]], List_of_orders[Order ID], List_of_orders[CustomerName])</f>
        <v>Nishant</v>
      </c>
      <c r="J430" s="7" t="str">
        <f>_xlfn.XLOOKUP(Order_Details[[#This Row],[Order ID]], List_of_orders[Order ID], List_of_orders[City])</f>
        <v>Mumbai</v>
      </c>
      <c r="K430" s="8" t="str">
        <f>TEXT(Order_Details[[#This Row],[Order Date]], "YY-MMM")</f>
        <v>18-Aug</v>
      </c>
      <c r="L430" s="11">
        <f>Order_Details[[#This Row],[Profit]]/Order_Details[[#This Row],[Amount]]</f>
        <v>0.21875</v>
      </c>
      <c r="M430" s="8">
        <f>YEAR(Order_Details[[#This Row],[Order Date]])</f>
        <v>2018</v>
      </c>
      <c r="N430" s="8">
        <f>ROUNDUP(MONTH(Order_Details[[#This Row],[Order Date]])/3, 0)</f>
        <v>3</v>
      </c>
    </row>
    <row r="431" spans="1:14">
      <c r="A431" s="1" t="s">
        <v>399</v>
      </c>
      <c r="B431" s="1">
        <v>65</v>
      </c>
      <c r="C431" s="1">
        <v>-4</v>
      </c>
      <c r="D431" s="1">
        <v>6</v>
      </c>
      <c r="E431" s="1" t="s">
        <v>1076</v>
      </c>
      <c r="F431" s="1" t="s">
        <v>1103</v>
      </c>
      <c r="G431" s="7" t="str">
        <f>_xlfn.XLOOKUP(Order_Details[[#This Row],[Order ID]], List_of_orders[Order ID], List_of_orders[State])</f>
        <v>Maharashtra</v>
      </c>
      <c r="H431" s="10">
        <f>_xlfn.XLOOKUP(Order_Details[[#This Row],[Order ID]], List_of_orders[Order ID], List_of_orders[Order Date (Clean)])</f>
        <v>43326</v>
      </c>
      <c r="I431" s="7" t="str">
        <f>_xlfn.XLOOKUP(Order_Details[[#This Row],[Order ID]], List_of_orders[Order ID], List_of_orders[CustomerName])</f>
        <v>Nishant</v>
      </c>
      <c r="J431" s="7" t="str">
        <f>_xlfn.XLOOKUP(Order_Details[[#This Row],[Order ID]], List_of_orders[Order ID], List_of_orders[City])</f>
        <v>Mumbai</v>
      </c>
      <c r="K431" s="8" t="str">
        <f>TEXT(Order_Details[[#This Row],[Order Date]], "YY-MMM")</f>
        <v>18-Aug</v>
      </c>
      <c r="L431" s="11">
        <f>Order_Details[[#This Row],[Profit]]/Order_Details[[#This Row],[Amount]]</f>
        <v>-6.1538461538461542E-2</v>
      </c>
      <c r="M431" s="8">
        <f>YEAR(Order_Details[[#This Row],[Order Date]])</f>
        <v>2018</v>
      </c>
      <c r="N431" s="8">
        <f>ROUNDUP(MONTH(Order_Details[[#This Row],[Order Date]])/3, 0)</f>
        <v>3</v>
      </c>
    </row>
    <row r="432" spans="1:14">
      <c r="A432" s="1" t="s">
        <v>399</v>
      </c>
      <c r="B432" s="1">
        <v>221</v>
      </c>
      <c r="C432" s="1">
        <v>-15</v>
      </c>
      <c r="D432" s="1">
        <v>2</v>
      </c>
      <c r="E432" s="1" t="s">
        <v>1077</v>
      </c>
      <c r="F432" s="1" t="s">
        <v>1104</v>
      </c>
      <c r="G432" s="7" t="str">
        <f>_xlfn.XLOOKUP(Order_Details[[#This Row],[Order ID]], List_of_orders[Order ID], List_of_orders[State])</f>
        <v>Maharashtra</v>
      </c>
      <c r="H432" s="10">
        <f>_xlfn.XLOOKUP(Order_Details[[#This Row],[Order ID]], List_of_orders[Order ID], List_of_orders[Order Date (Clean)])</f>
        <v>43326</v>
      </c>
      <c r="I432" s="7" t="str">
        <f>_xlfn.XLOOKUP(Order_Details[[#This Row],[Order ID]], List_of_orders[Order ID], List_of_orders[CustomerName])</f>
        <v>Nishant</v>
      </c>
      <c r="J432" s="7" t="str">
        <f>_xlfn.XLOOKUP(Order_Details[[#This Row],[Order ID]], List_of_orders[Order ID], List_of_orders[City])</f>
        <v>Mumbai</v>
      </c>
      <c r="K432" s="8" t="str">
        <f>TEXT(Order_Details[[#This Row],[Order Date]], "YY-MMM")</f>
        <v>18-Aug</v>
      </c>
      <c r="L432" s="11">
        <f>Order_Details[[#This Row],[Profit]]/Order_Details[[#This Row],[Amount]]</f>
        <v>-6.7873303167420809E-2</v>
      </c>
      <c r="M432" s="8">
        <f>YEAR(Order_Details[[#This Row],[Order Date]])</f>
        <v>2018</v>
      </c>
      <c r="N432" s="8">
        <f>ROUNDUP(MONTH(Order_Details[[#This Row],[Order Date]])/3, 0)</f>
        <v>3</v>
      </c>
    </row>
    <row r="433" spans="1:14">
      <c r="A433" s="1" t="s">
        <v>401</v>
      </c>
      <c r="B433" s="1">
        <v>1361</v>
      </c>
      <c r="C433" s="1">
        <v>197</v>
      </c>
      <c r="D433" s="1">
        <v>9</v>
      </c>
      <c r="E433" s="1" t="s">
        <v>1075</v>
      </c>
      <c r="F433" s="1" t="s">
        <v>1101</v>
      </c>
      <c r="G433" s="7" t="str">
        <f>_xlfn.XLOOKUP(Order_Details[[#This Row],[Order ID]], List_of_orders[Order ID], List_of_orders[State])</f>
        <v>Madhya Pradesh</v>
      </c>
      <c r="H433" s="10">
        <f>_xlfn.XLOOKUP(Order_Details[[#This Row],[Order ID]], List_of_orders[Order ID], List_of_orders[Order Date (Clean)])</f>
        <v>43326</v>
      </c>
      <c r="I433" s="7" t="str">
        <f>_xlfn.XLOOKUP(Order_Details[[#This Row],[Order ID]], List_of_orders[Order ID], List_of_orders[CustomerName])</f>
        <v>Vaibhav</v>
      </c>
      <c r="J433" s="7" t="str">
        <f>_xlfn.XLOOKUP(Order_Details[[#This Row],[Order ID]], List_of_orders[Order ID], List_of_orders[City])</f>
        <v>Indore</v>
      </c>
      <c r="K433" s="8" t="str">
        <f>TEXT(Order_Details[[#This Row],[Order Date]], "YY-MMM")</f>
        <v>18-Aug</v>
      </c>
      <c r="L433" s="11">
        <f>Order_Details[[#This Row],[Profit]]/Order_Details[[#This Row],[Amount]]</f>
        <v>0.14474650991917706</v>
      </c>
      <c r="M433" s="8">
        <f>YEAR(Order_Details[[#This Row],[Order Date]])</f>
        <v>2018</v>
      </c>
      <c r="N433" s="8">
        <f>ROUNDUP(MONTH(Order_Details[[#This Row],[Order Date]])/3, 0)</f>
        <v>3</v>
      </c>
    </row>
    <row r="434" spans="1:14">
      <c r="A434" s="1" t="s">
        <v>401</v>
      </c>
      <c r="B434" s="1">
        <v>761</v>
      </c>
      <c r="C434" s="1">
        <v>266</v>
      </c>
      <c r="D434" s="1">
        <v>9</v>
      </c>
      <c r="E434" s="1" t="s">
        <v>1077</v>
      </c>
      <c r="F434" s="1" t="s">
        <v>1104</v>
      </c>
      <c r="G434" s="7" t="str">
        <f>_xlfn.XLOOKUP(Order_Details[[#This Row],[Order ID]], List_of_orders[Order ID], List_of_orders[State])</f>
        <v>Madhya Pradesh</v>
      </c>
      <c r="H434" s="10">
        <f>_xlfn.XLOOKUP(Order_Details[[#This Row],[Order ID]], List_of_orders[Order ID], List_of_orders[Order Date (Clean)])</f>
        <v>43326</v>
      </c>
      <c r="I434" s="7" t="str">
        <f>_xlfn.XLOOKUP(Order_Details[[#This Row],[Order ID]], List_of_orders[Order ID], List_of_orders[CustomerName])</f>
        <v>Vaibhav</v>
      </c>
      <c r="J434" s="7" t="str">
        <f>_xlfn.XLOOKUP(Order_Details[[#This Row],[Order ID]], List_of_orders[Order ID], List_of_orders[City])</f>
        <v>Indore</v>
      </c>
      <c r="K434" s="8" t="str">
        <f>TEXT(Order_Details[[#This Row],[Order Date]], "YY-MMM")</f>
        <v>18-Aug</v>
      </c>
      <c r="L434" s="11">
        <f>Order_Details[[#This Row],[Profit]]/Order_Details[[#This Row],[Amount]]</f>
        <v>0.34954007884362681</v>
      </c>
      <c r="M434" s="8">
        <f>YEAR(Order_Details[[#This Row],[Order Date]])</f>
        <v>2018</v>
      </c>
      <c r="N434" s="8">
        <f>ROUNDUP(MONTH(Order_Details[[#This Row],[Order Date]])/3, 0)</f>
        <v>3</v>
      </c>
    </row>
    <row r="435" spans="1:14">
      <c r="A435" s="1" t="s">
        <v>401</v>
      </c>
      <c r="B435" s="1">
        <v>76</v>
      </c>
      <c r="C435" s="1">
        <v>27</v>
      </c>
      <c r="D435" s="1">
        <v>5</v>
      </c>
      <c r="E435" s="1" t="s">
        <v>1076</v>
      </c>
      <c r="F435" s="1" t="s">
        <v>1102</v>
      </c>
      <c r="G435" s="7" t="str">
        <f>_xlfn.XLOOKUP(Order_Details[[#This Row],[Order ID]], List_of_orders[Order ID], List_of_orders[State])</f>
        <v>Madhya Pradesh</v>
      </c>
      <c r="H435" s="10">
        <f>_xlfn.XLOOKUP(Order_Details[[#This Row],[Order ID]], List_of_orders[Order ID], List_of_orders[Order Date (Clean)])</f>
        <v>43326</v>
      </c>
      <c r="I435" s="7" t="str">
        <f>_xlfn.XLOOKUP(Order_Details[[#This Row],[Order ID]], List_of_orders[Order ID], List_of_orders[CustomerName])</f>
        <v>Vaibhav</v>
      </c>
      <c r="J435" s="7" t="str">
        <f>_xlfn.XLOOKUP(Order_Details[[#This Row],[Order ID]], List_of_orders[Order ID], List_of_orders[City])</f>
        <v>Indore</v>
      </c>
      <c r="K435" s="8" t="str">
        <f>TEXT(Order_Details[[#This Row],[Order Date]], "YY-MMM")</f>
        <v>18-Aug</v>
      </c>
      <c r="L435" s="11">
        <f>Order_Details[[#This Row],[Profit]]/Order_Details[[#This Row],[Amount]]</f>
        <v>0.35526315789473684</v>
      </c>
      <c r="M435" s="8">
        <f>YEAR(Order_Details[[#This Row],[Order Date]])</f>
        <v>2018</v>
      </c>
      <c r="N435" s="8">
        <f>ROUNDUP(MONTH(Order_Details[[#This Row],[Order Date]])/3, 0)</f>
        <v>3</v>
      </c>
    </row>
    <row r="436" spans="1:14">
      <c r="A436" s="1" t="s">
        <v>401</v>
      </c>
      <c r="B436" s="1">
        <v>91</v>
      </c>
      <c r="C436" s="1">
        <v>15</v>
      </c>
      <c r="D436" s="1">
        <v>6</v>
      </c>
      <c r="E436" s="1" t="s">
        <v>1076</v>
      </c>
      <c r="F436" s="1" t="s">
        <v>1110</v>
      </c>
      <c r="G436" s="7" t="str">
        <f>_xlfn.XLOOKUP(Order_Details[[#This Row],[Order ID]], List_of_orders[Order ID], List_of_orders[State])</f>
        <v>Madhya Pradesh</v>
      </c>
      <c r="H436" s="10">
        <f>_xlfn.XLOOKUP(Order_Details[[#This Row],[Order ID]], List_of_orders[Order ID], List_of_orders[Order Date (Clean)])</f>
        <v>43326</v>
      </c>
      <c r="I436" s="7" t="str">
        <f>_xlfn.XLOOKUP(Order_Details[[#This Row],[Order ID]], List_of_orders[Order ID], List_of_orders[CustomerName])</f>
        <v>Vaibhav</v>
      </c>
      <c r="J436" s="7" t="str">
        <f>_xlfn.XLOOKUP(Order_Details[[#This Row],[Order ID]], List_of_orders[Order ID], List_of_orders[City])</f>
        <v>Indore</v>
      </c>
      <c r="K436" s="8" t="str">
        <f>TEXT(Order_Details[[#This Row],[Order Date]], "YY-MMM")</f>
        <v>18-Aug</v>
      </c>
      <c r="L436" s="11">
        <f>Order_Details[[#This Row],[Profit]]/Order_Details[[#This Row],[Amount]]</f>
        <v>0.16483516483516483</v>
      </c>
      <c r="M436" s="8">
        <f>YEAR(Order_Details[[#This Row],[Order Date]])</f>
        <v>2018</v>
      </c>
      <c r="N436" s="8">
        <f>ROUNDUP(MONTH(Order_Details[[#This Row],[Order Date]])/3, 0)</f>
        <v>3</v>
      </c>
    </row>
    <row r="437" spans="1:14">
      <c r="A437" s="1" t="s">
        <v>401</v>
      </c>
      <c r="B437" s="1">
        <v>8</v>
      </c>
      <c r="C437" s="1">
        <v>-2</v>
      </c>
      <c r="D437" s="1">
        <v>2</v>
      </c>
      <c r="E437" s="1" t="s">
        <v>1076</v>
      </c>
      <c r="F437" s="1" t="s">
        <v>1103</v>
      </c>
      <c r="G437" s="7" t="str">
        <f>_xlfn.XLOOKUP(Order_Details[[#This Row],[Order ID]], List_of_orders[Order ID], List_of_orders[State])</f>
        <v>Madhya Pradesh</v>
      </c>
      <c r="H437" s="10">
        <f>_xlfn.XLOOKUP(Order_Details[[#This Row],[Order ID]], List_of_orders[Order ID], List_of_orders[Order Date (Clean)])</f>
        <v>43326</v>
      </c>
      <c r="I437" s="7" t="str">
        <f>_xlfn.XLOOKUP(Order_Details[[#This Row],[Order ID]], List_of_orders[Order ID], List_of_orders[CustomerName])</f>
        <v>Vaibhav</v>
      </c>
      <c r="J437" s="7" t="str">
        <f>_xlfn.XLOOKUP(Order_Details[[#This Row],[Order ID]], List_of_orders[Order ID], List_of_orders[City])</f>
        <v>Indore</v>
      </c>
      <c r="K437" s="8" t="str">
        <f>TEXT(Order_Details[[#This Row],[Order Date]], "YY-MMM")</f>
        <v>18-Aug</v>
      </c>
      <c r="L437" s="11">
        <f>Order_Details[[#This Row],[Profit]]/Order_Details[[#This Row],[Amount]]</f>
        <v>-0.25</v>
      </c>
      <c r="M437" s="8">
        <f>YEAR(Order_Details[[#This Row],[Order Date]])</f>
        <v>2018</v>
      </c>
      <c r="N437" s="8">
        <f>ROUNDUP(MONTH(Order_Details[[#This Row],[Order Date]])/3, 0)</f>
        <v>3</v>
      </c>
    </row>
    <row r="438" spans="1:14">
      <c r="A438" s="1" t="s">
        <v>401</v>
      </c>
      <c r="B438" s="1">
        <v>735</v>
      </c>
      <c r="C438" s="1">
        <v>-235</v>
      </c>
      <c r="D438" s="1">
        <v>6</v>
      </c>
      <c r="E438" s="1" t="s">
        <v>1077</v>
      </c>
      <c r="F438" s="1" t="s">
        <v>1114</v>
      </c>
      <c r="G438" s="7" t="str">
        <f>_xlfn.XLOOKUP(Order_Details[[#This Row],[Order ID]], List_of_orders[Order ID], List_of_orders[State])</f>
        <v>Madhya Pradesh</v>
      </c>
      <c r="H438" s="10">
        <f>_xlfn.XLOOKUP(Order_Details[[#This Row],[Order ID]], List_of_orders[Order ID], List_of_orders[Order Date (Clean)])</f>
        <v>43326</v>
      </c>
      <c r="I438" s="7" t="str">
        <f>_xlfn.XLOOKUP(Order_Details[[#This Row],[Order ID]], List_of_orders[Order ID], List_of_orders[CustomerName])</f>
        <v>Vaibhav</v>
      </c>
      <c r="J438" s="7" t="str">
        <f>_xlfn.XLOOKUP(Order_Details[[#This Row],[Order ID]], List_of_orders[Order ID], List_of_orders[City])</f>
        <v>Indore</v>
      </c>
      <c r="K438" s="8" t="str">
        <f>TEXT(Order_Details[[#This Row],[Order Date]], "YY-MMM")</f>
        <v>18-Aug</v>
      </c>
      <c r="L438" s="11">
        <f>Order_Details[[#This Row],[Profit]]/Order_Details[[#This Row],[Amount]]</f>
        <v>-0.31972789115646261</v>
      </c>
      <c r="M438" s="8">
        <f>YEAR(Order_Details[[#This Row],[Order Date]])</f>
        <v>2018</v>
      </c>
      <c r="N438" s="8">
        <f>ROUNDUP(MONTH(Order_Details[[#This Row],[Order Date]])/3, 0)</f>
        <v>3</v>
      </c>
    </row>
    <row r="439" spans="1:14">
      <c r="A439" s="1" t="s">
        <v>401</v>
      </c>
      <c r="B439" s="1">
        <v>33</v>
      </c>
      <c r="C439" s="1">
        <v>-27</v>
      </c>
      <c r="D439" s="1">
        <v>1</v>
      </c>
      <c r="E439" s="1" t="s">
        <v>1075</v>
      </c>
      <c r="F439" s="1" t="s">
        <v>1108</v>
      </c>
      <c r="G439" s="7" t="str">
        <f>_xlfn.XLOOKUP(Order_Details[[#This Row],[Order ID]], List_of_orders[Order ID], List_of_orders[State])</f>
        <v>Madhya Pradesh</v>
      </c>
      <c r="H439" s="10">
        <f>_xlfn.XLOOKUP(Order_Details[[#This Row],[Order ID]], List_of_orders[Order ID], List_of_orders[Order Date (Clean)])</f>
        <v>43326</v>
      </c>
      <c r="I439" s="7" t="str">
        <f>_xlfn.XLOOKUP(Order_Details[[#This Row],[Order ID]], List_of_orders[Order ID], List_of_orders[CustomerName])</f>
        <v>Vaibhav</v>
      </c>
      <c r="J439" s="7" t="str">
        <f>_xlfn.XLOOKUP(Order_Details[[#This Row],[Order ID]], List_of_orders[Order ID], List_of_orders[City])</f>
        <v>Indore</v>
      </c>
      <c r="K439" s="8" t="str">
        <f>TEXT(Order_Details[[#This Row],[Order Date]], "YY-MMM")</f>
        <v>18-Aug</v>
      </c>
      <c r="L439" s="11">
        <f>Order_Details[[#This Row],[Profit]]/Order_Details[[#This Row],[Amount]]</f>
        <v>-0.81818181818181823</v>
      </c>
      <c r="M439" s="8">
        <f>YEAR(Order_Details[[#This Row],[Order Date]])</f>
        <v>2018</v>
      </c>
      <c r="N439" s="8">
        <f>ROUNDUP(MONTH(Order_Details[[#This Row],[Order Date]])/3, 0)</f>
        <v>3</v>
      </c>
    </row>
    <row r="440" spans="1:14">
      <c r="A440" s="1" t="s">
        <v>403</v>
      </c>
      <c r="B440" s="1">
        <v>62</v>
      </c>
      <c r="C440" s="1">
        <v>-56</v>
      </c>
      <c r="D440" s="1">
        <v>5</v>
      </c>
      <c r="E440" s="1" t="s">
        <v>1076</v>
      </c>
      <c r="F440" s="1" t="s">
        <v>1109</v>
      </c>
      <c r="G440" s="7" t="str">
        <f>_xlfn.XLOOKUP(Order_Details[[#This Row],[Order ID]], List_of_orders[Order ID], List_of_orders[State])</f>
        <v>Uttar Pradesh</v>
      </c>
      <c r="H440" s="10">
        <f>_xlfn.XLOOKUP(Order_Details[[#This Row],[Order ID]], List_of_orders[Order ID], List_of_orders[Order Date (Clean)])</f>
        <v>43329</v>
      </c>
      <c r="I440" s="7" t="str">
        <f>_xlfn.XLOOKUP(Order_Details[[#This Row],[Order ID]], List_of_orders[Order ID], List_of_orders[CustomerName])</f>
        <v>Shivam</v>
      </c>
      <c r="J440" s="7" t="str">
        <f>_xlfn.XLOOKUP(Order_Details[[#This Row],[Order ID]], List_of_orders[Order ID], List_of_orders[City])</f>
        <v>Lucknow</v>
      </c>
      <c r="K440" s="8" t="str">
        <f>TEXT(Order_Details[[#This Row],[Order Date]], "YY-MMM")</f>
        <v>18-Aug</v>
      </c>
      <c r="L440" s="11">
        <f>Order_Details[[#This Row],[Profit]]/Order_Details[[#This Row],[Amount]]</f>
        <v>-0.90322580645161288</v>
      </c>
      <c r="M440" s="8">
        <f>YEAR(Order_Details[[#This Row],[Order Date]])</f>
        <v>2018</v>
      </c>
      <c r="N440" s="8">
        <f>ROUNDUP(MONTH(Order_Details[[#This Row],[Order Date]])/3, 0)</f>
        <v>3</v>
      </c>
    </row>
    <row r="441" spans="1:14">
      <c r="A441" s="1" t="s">
        <v>403</v>
      </c>
      <c r="B441" s="1">
        <v>27</v>
      </c>
      <c r="C441" s="1">
        <v>-20</v>
      </c>
      <c r="D441" s="1">
        <v>2</v>
      </c>
      <c r="E441" s="1" t="s">
        <v>1076</v>
      </c>
      <c r="F441" s="1" t="s">
        <v>1103</v>
      </c>
      <c r="G441" s="7" t="str">
        <f>_xlfn.XLOOKUP(Order_Details[[#This Row],[Order ID]], List_of_orders[Order ID], List_of_orders[State])</f>
        <v>Uttar Pradesh</v>
      </c>
      <c r="H441" s="10">
        <f>_xlfn.XLOOKUP(Order_Details[[#This Row],[Order ID]], List_of_orders[Order ID], List_of_orders[Order Date (Clean)])</f>
        <v>43329</v>
      </c>
      <c r="I441" s="7" t="str">
        <f>_xlfn.XLOOKUP(Order_Details[[#This Row],[Order ID]], List_of_orders[Order ID], List_of_orders[CustomerName])</f>
        <v>Shivam</v>
      </c>
      <c r="J441" s="7" t="str">
        <f>_xlfn.XLOOKUP(Order_Details[[#This Row],[Order ID]], List_of_orders[Order ID], List_of_orders[City])</f>
        <v>Lucknow</v>
      </c>
      <c r="K441" s="8" t="str">
        <f>TEXT(Order_Details[[#This Row],[Order Date]], "YY-MMM")</f>
        <v>18-Aug</v>
      </c>
      <c r="L441" s="11">
        <f>Order_Details[[#This Row],[Profit]]/Order_Details[[#This Row],[Amount]]</f>
        <v>-0.7407407407407407</v>
      </c>
      <c r="M441" s="8">
        <f>YEAR(Order_Details[[#This Row],[Order Date]])</f>
        <v>2018</v>
      </c>
      <c r="N441" s="8">
        <f>ROUNDUP(MONTH(Order_Details[[#This Row],[Order Date]])/3, 0)</f>
        <v>3</v>
      </c>
    </row>
    <row r="442" spans="1:14">
      <c r="A442" s="1" t="s">
        <v>403</v>
      </c>
      <c r="B442" s="1">
        <v>65</v>
      </c>
      <c r="C442" s="1">
        <v>-52</v>
      </c>
      <c r="D442" s="1">
        <v>3</v>
      </c>
      <c r="E442" s="1" t="s">
        <v>1077</v>
      </c>
      <c r="F442" s="1" t="s">
        <v>1115</v>
      </c>
      <c r="G442" s="7" t="str">
        <f>_xlfn.XLOOKUP(Order_Details[[#This Row],[Order ID]], List_of_orders[Order ID], List_of_orders[State])</f>
        <v>Uttar Pradesh</v>
      </c>
      <c r="H442" s="10">
        <f>_xlfn.XLOOKUP(Order_Details[[#This Row],[Order ID]], List_of_orders[Order ID], List_of_orders[Order Date (Clean)])</f>
        <v>43329</v>
      </c>
      <c r="I442" s="7" t="str">
        <f>_xlfn.XLOOKUP(Order_Details[[#This Row],[Order ID]], List_of_orders[Order ID], List_of_orders[CustomerName])</f>
        <v>Shivam</v>
      </c>
      <c r="J442" s="7" t="str">
        <f>_xlfn.XLOOKUP(Order_Details[[#This Row],[Order ID]], List_of_orders[Order ID], List_of_orders[City])</f>
        <v>Lucknow</v>
      </c>
      <c r="K442" s="8" t="str">
        <f>TEXT(Order_Details[[#This Row],[Order Date]], "YY-MMM")</f>
        <v>18-Aug</v>
      </c>
      <c r="L442" s="11">
        <f>Order_Details[[#This Row],[Profit]]/Order_Details[[#This Row],[Amount]]</f>
        <v>-0.8</v>
      </c>
      <c r="M442" s="8">
        <f>YEAR(Order_Details[[#This Row],[Order Date]])</f>
        <v>2018</v>
      </c>
      <c r="N442" s="8">
        <f>ROUNDUP(MONTH(Order_Details[[#This Row],[Order Date]])/3, 0)</f>
        <v>3</v>
      </c>
    </row>
    <row r="443" spans="1:14">
      <c r="A443" s="1" t="s">
        <v>403</v>
      </c>
      <c r="B443" s="1">
        <v>47</v>
      </c>
      <c r="C443" s="1">
        <v>-114</v>
      </c>
      <c r="D443" s="1">
        <v>5</v>
      </c>
      <c r="E443" s="1" t="s">
        <v>1075</v>
      </c>
      <c r="F443" s="1" t="s">
        <v>1116</v>
      </c>
      <c r="G443" s="7" t="str">
        <f>_xlfn.XLOOKUP(Order_Details[[#This Row],[Order ID]], List_of_orders[Order ID], List_of_orders[State])</f>
        <v>Uttar Pradesh</v>
      </c>
      <c r="H443" s="10">
        <f>_xlfn.XLOOKUP(Order_Details[[#This Row],[Order ID]], List_of_orders[Order ID], List_of_orders[Order Date (Clean)])</f>
        <v>43329</v>
      </c>
      <c r="I443" s="7" t="str">
        <f>_xlfn.XLOOKUP(Order_Details[[#This Row],[Order ID]], List_of_orders[Order ID], List_of_orders[CustomerName])</f>
        <v>Shivam</v>
      </c>
      <c r="J443" s="7" t="str">
        <f>_xlfn.XLOOKUP(Order_Details[[#This Row],[Order ID]], List_of_orders[Order ID], List_of_orders[City])</f>
        <v>Lucknow</v>
      </c>
      <c r="K443" s="8" t="str">
        <f>TEXT(Order_Details[[#This Row],[Order Date]], "YY-MMM")</f>
        <v>18-Aug</v>
      </c>
      <c r="L443" s="11">
        <f>Order_Details[[#This Row],[Profit]]/Order_Details[[#This Row],[Amount]]</f>
        <v>-2.4255319148936172</v>
      </c>
      <c r="M443" s="8">
        <f>YEAR(Order_Details[[#This Row],[Order Date]])</f>
        <v>2018</v>
      </c>
      <c r="N443" s="8">
        <f>ROUNDUP(MONTH(Order_Details[[#This Row],[Order Date]])/3, 0)</f>
        <v>3</v>
      </c>
    </row>
    <row r="444" spans="1:14">
      <c r="A444" s="1" t="s">
        <v>403</v>
      </c>
      <c r="B444" s="1">
        <v>341</v>
      </c>
      <c r="C444" s="1">
        <v>-85</v>
      </c>
      <c r="D444" s="1">
        <v>6</v>
      </c>
      <c r="E444" s="1" t="s">
        <v>1076</v>
      </c>
      <c r="F444" s="1" t="s">
        <v>1107</v>
      </c>
      <c r="G444" s="7" t="str">
        <f>_xlfn.XLOOKUP(Order_Details[[#This Row],[Order ID]], List_of_orders[Order ID], List_of_orders[State])</f>
        <v>Uttar Pradesh</v>
      </c>
      <c r="H444" s="10">
        <f>_xlfn.XLOOKUP(Order_Details[[#This Row],[Order ID]], List_of_orders[Order ID], List_of_orders[Order Date (Clean)])</f>
        <v>43329</v>
      </c>
      <c r="I444" s="7" t="str">
        <f>_xlfn.XLOOKUP(Order_Details[[#This Row],[Order ID]], List_of_orders[Order ID], List_of_orders[CustomerName])</f>
        <v>Shivam</v>
      </c>
      <c r="J444" s="7" t="str">
        <f>_xlfn.XLOOKUP(Order_Details[[#This Row],[Order ID]], List_of_orders[Order ID], List_of_orders[City])</f>
        <v>Lucknow</v>
      </c>
      <c r="K444" s="8" t="str">
        <f>TEXT(Order_Details[[#This Row],[Order Date]], "YY-MMM")</f>
        <v>18-Aug</v>
      </c>
      <c r="L444" s="11">
        <f>Order_Details[[#This Row],[Profit]]/Order_Details[[#This Row],[Amount]]</f>
        <v>-0.24926686217008798</v>
      </c>
      <c r="M444" s="8">
        <f>YEAR(Order_Details[[#This Row],[Order Date]])</f>
        <v>2018</v>
      </c>
      <c r="N444" s="8">
        <f>ROUNDUP(MONTH(Order_Details[[#This Row],[Order Date]])/3, 0)</f>
        <v>3</v>
      </c>
    </row>
    <row r="445" spans="1:14">
      <c r="A445" s="1" t="s">
        <v>403</v>
      </c>
      <c r="B445" s="1">
        <v>107</v>
      </c>
      <c r="C445" s="1">
        <v>31</v>
      </c>
      <c r="D445" s="1">
        <v>5</v>
      </c>
      <c r="E445" s="1" t="s">
        <v>1076</v>
      </c>
      <c r="F445" s="1" t="s">
        <v>1110</v>
      </c>
      <c r="G445" s="7" t="str">
        <f>_xlfn.XLOOKUP(Order_Details[[#This Row],[Order ID]], List_of_orders[Order ID], List_of_orders[State])</f>
        <v>Uttar Pradesh</v>
      </c>
      <c r="H445" s="10">
        <f>_xlfn.XLOOKUP(Order_Details[[#This Row],[Order ID]], List_of_orders[Order ID], List_of_orders[Order Date (Clean)])</f>
        <v>43329</v>
      </c>
      <c r="I445" s="7" t="str">
        <f>_xlfn.XLOOKUP(Order_Details[[#This Row],[Order ID]], List_of_orders[Order ID], List_of_orders[CustomerName])</f>
        <v>Shivam</v>
      </c>
      <c r="J445" s="7" t="str">
        <f>_xlfn.XLOOKUP(Order_Details[[#This Row],[Order ID]], List_of_orders[Order ID], List_of_orders[City])</f>
        <v>Lucknow</v>
      </c>
      <c r="K445" s="8" t="str">
        <f>TEXT(Order_Details[[#This Row],[Order Date]], "YY-MMM")</f>
        <v>18-Aug</v>
      </c>
      <c r="L445" s="11">
        <f>Order_Details[[#This Row],[Profit]]/Order_Details[[#This Row],[Amount]]</f>
        <v>0.28971962616822428</v>
      </c>
      <c r="M445" s="8">
        <f>YEAR(Order_Details[[#This Row],[Order Date]])</f>
        <v>2018</v>
      </c>
      <c r="N445" s="8">
        <f>ROUNDUP(MONTH(Order_Details[[#This Row],[Order Date]])/3, 0)</f>
        <v>3</v>
      </c>
    </row>
    <row r="446" spans="1:14">
      <c r="A446" s="1" t="s">
        <v>403</v>
      </c>
      <c r="B446" s="1">
        <v>154</v>
      </c>
      <c r="C446" s="1">
        <v>22</v>
      </c>
      <c r="D446" s="1">
        <v>7</v>
      </c>
      <c r="E446" s="1" t="s">
        <v>1076</v>
      </c>
      <c r="F446" s="1" t="s">
        <v>1110</v>
      </c>
      <c r="G446" s="7" t="str">
        <f>_xlfn.XLOOKUP(Order_Details[[#This Row],[Order ID]], List_of_orders[Order ID], List_of_orders[State])</f>
        <v>Uttar Pradesh</v>
      </c>
      <c r="H446" s="10">
        <f>_xlfn.XLOOKUP(Order_Details[[#This Row],[Order ID]], List_of_orders[Order ID], List_of_orders[Order Date (Clean)])</f>
        <v>43329</v>
      </c>
      <c r="I446" s="7" t="str">
        <f>_xlfn.XLOOKUP(Order_Details[[#This Row],[Order ID]], List_of_orders[Order ID], List_of_orders[CustomerName])</f>
        <v>Shivam</v>
      </c>
      <c r="J446" s="7" t="str">
        <f>_xlfn.XLOOKUP(Order_Details[[#This Row],[Order ID]], List_of_orders[Order ID], List_of_orders[City])</f>
        <v>Lucknow</v>
      </c>
      <c r="K446" s="8" t="str">
        <f>TEXT(Order_Details[[#This Row],[Order Date]], "YY-MMM")</f>
        <v>18-Aug</v>
      </c>
      <c r="L446" s="11">
        <f>Order_Details[[#This Row],[Profit]]/Order_Details[[#This Row],[Amount]]</f>
        <v>0.14285714285714285</v>
      </c>
      <c r="M446" s="8">
        <f>YEAR(Order_Details[[#This Row],[Order Date]])</f>
        <v>2018</v>
      </c>
      <c r="N446" s="8">
        <f>ROUNDUP(MONTH(Order_Details[[#This Row],[Order Date]])/3, 0)</f>
        <v>3</v>
      </c>
    </row>
    <row r="447" spans="1:14">
      <c r="A447" s="1" t="s">
        <v>403</v>
      </c>
      <c r="B447" s="1">
        <v>620</v>
      </c>
      <c r="C447" s="1">
        <v>82</v>
      </c>
      <c r="D447" s="1">
        <v>6</v>
      </c>
      <c r="E447" s="1" t="s">
        <v>1077</v>
      </c>
      <c r="F447" s="1" t="s">
        <v>1115</v>
      </c>
      <c r="G447" s="7" t="str">
        <f>_xlfn.XLOOKUP(Order_Details[[#This Row],[Order ID]], List_of_orders[Order ID], List_of_orders[State])</f>
        <v>Uttar Pradesh</v>
      </c>
      <c r="H447" s="10">
        <f>_xlfn.XLOOKUP(Order_Details[[#This Row],[Order ID]], List_of_orders[Order ID], List_of_orders[Order Date (Clean)])</f>
        <v>43329</v>
      </c>
      <c r="I447" s="7" t="str">
        <f>_xlfn.XLOOKUP(Order_Details[[#This Row],[Order ID]], List_of_orders[Order ID], List_of_orders[CustomerName])</f>
        <v>Shivam</v>
      </c>
      <c r="J447" s="7" t="str">
        <f>_xlfn.XLOOKUP(Order_Details[[#This Row],[Order ID]], List_of_orders[Order ID], List_of_orders[City])</f>
        <v>Lucknow</v>
      </c>
      <c r="K447" s="8" t="str">
        <f>TEXT(Order_Details[[#This Row],[Order Date]], "YY-MMM")</f>
        <v>18-Aug</v>
      </c>
      <c r="L447" s="11">
        <f>Order_Details[[#This Row],[Profit]]/Order_Details[[#This Row],[Amount]]</f>
        <v>0.13225806451612904</v>
      </c>
      <c r="M447" s="8">
        <f>YEAR(Order_Details[[#This Row],[Order Date]])</f>
        <v>2018</v>
      </c>
      <c r="N447" s="8">
        <f>ROUNDUP(MONTH(Order_Details[[#This Row],[Order Date]])/3, 0)</f>
        <v>3</v>
      </c>
    </row>
    <row r="448" spans="1:14">
      <c r="A448" s="1" t="s">
        <v>403</v>
      </c>
      <c r="B448" s="1">
        <v>77</v>
      </c>
      <c r="C448" s="1">
        <v>-43</v>
      </c>
      <c r="D448" s="1">
        <v>8</v>
      </c>
      <c r="E448" s="1" t="s">
        <v>1076</v>
      </c>
      <c r="F448" s="1" t="s">
        <v>1102</v>
      </c>
      <c r="G448" s="7" t="str">
        <f>_xlfn.XLOOKUP(Order_Details[[#This Row],[Order ID]], List_of_orders[Order ID], List_of_orders[State])</f>
        <v>Uttar Pradesh</v>
      </c>
      <c r="H448" s="10">
        <f>_xlfn.XLOOKUP(Order_Details[[#This Row],[Order ID]], List_of_orders[Order ID], List_of_orders[Order Date (Clean)])</f>
        <v>43329</v>
      </c>
      <c r="I448" s="7" t="str">
        <f>_xlfn.XLOOKUP(Order_Details[[#This Row],[Order ID]], List_of_orders[Order ID], List_of_orders[CustomerName])</f>
        <v>Shivam</v>
      </c>
      <c r="J448" s="7" t="str">
        <f>_xlfn.XLOOKUP(Order_Details[[#This Row],[Order ID]], List_of_orders[Order ID], List_of_orders[City])</f>
        <v>Lucknow</v>
      </c>
      <c r="K448" s="8" t="str">
        <f>TEXT(Order_Details[[#This Row],[Order Date]], "YY-MMM")</f>
        <v>18-Aug</v>
      </c>
      <c r="L448" s="11">
        <f>Order_Details[[#This Row],[Profit]]/Order_Details[[#This Row],[Amount]]</f>
        <v>-0.55844155844155841</v>
      </c>
      <c r="M448" s="8">
        <f>YEAR(Order_Details[[#This Row],[Order Date]])</f>
        <v>2018</v>
      </c>
      <c r="N448" s="8">
        <f>ROUNDUP(MONTH(Order_Details[[#This Row],[Order Date]])/3, 0)</f>
        <v>3</v>
      </c>
    </row>
    <row r="449" spans="1:14">
      <c r="A449" s="1" t="s">
        <v>405</v>
      </c>
      <c r="B449" s="1">
        <v>72</v>
      </c>
      <c r="C449" s="1">
        <v>-46</v>
      </c>
      <c r="D449" s="1">
        <v>7</v>
      </c>
      <c r="E449" s="1" t="s">
        <v>1076</v>
      </c>
      <c r="F449" s="1" t="s">
        <v>1109</v>
      </c>
      <c r="G449" s="7" t="str">
        <f>_xlfn.XLOOKUP(Order_Details[[#This Row],[Order ID]], List_of_orders[Order ID], List_of_orders[State])</f>
        <v>Bihar</v>
      </c>
      <c r="H449" s="10">
        <f>_xlfn.XLOOKUP(Order_Details[[#This Row],[Order ID]], List_of_orders[Order ID], List_of_orders[Order Date (Clean)])</f>
        <v>43330</v>
      </c>
      <c r="I449" s="7" t="str">
        <f>_xlfn.XLOOKUP(Order_Details[[#This Row],[Order ID]], List_of_orders[Order ID], List_of_orders[CustomerName])</f>
        <v>Akshay</v>
      </c>
      <c r="J449" s="7" t="str">
        <f>_xlfn.XLOOKUP(Order_Details[[#This Row],[Order ID]], List_of_orders[Order ID], List_of_orders[City])</f>
        <v>Patna</v>
      </c>
      <c r="K449" s="8" t="str">
        <f>TEXT(Order_Details[[#This Row],[Order Date]], "YY-MMM")</f>
        <v>18-Aug</v>
      </c>
      <c r="L449" s="11">
        <f>Order_Details[[#This Row],[Profit]]/Order_Details[[#This Row],[Amount]]</f>
        <v>-0.63888888888888884</v>
      </c>
      <c r="M449" s="8">
        <f>YEAR(Order_Details[[#This Row],[Order Date]])</f>
        <v>2018</v>
      </c>
      <c r="N449" s="8">
        <f>ROUNDUP(MONTH(Order_Details[[#This Row],[Order Date]])/3, 0)</f>
        <v>3</v>
      </c>
    </row>
    <row r="450" spans="1:14">
      <c r="A450" s="1" t="s">
        <v>405</v>
      </c>
      <c r="B450" s="1">
        <v>41</v>
      </c>
      <c r="C450" s="1">
        <v>-14</v>
      </c>
      <c r="D450" s="1">
        <v>5</v>
      </c>
      <c r="E450" s="1" t="s">
        <v>1076</v>
      </c>
      <c r="F450" s="1" t="s">
        <v>1112</v>
      </c>
      <c r="G450" s="7" t="str">
        <f>_xlfn.XLOOKUP(Order_Details[[#This Row],[Order ID]], List_of_orders[Order ID], List_of_orders[State])</f>
        <v>Bihar</v>
      </c>
      <c r="H450" s="10">
        <f>_xlfn.XLOOKUP(Order_Details[[#This Row],[Order ID]], List_of_orders[Order ID], List_of_orders[Order Date (Clean)])</f>
        <v>43330</v>
      </c>
      <c r="I450" s="7" t="str">
        <f>_xlfn.XLOOKUP(Order_Details[[#This Row],[Order ID]], List_of_orders[Order ID], List_of_orders[CustomerName])</f>
        <v>Akshay</v>
      </c>
      <c r="J450" s="7" t="str">
        <f>_xlfn.XLOOKUP(Order_Details[[#This Row],[Order ID]], List_of_orders[Order ID], List_of_orders[City])</f>
        <v>Patna</v>
      </c>
      <c r="K450" s="8" t="str">
        <f>TEXT(Order_Details[[#This Row],[Order Date]], "YY-MMM")</f>
        <v>18-Aug</v>
      </c>
      <c r="L450" s="11">
        <f>Order_Details[[#This Row],[Profit]]/Order_Details[[#This Row],[Amount]]</f>
        <v>-0.34146341463414637</v>
      </c>
      <c r="M450" s="8">
        <f>YEAR(Order_Details[[#This Row],[Order Date]])</f>
        <v>2018</v>
      </c>
      <c r="N450" s="8">
        <f>ROUNDUP(MONTH(Order_Details[[#This Row],[Order Date]])/3, 0)</f>
        <v>3</v>
      </c>
    </row>
    <row r="451" spans="1:14">
      <c r="A451" s="1" t="s">
        <v>405</v>
      </c>
      <c r="B451" s="1">
        <v>30</v>
      </c>
      <c r="C451" s="1">
        <v>-23</v>
      </c>
      <c r="D451" s="1">
        <v>2</v>
      </c>
      <c r="E451" s="1" t="s">
        <v>1076</v>
      </c>
      <c r="F451" s="1" t="s">
        <v>1106</v>
      </c>
      <c r="G451" s="7" t="str">
        <f>_xlfn.XLOOKUP(Order_Details[[#This Row],[Order ID]], List_of_orders[Order ID], List_of_orders[State])</f>
        <v>Bihar</v>
      </c>
      <c r="H451" s="10">
        <f>_xlfn.XLOOKUP(Order_Details[[#This Row],[Order ID]], List_of_orders[Order ID], List_of_orders[Order Date (Clean)])</f>
        <v>43330</v>
      </c>
      <c r="I451" s="7" t="str">
        <f>_xlfn.XLOOKUP(Order_Details[[#This Row],[Order ID]], List_of_orders[Order ID], List_of_orders[CustomerName])</f>
        <v>Akshay</v>
      </c>
      <c r="J451" s="7" t="str">
        <f>_xlfn.XLOOKUP(Order_Details[[#This Row],[Order ID]], List_of_orders[Order ID], List_of_orders[City])</f>
        <v>Patna</v>
      </c>
      <c r="K451" s="8" t="str">
        <f>TEXT(Order_Details[[#This Row],[Order Date]], "YY-MMM")</f>
        <v>18-Aug</v>
      </c>
      <c r="L451" s="11">
        <f>Order_Details[[#This Row],[Profit]]/Order_Details[[#This Row],[Amount]]</f>
        <v>-0.76666666666666672</v>
      </c>
      <c r="M451" s="8">
        <f>YEAR(Order_Details[[#This Row],[Order Date]])</f>
        <v>2018</v>
      </c>
      <c r="N451" s="8">
        <f>ROUNDUP(MONTH(Order_Details[[#This Row],[Order Date]])/3, 0)</f>
        <v>3</v>
      </c>
    </row>
    <row r="452" spans="1:14">
      <c r="A452" s="1" t="s">
        <v>405</v>
      </c>
      <c r="B452" s="1">
        <v>93</v>
      </c>
      <c r="C452" s="1">
        <v>-65</v>
      </c>
      <c r="D452" s="1">
        <v>4</v>
      </c>
      <c r="E452" s="1" t="s">
        <v>1076</v>
      </c>
      <c r="F452" s="1" t="s">
        <v>1102</v>
      </c>
      <c r="G452" s="7" t="str">
        <f>_xlfn.XLOOKUP(Order_Details[[#This Row],[Order ID]], List_of_orders[Order ID], List_of_orders[State])</f>
        <v>Bihar</v>
      </c>
      <c r="H452" s="10">
        <f>_xlfn.XLOOKUP(Order_Details[[#This Row],[Order ID]], List_of_orders[Order ID], List_of_orders[Order Date (Clean)])</f>
        <v>43330</v>
      </c>
      <c r="I452" s="7" t="str">
        <f>_xlfn.XLOOKUP(Order_Details[[#This Row],[Order ID]], List_of_orders[Order ID], List_of_orders[CustomerName])</f>
        <v>Akshay</v>
      </c>
      <c r="J452" s="7" t="str">
        <f>_xlfn.XLOOKUP(Order_Details[[#This Row],[Order ID]], List_of_orders[Order ID], List_of_orders[City])</f>
        <v>Patna</v>
      </c>
      <c r="K452" s="8" t="str">
        <f>TEXT(Order_Details[[#This Row],[Order Date]], "YY-MMM")</f>
        <v>18-Aug</v>
      </c>
      <c r="L452" s="11">
        <f>Order_Details[[#This Row],[Profit]]/Order_Details[[#This Row],[Amount]]</f>
        <v>-0.69892473118279574</v>
      </c>
      <c r="M452" s="8">
        <f>YEAR(Order_Details[[#This Row],[Order Date]])</f>
        <v>2018</v>
      </c>
      <c r="N452" s="8">
        <f>ROUNDUP(MONTH(Order_Details[[#This Row],[Order Date]])/3, 0)</f>
        <v>3</v>
      </c>
    </row>
    <row r="453" spans="1:14">
      <c r="A453" s="1" t="s">
        <v>405</v>
      </c>
      <c r="B453" s="1">
        <v>19</v>
      </c>
      <c r="C453" s="1">
        <v>0</v>
      </c>
      <c r="D453" s="1">
        <v>3</v>
      </c>
      <c r="E453" s="1" t="s">
        <v>1076</v>
      </c>
      <c r="F453" s="1" t="s">
        <v>1117</v>
      </c>
      <c r="G453" s="7" t="str">
        <f>_xlfn.XLOOKUP(Order_Details[[#This Row],[Order ID]], List_of_orders[Order ID], List_of_orders[State])</f>
        <v>Bihar</v>
      </c>
      <c r="H453" s="10">
        <f>_xlfn.XLOOKUP(Order_Details[[#This Row],[Order ID]], List_of_orders[Order ID], List_of_orders[Order Date (Clean)])</f>
        <v>43330</v>
      </c>
      <c r="I453" s="7" t="str">
        <f>_xlfn.XLOOKUP(Order_Details[[#This Row],[Order ID]], List_of_orders[Order ID], List_of_orders[CustomerName])</f>
        <v>Akshay</v>
      </c>
      <c r="J453" s="7" t="str">
        <f>_xlfn.XLOOKUP(Order_Details[[#This Row],[Order ID]], List_of_orders[Order ID], List_of_orders[City])</f>
        <v>Patna</v>
      </c>
      <c r="K453" s="8" t="str">
        <f>TEXT(Order_Details[[#This Row],[Order Date]], "YY-MMM")</f>
        <v>18-Aug</v>
      </c>
      <c r="L453" s="11">
        <f>Order_Details[[#This Row],[Profit]]/Order_Details[[#This Row],[Amount]]</f>
        <v>0</v>
      </c>
      <c r="M453" s="8">
        <f>YEAR(Order_Details[[#This Row],[Order Date]])</f>
        <v>2018</v>
      </c>
      <c r="N453" s="8">
        <f>ROUNDUP(MONTH(Order_Details[[#This Row],[Order Date]])/3, 0)</f>
        <v>3</v>
      </c>
    </row>
    <row r="454" spans="1:14">
      <c r="A454" s="1" t="s">
        <v>405</v>
      </c>
      <c r="B454" s="1">
        <v>9</v>
      </c>
      <c r="C454" s="1">
        <v>-1</v>
      </c>
      <c r="D454" s="1">
        <v>3</v>
      </c>
      <c r="E454" s="1" t="s">
        <v>1076</v>
      </c>
      <c r="F454" s="1" t="s">
        <v>1117</v>
      </c>
      <c r="G454" s="7" t="str">
        <f>_xlfn.XLOOKUP(Order_Details[[#This Row],[Order ID]], List_of_orders[Order ID], List_of_orders[State])</f>
        <v>Bihar</v>
      </c>
      <c r="H454" s="10">
        <f>_xlfn.XLOOKUP(Order_Details[[#This Row],[Order ID]], List_of_orders[Order ID], List_of_orders[Order Date (Clean)])</f>
        <v>43330</v>
      </c>
      <c r="I454" s="7" t="str">
        <f>_xlfn.XLOOKUP(Order_Details[[#This Row],[Order ID]], List_of_orders[Order ID], List_of_orders[CustomerName])</f>
        <v>Akshay</v>
      </c>
      <c r="J454" s="7" t="str">
        <f>_xlfn.XLOOKUP(Order_Details[[#This Row],[Order ID]], List_of_orders[Order ID], List_of_orders[City])</f>
        <v>Patna</v>
      </c>
      <c r="K454" s="8" t="str">
        <f>TEXT(Order_Details[[#This Row],[Order Date]], "YY-MMM")</f>
        <v>18-Aug</v>
      </c>
      <c r="L454" s="11">
        <f>Order_Details[[#This Row],[Profit]]/Order_Details[[#This Row],[Amount]]</f>
        <v>-0.1111111111111111</v>
      </c>
      <c r="M454" s="8">
        <f>YEAR(Order_Details[[#This Row],[Order Date]])</f>
        <v>2018</v>
      </c>
      <c r="N454" s="8">
        <f>ROUNDUP(MONTH(Order_Details[[#This Row],[Order Date]])/3, 0)</f>
        <v>3</v>
      </c>
    </row>
    <row r="455" spans="1:14">
      <c r="A455" s="1" t="s">
        <v>405</v>
      </c>
      <c r="B455" s="1">
        <v>319</v>
      </c>
      <c r="C455" s="1">
        <v>-312</v>
      </c>
      <c r="D455" s="1">
        <v>5</v>
      </c>
      <c r="E455" s="1" t="s">
        <v>1076</v>
      </c>
      <c r="F455" s="1" t="s">
        <v>1106</v>
      </c>
      <c r="G455" s="7" t="str">
        <f>_xlfn.XLOOKUP(Order_Details[[#This Row],[Order ID]], List_of_orders[Order ID], List_of_orders[State])</f>
        <v>Bihar</v>
      </c>
      <c r="H455" s="10">
        <f>_xlfn.XLOOKUP(Order_Details[[#This Row],[Order ID]], List_of_orders[Order ID], List_of_orders[Order Date (Clean)])</f>
        <v>43330</v>
      </c>
      <c r="I455" s="7" t="str">
        <f>_xlfn.XLOOKUP(Order_Details[[#This Row],[Order ID]], List_of_orders[Order ID], List_of_orders[CustomerName])</f>
        <v>Akshay</v>
      </c>
      <c r="J455" s="7" t="str">
        <f>_xlfn.XLOOKUP(Order_Details[[#This Row],[Order ID]], List_of_orders[Order ID], List_of_orders[City])</f>
        <v>Patna</v>
      </c>
      <c r="K455" s="8" t="str">
        <f>TEXT(Order_Details[[#This Row],[Order Date]], "YY-MMM")</f>
        <v>18-Aug</v>
      </c>
      <c r="L455" s="11">
        <f>Order_Details[[#This Row],[Profit]]/Order_Details[[#This Row],[Amount]]</f>
        <v>-0.9780564263322884</v>
      </c>
      <c r="M455" s="8">
        <f>YEAR(Order_Details[[#This Row],[Order Date]])</f>
        <v>2018</v>
      </c>
      <c r="N455" s="8">
        <f>ROUNDUP(MONTH(Order_Details[[#This Row],[Order Date]])/3, 0)</f>
        <v>3</v>
      </c>
    </row>
    <row r="456" spans="1:14">
      <c r="A456" s="1" t="s">
        <v>405</v>
      </c>
      <c r="B456" s="1">
        <v>262</v>
      </c>
      <c r="C456" s="1">
        <v>-215</v>
      </c>
      <c r="D456" s="1">
        <v>2</v>
      </c>
      <c r="E456" s="1" t="s">
        <v>1077</v>
      </c>
      <c r="F456" s="1" t="s">
        <v>1114</v>
      </c>
      <c r="G456" s="7" t="str">
        <f>_xlfn.XLOOKUP(Order_Details[[#This Row],[Order ID]], List_of_orders[Order ID], List_of_orders[State])</f>
        <v>Bihar</v>
      </c>
      <c r="H456" s="10">
        <f>_xlfn.XLOOKUP(Order_Details[[#This Row],[Order ID]], List_of_orders[Order ID], List_of_orders[Order Date (Clean)])</f>
        <v>43330</v>
      </c>
      <c r="I456" s="7" t="str">
        <f>_xlfn.XLOOKUP(Order_Details[[#This Row],[Order ID]], List_of_orders[Order ID], List_of_orders[CustomerName])</f>
        <v>Akshay</v>
      </c>
      <c r="J456" s="7" t="str">
        <f>_xlfn.XLOOKUP(Order_Details[[#This Row],[Order ID]], List_of_orders[Order ID], List_of_orders[City])</f>
        <v>Patna</v>
      </c>
      <c r="K456" s="8" t="str">
        <f>TEXT(Order_Details[[#This Row],[Order Date]], "YY-MMM")</f>
        <v>18-Aug</v>
      </c>
      <c r="L456" s="11">
        <f>Order_Details[[#This Row],[Profit]]/Order_Details[[#This Row],[Amount]]</f>
        <v>-0.82061068702290074</v>
      </c>
      <c r="M456" s="8">
        <f>YEAR(Order_Details[[#This Row],[Order Date]])</f>
        <v>2018</v>
      </c>
      <c r="N456" s="8">
        <f>ROUNDUP(MONTH(Order_Details[[#This Row],[Order Date]])/3, 0)</f>
        <v>3</v>
      </c>
    </row>
    <row r="457" spans="1:14">
      <c r="A457" s="1" t="s">
        <v>408</v>
      </c>
      <c r="B457" s="1">
        <v>37</v>
      </c>
      <c r="C457" s="1">
        <v>-53</v>
      </c>
      <c r="D457" s="1">
        <v>3</v>
      </c>
      <c r="E457" s="1" t="s">
        <v>1076</v>
      </c>
      <c r="F457" s="1" t="s">
        <v>1106</v>
      </c>
      <c r="G457" s="7" t="str">
        <f>_xlfn.XLOOKUP(Order_Details[[#This Row],[Order ID]], List_of_orders[Order ID], List_of_orders[State])</f>
        <v xml:space="preserve">Kerala </v>
      </c>
      <c r="H457" s="10">
        <f>_xlfn.XLOOKUP(Order_Details[[#This Row],[Order ID]], List_of_orders[Order ID], List_of_orders[Order Date (Clean)])</f>
        <v>43331</v>
      </c>
      <c r="I457" s="7" t="str">
        <f>_xlfn.XLOOKUP(Order_Details[[#This Row],[Order ID]], List_of_orders[Order ID], List_of_orders[CustomerName])</f>
        <v>Shourya</v>
      </c>
      <c r="J457" s="7" t="str">
        <f>_xlfn.XLOOKUP(Order_Details[[#This Row],[Order ID]], List_of_orders[Order ID], List_of_orders[City])</f>
        <v>Thiruvananthapuram</v>
      </c>
      <c r="K457" s="8" t="str">
        <f>TEXT(Order_Details[[#This Row],[Order Date]], "YY-MMM")</f>
        <v>18-Aug</v>
      </c>
      <c r="L457" s="11">
        <f>Order_Details[[#This Row],[Profit]]/Order_Details[[#This Row],[Amount]]</f>
        <v>-1.4324324324324325</v>
      </c>
      <c r="M457" s="8">
        <f>YEAR(Order_Details[[#This Row],[Order Date]])</f>
        <v>2018</v>
      </c>
      <c r="N457" s="8">
        <f>ROUNDUP(MONTH(Order_Details[[#This Row],[Order Date]])/3, 0)</f>
        <v>3</v>
      </c>
    </row>
    <row r="458" spans="1:14">
      <c r="A458" s="1" t="s">
        <v>408</v>
      </c>
      <c r="B458" s="1">
        <v>257</v>
      </c>
      <c r="C458" s="1">
        <v>-3</v>
      </c>
      <c r="D458" s="1">
        <v>2</v>
      </c>
      <c r="E458" s="1" t="s">
        <v>1075</v>
      </c>
      <c r="F458" s="1" t="s">
        <v>1101</v>
      </c>
      <c r="G458" s="7" t="str">
        <f>_xlfn.XLOOKUP(Order_Details[[#This Row],[Order ID]], List_of_orders[Order ID], List_of_orders[State])</f>
        <v xml:space="preserve">Kerala </v>
      </c>
      <c r="H458" s="10">
        <f>_xlfn.XLOOKUP(Order_Details[[#This Row],[Order ID]], List_of_orders[Order ID], List_of_orders[Order Date (Clean)])</f>
        <v>43331</v>
      </c>
      <c r="I458" s="7" t="str">
        <f>_xlfn.XLOOKUP(Order_Details[[#This Row],[Order ID]], List_of_orders[Order ID], List_of_orders[CustomerName])</f>
        <v>Shourya</v>
      </c>
      <c r="J458" s="7" t="str">
        <f>_xlfn.XLOOKUP(Order_Details[[#This Row],[Order ID]], List_of_orders[Order ID], List_of_orders[City])</f>
        <v>Thiruvananthapuram</v>
      </c>
      <c r="K458" s="8" t="str">
        <f>TEXT(Order_Details[[#This Row],[Order Date]], "YY-MMM")</f>
        <v>18-Aug</v>
      </c>
      <c r="L458" s="11">
        <f>Order_Details[[#This Row],[Profit]]/Order_Details[[#This Row],[Amount]]</f>
        <v>-1.1673151750972763E-2</v>
      </c>
      <c r="M458" s="8">
        <f>YEAR(Order_Details[[#This Row],[Order Date]])</f>
        <v>2018</v>
      </c>
      <c r="N458" s="8">
        <f>ROUNDUP(MONTH(Order_Details[[#This Row],[Order Date]])/3, 0)</f>
        <v>3</v>
      </c>
    </row>
    <row r="459" spans="1:14">
      <c r="A459" s="1" t="s">
        <v>408</v>
      </c>
      <c r="B459" s="1">
        <v>80</v>
      </c>
      <c r="C459" s="1">
        <v>-19</v>
      </c>
      <c r="D459" s="1">
        <v>5</v>
      </c>
      <c r="E459" s="1" t="s">
        <v>1076</v>
      </c>
      <c r="F459" s="1" t="s">
        <v>1102</v>
      </c>
      <c r="G459" s="7" t="str">
        <f>_xlfn.XLOOKUP(Order_Details[[#This Row],[Order ID]], List_of_orders[Order ID], List_of_orders[State])</f>
        <v xml:space="preserve">Kerala </v>
      </c>
      <c r="H459" s="10">
        <f>_xlfn.XLOOKUP(Order_Details[[#This Row],[Order ID]], List_of_orders[Order ID], List_of_orders[Order Date (Clean)])</f>
        <v>43331</v>
      </c>
      <c r="I459" s="7" t="str">
        <f>_xlfn.XLOOKUP(Order_Details[[#This Row],[Order ID]], List_of_orders[Order ID], List_of_orders[CustomerName])</f>
        <v>Shourya</v>
      </c>
      <c r="J459" s="7" t="str">
        <f>_xlfn.XLOOKUP(Order_Details[[#This Row],[Order ID]], List_of_orders[Order ID], List_of_orders[City])</f>
        <v>Thiruvananthapuram</v>
      </c>
      <c r="K459" s="8" t="str">
        <f>TEXT(Order_Details[[#This Row],[Order Date]], "YY-MMM")</f>
        <v>18-Aug</v>
      </c>
      <c r="L459" s="11">
        <f>Order_Details[[#This Row],[Profit]]/Order_Details[[#This Row],[Amount]]</f>
        <v>-0.23749999999999999</v>
      </c>
      <c r="M459" s="8">
        <f>YEAR(Order_Details[[#This Row],[Order Date]])</f>
        <v>2018</v>
      </c>
      <c r="N459" s="8">
        <f>ROUNDUP(MONTH(Order_Details[[#This Row],[Order Date]])/3, 0)</f>
        <v>3</v>
      </c>
    </row>
    <row r="460" spans="1:14">
      <c r="A460" s="1" t="s">
        <v>408</v>
      </c>
      <c r="B460" s="1">
        <v>321</v>
      </c>
      <c r="C460" s="1">
        <v>-315</v>
      </c>
      <c r="D460" s="1">
        <v>5</v>
      </c>
      <c r="E460" s="1" t="s">
        <v>1076</v>
      </c>
      <c r="F460" s="1" t="s">
        <v>1106</v>
      </c>
      <c r="G460" s="7" t="str">
        <f>_xlfn.XLOOKUP(Order_Details[[#This Row],[Order ID]], List_of_orders[Order ID], List_of_orders[State])</f>
        <v xml:space="preserve">Kerala </v>
      </c>
      <c r="H460" s="10">
        <f>_xlfn.XLOOKUP(Order_Details[[#This Row],[Order ID]], List_of_orders[Order ID], List_of_orders[Order Date (Clean)])</f>
        <v>43331</v>
      </c>
      <c r="I460" s="7" t="str">
        <f>_xlfn.XLOOKUP(Order_Details[[#This Row],[Order ID]], List_of_orders[Order ID], List_of_orders[CustomerName])</f>
        <v>Shourya</v>
      </c>
      <c r="J460" s="7" t="str">
        <f>_xlfn.XLOOKUP(Order_Details[[#This Row],[Order ID]], List_of_orders[Order ID], List_of_orders[City])</f>
        <v>Thiruvananthapuram</v>
      </c>
      <c r="K460" s="8" t="str">
        <f>TEXT(Order_Details[[#This Row],[Order Date]], "YY-MMM")</f>
        <v>18-Aug</v>
      </c>
      <c r="L460" s="11">
        <f>Order_Details[[#This Row],[Profit]]/Order_Details[[#This Row],[Amount]]</f>
        <v>-0.98130841121495327</v>
      </c>
      <c r="M460" s="8">
        <f>YEAR(Order_Details[[#This Row],[Order Date]])</f>
        <v>2018</v>
      </c>
      <c r="N460" s="8">
        <f>ROUNDUP(MONTH(Order_Details[[#This Row],[Order Date]])/3, 0)</f>
        <v>3</v>
      </c>
    </row>
    <row r="461" spans="1:14">
      <c r="A461" s="1" t="s">
        <v>408</v>
      </c>
      <c r="B461" s="1">
        <v>47</v>
      </c>
      <c r="C461" s="1">
        <v>-3</v>
      </c>
      <c r="D461" s="1">
        <v>2</v>
      </c>
      <c r="E461" s="1" t="s">
        <v>1076</v>
      </c>
      <c r="F461" s="1" t="s">
        <v>1102</v>
      </c>
      <c r="G461" s="7" t="str">
        <f>_xlfn.XLOOKUP(Order_Details[[#This Row],[Order ID]], List_of_orders[Order ID], List_of_orders[State])</f>
        <v xml:space="preserve">Kerala </v>
      </c>
      <c r="H461" s="10">
        <f>_xlfn.XLOOKUP(Order_Details[[#This Row],[Order ID]], List_of_orders[Order ID], List_of_orders[Order Date (Clean)])</f>
        <v>43331</v>
      </c>
      <c r="I461" s="7" t="str">
        <f>_xlfn.XLOOKUP(Order_Details[[#This Row],[Order ID]], List_of_orders[Order ID], List_of_orders[CustomerName])</f>
        <v>Shourya</v>
      </c>
      <c r="J461" s="7" t="str">
        <f>_xlfn.XLOOKUP(Order_Details[[#This Row],[Order ID]], List_of_orders[Order ID], List_of_orders[City])</f>
        <v>Thiruvananthapuram</v>
      </c>
      <c r="K461" s="8" t="str">
        <f>TEXT(Order_Details[[#This Row],[Order Date]], "YY-MMM")</f>
        <v>18-Aug</v>
      </c>
      <c r="L461" s="11">
        <f>Order_Details[[#This Row],[Profit]]/Order_Details[[#This Row],[Amount]]</f>
        <v>-6.3829787234042548E-2</v>
      </c>
      <c r="M461" s="8">
        <f>YEAR(Order_Details[[#This Row],[Order Date]])</f>
        <v>2018</v>
      </c>
      <c r="N461" s="8">
        <f>ROUNDUP(MONTH(Order_Details[[#This Row],[Order Date]])/3, 0)</f>
        <v>3</v>
      </c>
    </row>
    <row r="462" spans="1:14">
      <c r="A462" s="1" t="s">
        <v>408</v>
      </c>
      <c r="B462" s="1">
        <v>593</v>
      </c>
      <c r="C462" s="1">
        <v>213</v>
      </c>
      <c r="D462" s="1">
        <v>4</v>
      </c>
      <c r="E462" s="1" t="s">
        <v>1075</v>
      </c>
      <c r="F462" s="1" t="s">
        <v>1101</v>
      </c>
      <c r="G462" s="7" t="str">
        <f>_xlfn.XLOOKUP(Order_Details[[#This Row],[Order ID]], List_of_orders[Order ID], List_of_orders[State])</f>
        <v xml:space="preserve">Kerala </v>
      </c>
      <c r="H462" s="10">
        <f>_xlfn.XLOOKUP(Order_Details[[#This Row],[Order ID]], List_of_orders[Order ID], List_of_orders[Order Date (Clean)])</f>
        <v>43331</v>
      </c>
      <c r="I462" s="7" t="str">
        <f>_xlfn.XLOOKUP(Order_Details[[#This Row],[Order ID]], List_of_orders[Order ID], List_of_orders[CustomerName])</f>
        <v>Shourya</v>
      </c>
      <c r="J462" s="7" t="str">
        <f>_xlfn.XLOOKUP(Order_Details[[#This Row],[Order ID]], List_of_orders[Order ID], List_of_orders[City])</f>
        <v>Thiruvananthapuram</v>
      </c>
      <c r="K462" s="8" t="str">
        <f>TEXT(Order_Details[[#This Row],[Order Date]], "YY-MMM")</f>
        <v>18-Aug</v>
      </c>
      <c r="L462" s="11">
        <f>Order_Details[[#This Row],[Profit]]/Order_Details[[#This Row],[Amount]]</f>
        <v>0.35919055649241149</v>
      </c>
      <c r="M462" s="8">
        <f>YEAR(Order_Details[[#This Row],[Order Date]])</f>
        <v>2018</v>
      </c>
      <c r="N462" s="8">
        <f>ROUNDUP(MONTH(Order_Details[[#This Row],[Order Date]])/3, 0)</f>
        <v>3</v>
      </c>
    </row>
    <row r="463" spans="1:14">
      <c r="A463" s="1" t="s">
        <v>408</v>
      </c>
      <c r="B463" s="1">
        <v>134</v>
      </c>
      <c r="C463" s="1">
        <v>-34</v>
      </c>
      <c r="D463" s="1">
        <v>2</v>
      </c>
      <c r="E463" s="1" t="s">
        <v>1075</v>
      </c>
      <c r="F463" s="1" t="s">
        <v>1108</v>
      </c>
      <c r="G463" s="7" t="str">
        <f>_xlfn.XLOOKUP(Order_Details[[#This Row],[Order ID]], List_of_orders[Order ID], List_of_orders[State])</f>
        <v xml:space="preserve">Kerala </v>
      </c>
      <c r="H463" s="10">
        <f>_xlfn.XLOOKUP(Order_Details[[#This Row],[Order ID]], List_of_orders[Order ID], List_of_orders[Order Date (Clean)])</f>
        <v>43331</v>
      </c>
      <c r="I463" s="7" t="str">
        <f>_xlfn.XLOOKUP(Order_Details[[#This Row],[Order ID]], List_of_orders[Order ID], List_of_orders[CustomerName])</f>
        <v>Shourya</v>
      </c>
      <c r="J463" s="7" t="str">
        <f>_xlfn.XLOOKUP(Order_Details[[#This Row],[Order ID]], List_of_orders[Order ID], List_of_orders[City])</f>
        <v>Thiruvananthapuram</v>
      </c>
      <c r="K463" s="8" t="str">
        <f>TEXT(Order_Details[[#This Row],[Order Date]], "YY-MMM")</f>
        <v>18-Aug</v>
      </c>
      <c r="L463" s="11">
        <f>Order_Details[[#This Row],[Profit]]/Order_Details[[#This Row],[Amount]]</f>
        <v>-0.2537313432835821</v>
      </c>
      <c r="M463" s="8">
        <f>YEAR(Order_Details[[#This Row],[Order Date]])</f>
        <v>2018</v>
      </c>
      <c r="N463" s="8">
        <f>ROUNDUP(MONTH(Order_Details[[#This Row],[Order Date]])/3, 0)</f>
        <v>3</v>
      </c>
    </row>
    <row r="464" spans="1:14">
      <c r="A464" s="1" t="s">
        <v>408</v>
      </c>
      <c r="B464" s="1">
        <v>1709</v>
      </c>
      <c r="C464" s="1">
        <v>564</v>
      </c>
      <c r="D464" s="1">
        <v>3</v>
      </c>
      <c r="E464" s="1" t="s">
        <v>1076</v>
      </c>
      <c r="F464" s="1" t="s">
        <v>1107</v>
      </c>
      <c r="G464" s="7" t="str">
        <f>_xlfn.XLOOKUP(Order_Details[[#This Row],[Order ID]], List_of_orders[Order ID], List_of_orders[State])</f>
        <v xml:space="preserve">Kerala </v>
      </c>
      <c r="H464" s="10">
        <f>_xlfn.XLOOKUP(Order_Details[[#This Row],[Order ID]], List_of_orders[Order ID], List_of_orders[Order Date (Clean)])</f>
        <v>43331</v>
      </c>
      <c r="I464" s="7" t="str">
        <f>_xlfn.XLOOKUP(Order_Details[[#This Row],[Order ID]], List_of_orders[Order ID], List_of_orders[CustomerName])</f>
        <v>Shourya</v>
      </c>
      <c r="J464" s="7" t="str">
        <f>_xlfn.XLOOKUP(Order_Details[[#This Row],[Order ID]], List_of_orders[Order ID], List_of_orders[City])</f>
        <v>Thiruvananthapuram</v>
      </c>
      <c r="K464" s="8" t="str">
        <f>TEXT(Order_Details[[#This Row],[Order Date]], "YY-MMM")</f>
        <v>18-Aug</v>
      </c>
      <c r="L464" s="11">
        <f>Order_Details[[#This Row],[Profit]]/Order_Details[[#This Row],[Amount]]</f>
        <v>0.33001755412521944</v>
      </c>
      <c r="M464" s="8">
        <f>YEAR(Order_Details[[#This Row],[Order Date]])</f>
        <v>2018</v>
      </c>
      <c r="N464" s="8">
        <f>ROUNDUP(MONTH(Order_Details[[#This Row],[Order Date]])/3, 0)</f>
        <v>3</v>
      </c>
    </row>
    <row r="465" spans="1:14">
      <c r="A465" s="1" t="s">
        <v>408</v>
      </c>
      <c r="B465" s="1">
        <v>27</v>
      </c>
      <c r="C465" s="1">
        <v>4</v>
      </c>
      <c r="D465" s="1">
        <v>2</v>
      </c>
      <c r="E465" s="1" t="s">
        <v>1076</v>
      </c>
      <c r="F465" s="1" t="s">
        <v>1106</v>
      </c>
      <c r="G465" s="7" t="str">
        <f>_xlfn.XLOOKUP(Order_Details[[#This Row],[Order ID]], List_of_orders[Order ID], List_of_orders[State])</f>
        <v xml:space="preserve">Kerala </v>
      </c>
      <c r="H465" s="10">
        <f>_xlfn.XLOOKUP(Order_Details[[#This Row],[Order ID]], List_of_orders[Order ID], List_of_orders[Order Date (Clean)])</f>
        <v>43331</v>
      </c>
      <c r="I465" s="7" t="str">
        <f>_xlfn.XLOOKUP(Order_Details[[#This Row],[Order ID]], List_of_orders[Order ID], List_of_orders[CustomerName])</f>
        <v>Shourya</v>
      </c>
      <c r="J465" s="7" t="str">
        <f>_xlfn.XLOOKUP(Order_Details[[#This Row],[Order ID]], List_of_orders[Order ID], List_of_orders[City])</f>
        <v>Thiruvananthapuram</v>
      </c>
      <c r="K465" s="8" t="str">
        <f>TEXT(Order_Details[[#This Row],[Order Date]], "YY-MMM")</f>
        <v>18-Aug</v>
      </c>
      <c r="L465" s="11">
        <f>Order_Details[[#This Row],[Profit]]/Order_Details[[#This Row],[Amount]]</f>
        <v>0.14814814814814814</v>
      </c>
      <c r="M465" s="8">
        <f>YEAR(Order_Details[[#This Row],[Order Date]])</f>
        <v>2018</v>
      </c>
      <c r="N465" s="8">
        <f>ROUNDUP(MONTH(Order_Details[[#This Row],[Order Date]])/3, 0)</f>
        <v>3</v>
      </c>
    </row>
    <row r="466" spans="1:14">
      <c r="A466" s="1" t="s">
        <v>411</v>
      </c>
      <c r="B466" s="1">
        <v>465</v>
      </c>
      <c r="C466" s="1">
        <v>-33</v>
      </c>
      <c r="D466" s="1">
        <v>4</v>
      </c>
      <c r="E466" s="1" t="s">
        <v>1077</v>
      </c>
      <c r="F466" s="1" t="s">
        <v>1105</v>
      </c>
      <c r="G466" s="7" t="str">
        <f>_xlfn.XLOOKUP(Order_Details[[#This Row],[Order ID]], List_of_orders[Order ID], List_of_orders[State])</f>
        <v>Maharashtra</v>
      </c>
      <c r="H466" s="10">
        <f>_xlfn.XLOOKUP(Order_Details[[#This Row],[Order ID]], List_of_orders[Order ID], List_of_orders[Order Date (Clean)])</f>
        <v>43332</v>
      </c>
      <c r="I466" s="7" t="str">
        <f>_xlfn.XLOOKUP(Order_Details[[#This Row],[Order ID]], List_of_orders[Order ID], List_of_orders[CustomerName])</f>
        <v>Mohan</v>
      </c>
      <c r="J466" s="7" t="str">
        <f>_xlfn.XLOOKUP(Order_Details[[#This Row],[Order ID]], List_of_orders[Order ID], List_of_orders[City])</f>
        <v>Mumbai</v>
      </c>
      <c r="K466" s="8" t="str">
        <f>TEXT(Order_Details[[#This Row],[Order Date]], "YY-MMM")</f>
        <v>18-Aug</v>
      </c>
      <c r="L466" s="11">
        <f>Order_Details[[#This Row],[Profit]]/Order_Details[[#This Row],[Amount]]</f>
        <v>-7.0967741935483872E-2</v>
      </c>
      <c r="M466" s="8">
        <f>YEAR(Order_Details[[#This Row],[Order Date]])</f>
        <v>2018</v>
      </c>
      <c r="N466" s="8">
        <f>ROUNDUP(MONTH(Order_Details[[#This Row],[Order Date]])/3, 0)</f>
        <v>3</v>
      </c>
    </row>
    <row r="467" spans="1:14">
      <c r="A467" s="1" t="s">
        <v>411</v>
      </c>
      <c r="B467" s="1">
        <v>643</v>
      </c>
      <c r="C467" s="1">
        <v>-45</v>
      </c>
      <c r="D467" s="1">
        <v>2</v>
      </c>
      <c r="E467" s="1" t="s">
        <v>1077</v>
      </c>
      <c r="F467" s="1" t="s">
        <v>1114</v>
      </c>
      <c r="G467" s="7" t="str">
        <f>_xlfn.XLOOKUP(Order_Details[[#This Row],[Order ID]], List_of_orders[Order ID], List_of_orders[State])</f>
        <v>Maharashtra</v>
      </c>
      <c r="H467" s="10">
        <f>_xlfn.XLOOKUP(Order_Details[[#This Row],[Order ID]], List_of_orders[Order ID], List_of_orders[Order Date (Clean)])</f>
        <v>43332</v>
      </c>
      <c r="I467" s="7" t="str">
        <f>_xlfn.XLOOKUP(Order_Details[[#This Row],[Order ID]], List_of_orders[Order ID], List_of_orders[CustomerName])</f>
        <v>Mohan</v>
      </c>
      <c r="J467" s="7" t="str">
        <f>_xlfn.XLOOKUP(Order_Details[[#This Row],[Order ID]], List_of_orders[Order ID], List_of_orders[City])</f>
        <v>Mumbai</v>
      </c>
      <c r="K467" s="8" t="str">
        <f>TEXT(Order_Details[[#This Row],[Order Date]], "YY-MMM")</f>
        <v>18-Aug</v>
      </c>
      <c r="L467" s="11">
        <f>Order_Details[[#This Row],[Profit]]/Order_Details[[#This Row],[Amount]]</f>
        <v>-6.9984447900466568E-2</v>
      </c>
      <c r="M467" s="8">
        <f>YEAR(Order_Details[[#This Row],[Order Date]])</f>
        <v>2018</v>
      </c>
      <c r="N467" s="8">
        <f>ROUNDUP(MONTH(Order_Details[[#This Row],[Order Date]])/3, 0)</f>
        <v>3</v>
      </c>
    </row>
    <row r="468" spans="1:14">
      <c r="A468" s="1" t="s">
        <v>411</v>
      </c>
      <c r="B468" s="1">
        <v>204</v>
      </c>
      <c r="C468" s="1">
        <v>-276</v>
      </c>
      <c r="D468" s="1">
        <v>3</v>
      </c>
      <c r="E468" s="1" t="s">
        <v>1075</v>
      </c>
      <c r="F468" s="1" t="s">
        <v>1101</v>
      </c>
      <c r="G468" s="7" t="str">
        <f>_xlfn.XLOOKUP(Order_Details[[#This Row],[Order ID]], List_of_orders[Order ID], List_of_orders[State])</f>
        <v>Maharashtra</v>
      </c>
      <c r="H468" s="10">
        <f>_xlfn.XLOOKUP(Order_Details[[#This Row],[Order ID]], List_of_orders[Order ID], List_of_orders[Order Date (Clean)])</f>
        <v>43332</v>
      </c>
      <c r="I468" s="7" t="str">
        <f>_xlfn.XLOOKUP(Order_Details[[#This Row],[Order ID]], List_of_orders[Order ID], List_of_orders[CustomerName])</f>
        <v>Mohan</v>
      </c>
      <c r="J468" s="7" t="str">
        <f>_xlfn.XLOOKUP(Order_Details[[#This Row],[Order ID]], List_of_orders[Order ID], List_of_orders[City])</f>
        <v>Mumbai</v>
      </c>
      <c r="K468" s="8" t="str">
        <f>TEXT(Order_Details[[#This Row],[Order Date]], "YY-MMM")</f>
        <v>18-Aug</v>
      </c>
      <c r="L468" s="11">
        <f>Order_Details[[#This Row],[Profit]]/Order_Details[[#This Row],[Amount]]</f>
        <v>-1.3529411764705883</v>
      </c>
      <c r="M468" s="8">
        <f>YEAR(Order_Details[[#This Row],[Order Date]])</f>
        <v>2018</v>
      </c>
      <c r="N468" s="8">
        <f>ROUNDUP(MONTH(Order_Details[[#This Row],[Order Date]])/3, 0)</f>
        <v>3</v>
      </c>
    </row>
    <row r="469" spans="1:14">
      <c r="A469" s="1" t="s">
        <v>411</v>
      </c>
      <c r="B469" s="1">
        <v>729</v>
      </c>
      <c r="C469" s="1">
        <v>-492</v>
      </c>
      <c r="D469" s="1">
        <v>5</v>
      </c>
      <c r="E469" s="1" t="s">
        <v>1075</v>
      </c>
      <c r="F469" s="1" t="s">
        <v>1101</v>
      </c>
      <c r="G469" s="7" t="str">
        <f>_xlfn.XLOOKUP(Order_Details[[#This Row],[Order ID]], List_of_orders[Order ID], List_of_orders[State])</f>
        <v>Maharashtra</v>
      </c>
      <c r="H469" s="10">
        <f>_xlfn.XLOOKUP(Order_Details[[#This Row],[Order ID]], List_of_orders[Order ID], List_of_orders[Order Date (Clean)])</f>
        <v>43332</v>
      </c>
      <c r="I469" s="7" t="str">
        <f>_xlfn.XLOOKUP(Order_Details[[#This Row],[Order ID]], List_of_orders[Order ID], List_of_orders[CustomerName])</f>
        <v>Mohan</v>
      </c>
      <c r="J469" s="7" t="str">
        <f>_xlfn.XLOOKUP(Order_Details[[#This Row],[Order ID]], List_of_orders[Order ID], List_of_orders[City])</f>
        <v>Mumbai</v>
      </c>
      <c r="K469" s="8" t="str">
        <f>TEXT(Order_Details[[#This Row],[Order Date]], "YY-MMM")</f>
        <v>18-Aug</v>
      </c>
      <c r="L469" s="11">
        <f>Order_Details[[#This Row],[Profit]]/Order_Details[[#This Row],[Amount]]</f>
        <v>-0.67489711934156382</v>
      </c>
      <c r="M469" s="8">
        <f>YEAR(Order_Details[[#This Row],[Order Date]])</f>
        <v>2018</v>
      </c>
      <c r="N469" s="8">
        <f>ROUNDUP(MONTH(Order_Details[[#This Row],[Order Date]])/3, 0)</f>
        <v>3</v>
      </c>
    </row>
    <row r="470" spans="1:14">
      <c r="A470" s="1" t="s">
        <v>411</v>
      </c>
      <c r="B470" s="1">
        <v>29</v>
      </c>
      <c r="C470" s="1">
        <v>-24</v>
      </c>
      <c r="D470" s="1">
        <v>4</v>
      </c>
      <c r="E470" s="1" t="s">
        <v>1076</v>
      </c>
      <c r="F470" s="1" t="s">
        <v>1112</v>
      </c>
      <c r="G470" s="7" t="str">
        <f>_xlfn.XLOOKUP(Order_Details[[#This Row],[Order ID]], List_of_orders[Order ID], List_of_orders[State])</f>
        <v>Maharashtra</v>
      </c>
      <c r="H470" s="10">
        <f>_xlfn.XLOOKUP(Order_Details[[#This Row],[Order ID]], List_of_orders[Order ID], List_of_orders[Order Date (Clean)])</f>
        <v>43332</v>
      </c>
      <c r="I470" s="7" t="str">
        <f>_xlfn.XLOOKUP(Order_Details[[#This Row],[Order ID]], List_of_orders[Order ID], List_of_orders[CustomerName])</f>
        <v>Mohan</v>
      </c>
      <c r="J470" s="7" t="str">
        <f>_xlfn.XLOOKUP(Order_Details[[#This Row],[Order ID]], List_of_orders[Order ID], List_of_orders[City])</f>
        <v>Mumbai</v>
      </c>
      <c r="K470" s="8" t="str">
        <f>TEXT(Order_Details[[#This Row],[Order Date]], "YY-MMM")</f>
        <v>18-Aug</v>
      </c>
      <c r="L470" s="11">
        <f>Order_Details[[#This Row],[Profit]]/Order_Details[[#This Row],[Amount]]</f>
        <v>-0.82758620689655171</v>
      </c>
      <c r="M470" s="8">
        <f>YEAR(Order_Details[[#This Row],[Order Date]])</f>
        <v>2018</v>
      </c>
      <c r="N470" s="8">
        <f>ROUNDUP(MONTH(Order_Details[[#This Row],[Order Date]])/3, 0)</f>
        <v>3</v>
      </c>
    </row>
    <row r="471" spans="1:14">
      <c r="A471" s="1" t="s">
        <v>414</v>
      </c>
      <c r="B471" s="1">
        <v>17</v>
      </c>
      <c r="C471" s="1">
        <v>-13</v>
      </c>
      <c r="D471" s="1">
        <v>4</v>
      </c>
      <c r="E471" s="1" t="s">
        <v>1076</v>
      </c>
      <c r="F471" s="1" t="s">
        <v>1117</v>
      </c>
      <c r="G471" s="7" t="str">
        <f>_xlfn.XLOOKUP(Order_Details[[#This Row],[Order ID]], List_of_orders[Order ID], List_of_orders[State])</f>
        <v>Madhya Pradesh</v>
      </c>
      <c r="H471" s="10">
        <f>_xlfn.XLOOKUP(Order_Details[[#This Row],[Order ID]], List_of_orders[Order ID], List_of_orders[Order Date (Clean)])</f>
        <v>43333</v>
      </c>
      <c r="I471" s="7" t="str">
        <f>_xlfn.XLOOKUP(Order_Details[[#This Row],[Order ID]], List_of_orders[Order ID], List_of_orders[CustomerName])</f>
        <v>Mohit</v>
      </c>
      <c r="J471" s="7" t="str">
        <f>_xlfn.XLOOKUP(Order_Details[[#This Row],[Order ID]], List_of_orders[Order ID], List_of_orders[City])</f>
        <v>Indore</v>
      </c>
      <c r="K471" s="8" t="str">
        <f>TEXT(Order_Details[[#This Row],[Order Date]], "YY-MMM")</f>
        <v>18-Aug</v>
      </c>
      <c r="L471" s="11">
        <f>Order_Details[[#This Row],[Profit]]/Order_Details[[#This Row],[Amount]]</f>
        <v>-0.76470588235294112</v>
      </c>
      <c r="M471" s="8">
        <f>YEAR(Order_Details[[#This Row],[Order Date]])</f>
        <v>2018</v>
      </c>
      <c r="N471" s="8">
        <f>ROUNDUP(MONTH(Order_Details[[#This Row],[Order Date]])/3, 0)</f>
        <v>3</v>
      </c>
    </row>
    <row r="472" spans="1:14">
      <c r="A472" s="1" t="s">
        <v>414</v>
      </c>
      <c r="B472" s="1">
        <v>34</v>
      </c>
      <c r="C472" s="1">
        <v>-11</v>
      </c>
      <c r="D472" s="1">
        <v>5</v>
      </c>
      <c r="E472" s="1" t="s">
        <v>1076</v>
      </c>
      <c r="F472" s="1" t="s">
        <v>1110</v>
      </c>
      <c r="G472" s="7" t="str">
        <f>_xlfn.XLOOKUP(Order_Details[[#This Row],[Order ID]], List_of_orders[Order ID], List_of_orders[State])</f>
        <v>Madhya Pradesh</v>
      </c>
      <c r="H472" s="10">
        <f>_xlfn.XLOOKUP(Order_Details[[#This Row],[Order ID]], List_of_orders[Order ID], List_of_orders[Order Date (Clean)])</f>
        <v>43333</v>
      </c>
      <c r="I472" s="7" t="str">
        <f>_xlfn.XLOOKUP(Order_Details[[#This Row],[Order ID]], List_of_orders[Order ID], List_of_orders[CustomerName])</f>
        <v>Mohit</v>
      </c>
      <c r="J472" s="7" t="str">
        <f>_xlfn.XLOOKUP(Order_Details[[#This Row],[Order ID]], List_of_orders[Order ID], List_of_orders[City])</f>
        <v>Indore</v>
      </c>
      <c r="K472" s="8" t="str">
        <f>TEXT(Order_Details[[#This Row],[Order Date]], "YY-MMM")</f>
        <v>18-Aug</v>
      </c>
      <c r="L472" s="11">
        <f>Order_Details[[#This Row],[Profit]]/Order_Details[[#This Row],[Amount]]</f>
        <v>-0.3235294117647059</v>
      </c>
      <c r="M472" s="8">
        <f>YEAR(Order_Details[[#This Row],[Order Date]])</f>
        <v>2018</v>
      </c>
      <c r="N472" s="8">
        <f>ROUNDUP(MONTH(Order_Details[[#This Row],[Order Date]])/3, 0)</f>
        <v>3</v>
      </c>
    </row>
    <row r="473" spans="1:14">
      <c r="A473" s="1" t="s">
        <v>414</v>
      </c>
      <c r="B473" s="1">
        <v>98</v>
      </c>
      <c r="C473" s="1">
        <v>9</v>
      </c>
      <c r="D473" s="1">
        <v>2</v>
      </c>
      <c r="E473" s="1" t="s">
        <v>1075</v>
      </c>
      <c r="F473" s="1" t="s">
        <v>1116</v>
      </c>
      <c r="G473" s="7" t="str">
        <f>_xlfn.XLOOKUP(Order_Details[[#This Row],[Order ID]], List_of_orders[Order ID], List_of_orders[State])</f>
        <v>Madhya Pradesh</v>
      </c>
      <c r="H473" s="10">
        <f>_xlfn.XLOOKUP(Order_Details[[#This Row],[Order ID]], List_of_orders[Order ID], List_of_orders[Order Date (Clean)])</f>
        <v>43333</v>
      </c>
      <c r="I473" s="7" t="str">
        <f>_xlfn.XLOOKUP(Order_Details[[#This Row],[Order ID]], List_of_orders[Order ID], List_of_orders[CustomerName])</f>
        <v>Mohit</v>
      </c>
      <c r="J473" s="7" t="str">
        <f>_xlfn.XLOOKUP(Order_Details[[#This Row],[Order ID]], List_of_orders[Order ID], List_of_orders[City])</f>
        <v>Indore</v>
      </c>
      <c r="K473" s="8" t="str">
        <f>TEXT(Order_Details[[#This Row],[Order Date]], "YY-MMM")</f>
        <v>18-Aug</v>
      </c>
      <c r="L473" s="11">
        <f>Order_Details[[#This Row],[Profit]]/Order_Details[[#This Row],[Amount]]</f>
        <v>9.1836734693877556E-2</v>
      </c>
      <c r="M473" s="8">
        <f>YEAR(Order_Details[[#This Row],[Order Date]])</f>
        <v>2018</v>
      </c>
      <c r="N473" s="8">
        <f>ROUNDUP(MONTH(Order_Details[[#This Row],[Order Date]])/3, 0)</f>
        <v>3</v>
      </c>
    </row>
    <row r="474" spans="1:14">
      <c r="A474" s="1" t="s">
        <v>414</v>
      </c>
      <c r="B474" s="1">
        <v>3151</v>
      </c>
      <c r="C474" s="1">
        <v>-35</v>
      </c>
      <c r="D474" s="1">
        <v>7</v>
      </c>
      <c r="E474" s="1" t="s">
        <v>1076</v>
      </c>
      <c r="F474" s="1" t="s">
        <v>1107</v>
      </c>
      <c r="G474" s="7" t="str">
        <f>_xlfn.XLOOKUP(Order_Details[[#This Row],[Order ID]], List_of_orders[Order ID], List_of_orders[State])</f>
        <v>Madhya Pradesh</v>
      </c>
      <c r="H474" s="10">
        <f>_xlfn.XLOOKUP(Order_Details[[#This Row],[Order ID]], List_of_orders[Order ID], List_of_orders[Order Date (Clean)])</f>
        <v>43333</v>
      </c>
      <c r="I474" s="7" t="str">
        <f>_xlfn.XLOOKUP(Order_Details[[#This Row],[Order ID]], List_of_orders[Order ID], List_of_orders[CustomerName])</f>
        <v>Mohit</v>
      </c>
      <c r="J474" s="7" t="str">
        <f>_xlfn.XLOOKUP(Order_Details[[#This Row],[Order ID]], List_of_orders[Order ID], List_of_orders[City])</f>
        <v>Indore</v>
      </c>
      <c r="K474" s="8" t="str">
        <f>TEXT(Order_Details[[#This Row],[Order Date]], "YY-MMM")</f>
        <v>18-Aug</v>
      </c>
      <c r="L474" s="11">
        <f>Order_Details[[#This Row],[Profit]]/Order_Details[[#This Row],[Amount]]</f>
        <v>-1.1107584893684545E-2</v>
      </c>
      <c r="M474" s="8">
        <f>YEAR(Order_Details[[#This Row],[Order Date]])</f>
        <v>2018</v>
      </c>
      <c r="N474" s="8">
        <f>ROUNDUP(MONTH(Order_Details[[#This Row],[Order Date]])/3, 0)</f>
        <v>3</v>
      </c>
    </row>
    <row r="475" spans="1:14">
      <c r="A475" s="1" t="s">
        <v>414</v>
      </c>
      <c r="B475" s="1">
        <v>53</v>
      </c>
      <c r="C475" s="1">
        <v>15</v>
      </c>
      <c r="D475" s="1">
        <v>2</v>
      </c>
      <c r="E475" s="1" t="s">
        <v>1076</v>
      </c>
      <c r="F475" s="1" t="s">
        <v>1102</v>
      </c>
      <c r="G475" s="7" t="str">
        <f>_xlfn.XLOOKUP(Order_Details[[#This Row],[Order ID]], List_of_orders[Order ID], List_of_orders[State])</f>
        <v>Madhya Pradesh</v>
      </c>
      <c r="H475" s="10">
        <f>_xlfn.XLOOKUP(Order_Details[[#This Row],[Order ID]], List_of_orders[Order ID], List_of_orders[Order Date (Clean)])</f>
        <v>43333</v>
      </c>
      <c r="I475" s="7" t="str">
        <f>_xlfn.XLOOKUP(Order_Details[[#This Row],[Order ID]], List_of_orders[Order ID], List_of_orders[CustomerName])</f>
        <v>Mohit</v>
      </c>
      <c r="J475" s="7" t="str">
        <f>_xlfn.XLOOKUP(Order_Details[[#This Row],[Order ID]], List_of_orders[Order ID], List_of_orders[City])</f>
        <v>Indore</v>
      </c>
      <c r="K475" s="8" t="str">
        <f>TEXT(Order_Details[[#This Row],[Order Date]], "YY-MMM")</f>
        <v>18-Aug</v>
      </c>
      <c r="L475" s="11">
        <f>Order_Details[[#This Row],[Profit]]/Order_Details[[#This Row],[Amount]]</f>
        <v>0.28301886792452829</v>
      </c>
      <c r="M475" s="8">
        <f>YEAR(Order_Details[[#This Row],[Order Date]])</f>
        <v>2018</v>
      </c>
      <c r="N475" s="8">
        <f>ROUNDUP(MONTH(Order_Details[[#This Row],[Order Date]])/3, 0)</f>
        <v>3</v>
      </c>
    </row>
    <row r="476" spans="1:14">
      <c r="A476" s="1" t="s">
        <v>414</v>
      </c>
      <c r="B476" s="1">
        <v>165</v>
      </c>
      <c r="C476" s="1">
        <v>30</v>
      </c>
      <c r="D476" s="1">
        <v>3</v>
      </c>
      <c r="E476" s="1" t="s">
        <v>1076</v>
      </c>
      <c r="F476" s="1" t="s">
        <v>1102</v>
      </c>
      <c r="G476" s="7" t="str">
        <f>_xlfn.XLOOKUP(Order_Details[[#This Row],[Order ID]], List_of_orders[Order ID], List_of_orders[State])</f>
        <v>Madhya Pradesh</v>
      </c>
      <c r="H476" s="10">
        <f>_xlfn.XLOOKUP(Order_Details[[#This Row],[Order ID]], List_of_orders[Order ID], List_of_orders[Order Date (Clean)])</f>
        <v>43333</v>
      </c>
      <c r="I476" s="7" t="str">
        <f>_xlfn.XLOOKUP(Order_Details[[#This Row],[Order ID]], List_of_orders[Order ID], List_of_orders[CustomerName])</f>
        <v>Mohit</v>
      </c>
      <c r="J476" s="7" t="str">
        <f>_xlfn.XLOOKUP(Order_Details[[#This Row],[Order ID]], List_of_orders[Order ID], List_of_orders[City])</f>
        <v>Indore</v>
      </c>
      <c r="K476" s="8" t="str">
        <f>TEXT(Order_Details[[#This Row],[Order Date]], "YY-MMM")</f>
        <v>18-Aug</v>
      </c>
      <c r="L476" s="11">
        <f>Order_Details[[#This Row],[Profit]]/Order_Details[[#This Row],[Amount]]</f>
        <v>0.18181818181818182</v>
      </c>
      <c r="M476" s="8">
        <f>YEAR(Order_Details[[#This Row],[Order Date]])</f>
        <v>2018</v>
      </c>
      <c r="N476" s="8">
        <f>ROUNDUP(MONTH(Order_Details[[#This Row],[Order Date]])/3, 0)</f>
        <v>3</v>
      </c>
    </row>
    <row r="477" spans="1:14">
      <c r="A477" s="1" t="s">
        <v>414</v>
      </c>
      <c r="B477" s="1">
        <v>211</v>
      </c>
      <c r="C477" s="1">
        <v>19</v>
      </c>
      <c r="D477" s="1">
        <v>8</v>
      </c>
      <c r="E477" s="1" t="s">
        <v>1076</v>
      </c>
      <c r="F477" s="1" t="s">
        <v>1102</v>
      </c>
      <c r="G477" s="7" t="str">
        <f>_xlfn.XLOOKUP(Order_Details[[#This Row],[Order ID]], List_of_orders[Order ID], List_of_orders[State])</f>
        <v>Madhya Pradesh</v>
      </c>
      <c r="H477" s="10">
        <f>_xlfn.XLOOKUP(Order_Details[[#This Row],[Order ID]], List_of_orders[Order ID], List_of_orders[Order Date (Clean)])</f>
        <v>43333</v>
      </c>
      <c r="I477" s="7" t="str">
        <f>_xlfn.XLOOKUP(Order_Details[[#This Row],[Order ID]], List_of_orders[Order ID], List_of_orders[CustomerName])</f>
        <v>Mohit</v>
      </c>
      <c r="J477" s="7" t="str">
        <f>_xlfn.XLOOKUP(Order_Details[[#This Row],[Order ID]], List_of_orders[Order ID], List_of_orders[City])</f>
        <v>Indore</v>
      </c>
      <c r="K477" s="8" t="str">
        <f>TEXT(Order_Details[[#This Row],[Order Date]], "YY-MMM")</f>
        <v>18-Aug</v>
      </c>
      <c r="L477" s="11">
        <f>Order_Details[[#This Row],[Profit]]/Order_Details[[#This Row],[Amount]]</f>
        <v>9.004739336492891E-2</v>
      </c>
      <c r="M477" s="8">
        <f>YEAR(Order_Details[[#This Row],[Order Date]])</f>
        <v>2018</v>
      </c>
      <c r="N477" s="8">
        <f>ROUNDUP(MONTH(Order_Details[[#This Row],[Order Date]])/3, 0)</f>
        <v>3</v>
      </c>
    </row>
    <row r="478" spans="1:14">
      <c r="A478" s="1" t="s">
        <v>414</v>
      </c>
      <c r="B478" s="1">
        <v>106</v>
      </c>
      <c r="C478" s="1">
        <v>15</v>
      </c>
      <c r="D478" s="1">
        <v>7</v>
      </c>
      <c r="E478" s="1" t="s">
        <v>1076</v>
      </c>
      <c r="F478" s="1" t="s">
        <v>1103</v>
      </c>
      <c r="G478" s="7" t="str">
        <f>_xlfn.XLOOKUP(Order_Details[[#This Row],[Order ID]], List_of_orders[Order ID], List_of_orders[State])</f>
        <v>Madhya Pradesh</v>
      </c>
      <c r="H478" s="10">
        <f>_xlfn.XLOOKUP(Order_Details[[#This Row],[Order ID]], List_of_orders[Order ID], List_of_orders[Order Date (Clean)])</f>
        <v>43333</v>
      </c>
      <c r="I478" s="7" t="str">
        <f>_xlfn.XLOOKUP(Order_Details[[#This Row],[Order ID]], List_of_orders[Order ID], List_of_orders[CustomerName])</f>
        <v>Mohit</v>
      </c>
      <c r="J478" s="7" t="str">
        <f>_xlfn.XLOOKUP(Order_Details[[#This Row],[Order ID]], List_of_orders[Order ID], List_of_orders[City])</f>
        <v>Indore</v>
      </c>
      <c r="K478" s="8" t="str">
        <f>TEXT(Order_Details[[#This Row],[Order Date]], "YY-MMM")</f>
        <v>18-Aug</v>
      </c>
      <c r="L478" s="11">
        <f>Order_Details[[#This Row],[Profit]]/Order_Details[[#This Row],[Amount]]</f>
        <v>0.14150943396226415</v>
      </c>
      <c r="M478" s="8">
        <f>YEAR(Order_Details[[#This Row],[Order Date]])</f>
        <v>2018</v>
      </c>
      <c r="N478" s="8">
        <f>ROUNDUP(MONTH(Order_Details[[#This Row],[Order Date]])/3, 0)</f>
        <v>3</v>
      </c>
    </row>
    <row r="479" spans="1:14">
      <c r="A479" s="1" t="s">
        <v>414</v>
      </c>
      <c r="B479" s="1">
        <v>14</v>
      </c>
      <c r="C479" s="1">
        <v>5</v>
      </c>
      <c r="D479" s="1">
        <v>1</v>
      </c>
      <c r="E479" s="1" t="s">
        <v>1076</v>
      </c>
      <c r="F479" s="1" t="s">
        <v>1103</v>
      </c>
      <c r="G479" s="7" t="str">
        <f>_xlfn.XLOOKUP(Order_Details[[#This Row],[Order ID]], List_of_orders[Order ID], List_of_orders[State])</f>
        <v>Madhya Pradesh</v>
      </c>
      <c r="H479" s="10">
        <f>_xlfn.XLOOKUP(Order_Details[[#This Row],[Order ID]], List_of_orders[Order ID], List_of_orders[Order Date (Clean)])</f>
        <v>43333</v>
      </c>
      <c r="I479" s="7" t="str">
        <f>_xlfn.XLOOKUP(Order_Details[[#This Row],[Order ID]], List_of_orders[Order ID], List_of_orders[CustomerName])</f>
        <v>Mohit</v>
      </c>
      <c r="J479" s="7" t="str">
        <f>_xlfn.XLOOKUP(Order_Details[[#This Row],[Order ID]], List_of_orders[Order ID], List_of_orders[City])</f>
        <v>Indore</v>
      </c>
      <c r="K479" s="8" t="str">
        <f>TEXT(Order_Details[[#This Row],[Order Date]], "YY-MMM")</f>
        <v>18-Aug</v>
      </c>
      <c r="L479" s="11">
        <f>Order_Details[[#This Row],[Profit]]/Order_Details[[#This Row],[Amount]]</f>
        <v>0.35714285714285715</v>
      </c>
      <c r="M479" s="8">
        <f>YEAR(Order_Details[[#This Row],[Order Date]])</f>
        <v>2018</v>
      </c>
      <c r="N479" s="8">
        <f>ROUNDUP(MONTH(Order_Details[[#This Row],[Order Date]])/3, 0)</f>
        <v>3</v>
      </c>
    </row>
    <row r="480" spans="1:14">
      <c r="A480" s="1" t="s">
        <v>414</v>
      </c>
      <c r="B480" s="1">
        <v>17</v>
      </c>
      <c r="C480" s="1">
        <v>7</v>
      </c>
      <c r="D480" s="1">
        <v>3</v>
      </c>
      <c r="E480" s="1" t="s">
        <v>1076</v>
      </c>
      <c r="F480" s="1" t="s">
        <v>1103</v>
      </c>
      <c r="G480" s="7" t="str">
        <f>_xlfn.XLOOKUP(Order_Details[[#This Row],[Order ID]], List_of_orders[Order ID], List_of_orders[State])</f>
        <v>Madhya Pradesh</v>
      </c>
      <c r="H480" s="10">
        <f>_xlfn.XLOOKUP(Order_Details[[#This Row],[Order ID]], List_of_orders[Order ID], List_of_orders[Order Date (Clean)])</f>
        <v>43333</v>
      </c>
      <c r="I480" s="7" t="str">
        <f>_xlfn.XLOOKUP(Order_Details[[#This Row],[Order ID]], List_of_orders[Order ID], List_of_orders[CustomerName])</f>
        <v>Mohit</v>
      </c>
      <c r="J480" s="7" t="str">
        <f>_xlfn.XLOOKUP(Order_Details[[#This Row],[Order ID]], List_of_orders[Order ID], List_of_orders[City])</f>
        <v>Indore</v>
      </c>
      <c r="K480" s="8" t="str">
        <f>TEXT(Order_Details[[#This Row],[Order Date]], "YY-MMM")</f>
        <v>18-Aug</v>
      </c>
      <c r="L480" s="11">
        <f>Order_Details[[#This Row],[Profit]]/Order_Details[[#This Row],[Amount]]</f>
        <v>0.41176470588235292</v>
      </c>
      <c r="M480" s="8">
        <f>YEAR(Order_Details[[#This Row],[Order Date]])</f>
        <v>2018</v>
      </c>
      <c r="N480" s="8">
        <f>ROUNDUP(MONTH(Order_Details[[#This Row],[Order Date]])/3, 0)</f>
        <v>3</v>
      </c>
    </row>
    <row r="481" spans="1:14">
      <c r="A481" s="1" t="s">
        <v>414</v>
      </c>
      <c r="B481" s="1">
        <v>46</v>
      </c>
      <c r="C481" s="1">
        <v>14</v>
      </c>
      <c r="D481" s="1">
        <v>5</v>
      </c>
      <c r="E481" s="1" t="s">
        <v>1076</v>
      </c>
      <c r="F481" s="1" t="s">
        <v>1117</v>
      </c>
      <c r="G481" s="7" t="str">
        <f>_xlfn.XLOOKUP(Order_Details[[#This Row],[Order ID]], List_of_orders[Order ID], List_of_orders[State])</f>
        <v>Madhya Pradesh</v>
      </c>
      <c r="H481" s="10">
        <f>_xlfn.XLOOKUP(Order_Details[[#This Row],[Order ID]], List_of_orders[Order ID], List_of_orders[Order Date (Clean)])</f>
        <v>43333</v>
      </c>
      <c r="I481" s="7" t="str">
        <f>_xlfn.XLOOKUP(Order_Details[[#This Row],[Order ID]], List_of_orders[Order ID], List_of_orders[CustomerName])</f>
        <v>Mohit</v>
      </c>
      <c r="J481" s="7" t="str">
        <f>_xlfn.XLOOKUP(Order_Details[[#This Row],[Order ID]], List_of_orders[Order ID], List_of_orders[City])</f>
        <v>Indore</v>
      </c>
      <c r="K481" s="8" t="str">
        <f>TEXT(Order_Details[[#This Row],[Order Date]], "YY-MMM")</f>
        <v>18-Aug</v>
      </c>
      <c r="L481" s="11">
        <f>Order_Details[[#This Row],[Profit]]/Order_Details[[#This Row],[Amount]]</f>
        <v>0.30434782608695654</v>
      </c>
      <c r="M481" s="8">
        <f>YEAR(Order_Details[[#This Row],[Order Date]])</f>
        <v>2018</v>
      </c>
      <c r="N481" s="8">
        <f>ROUNDUP(MONTH(Order_Details[[#This Row],[Order Date]])/3, 0)</f>
        <v>3</v>
      </c>
    </row>
    <row r="482" spans="1:14">
      <c r="A482" s="1" t="s">
        <v>417</v>
      </c>
      <c r="B482" s="1">
        <v>8</v>
      </c>
      <c r="C482" s="1">
        <v>-2</v>
      </c>
      <c r="D482" s="1">
        <v>1</v>
      </c>
      <c r="E482" s="1" t="s">
        <v>1076</v>
      </c>
      <c r="F482" s="1" t="s">
        <v>1102</v>
      </c>
      <c r="G482" s="7" t="str">
        <f>_xlfn.XLOOKUP(Order_Details[[#This Row],[Order ID]], List_of_orders[Order ID], List_of_orders[State])</f>
        <v>Himachal Pradesh</v>
      </c>
      <c r="H482" s="10">
        <f>_xlfn.XLOOKUP(Order_Details[[#This Row],[Order ID]], List_of_orders[Order ID], List_of_orders[Order Date (Clean)])</f>
        <v>43334</v>
      </c>
      <c r="I482" s="7" t="str">
        <f>_xlfn.XLOOKUP(Order_Details[[#This Row],[Order ID]], List_of_orders[Order ID], List_of_orders[CustomerName])</f>
        <v>Shubham</v>
      </c>
      <c r="J482" s="7" t="str">
        <f>_xlfn.XLOOKUP(Order_Details[[#This Row],[Order ID]], List_of_orders[Order ID], List_of_orders[City])</f>
        <v>Simla</v>
      </c>
      <c r="K482" s="8" t="str">
        <f>TEXT(Order_Details[[#This Row],[Order Date]], "YY-MMM")</f>
        <v>18-Aug</v>
      </c>
      <c r="L482" s="11">
        <f>Order_Details[[#This Row],[Profit]]/Order_Details[[#This Row],[Amount]]</f>
        <v>-0.25</v>
      </c>
      <c r="M482" s="8">
        <f>YEAR(Order_Details[[#This Row],[Order Date]])</f>
        <v>2018</v>
      </c>
      <c r="N482" s="8">
        <f>ROUNDUP(MONTH(Order_Details[[#This Row],[Order Date]])/3, 0)</f>
        <v>3</v>
      </c>
    </row>
    <row r="483" spans="1:14">
      <c r="A483" s="1" t="s">
        <v>419</v>
      </c>
      <c r="B483" s="1">
        <v>20</v>
      </c>
      <c r="C483" s="1">
        <v>-9</v>
      </c>
      <c r="D483" s="1">
        <v>6</v>
      </c>
      <c r="E483" s="1" t="s">
        <v>1076</v>
      </c>
      <c r="F483" s="1" t="s">
        <v>1103</v>
      </c>
      <c r="G483" s="7" t="str">
        <f>_xlfn.XLOOKUP(Order_Details[[#This Row],[Order ID]], List_of_orders[Order ID], List_of_orders[State])</f>
        <v>Sikkim</v>
      </c>
      <c r="H483" s="10">
        <f>_xlfn.XLOOKUP(Order_Details[[#This Row],[Order ID]], List_of_orders[Order ID], List_of_orders[Order Date (Clean)])</f>
        <v>43335</v>
      </c>
      <c r="I483" s="7" t="str">
        <f>_xlfn.XLOOKUP(Order_Details[[#This Row],[Order ID]], List_of_orders[Order ID], List_of_orders[CustomerName])</f>
        <v>Soumya</v>
      </c>
      <c r="J483" s="7" t="str">
        <f>_xlfn.XLOOKUP(Order_Details[[#This Row],[Order ID]], List_of_orders[Order ID], List_of_orders[City])</f>
        <v>Gangtok</v>
      </c>
      <c r="K483" s="8" t="str">
        <f>TEXT(Order_Details[[#This Row],[Order Date]], "YY-MMM")</f>
        <v>18-Aug</v>
      </c>
      <c r="L483" s="11">
        <f>Order_Details[[#This Row],[Profit]]/Order_Details[[#This Row],[Amount]]</f>
        <v>-0.45</v>
      </c>
      <c r="M483" s="8">
        <f>YEAR(Order_Details[[#This Row],[Order Date]])</f>
        <v>2018</v>
      </c>
      <c r="N483" s="8">
        <f>ROUNDUP(MONTH(Order_Details[[#This Row],[Order Date]])/3, 0)</f>
        <v>3</v>
      </c>
    </row>
    <row r="484" spans="1:14">
      <c r="A484" s="1" t="s">
        <v>422</v>
      </c>
      <c r="B484" s="1">
        <v>322</v>
      </c>
      <c r="C484" s="1">
        <v>-193</v>
      </c>
      <c r="D484" s="1">
        <v>5</v>
      </c>
      <c r="E484" s="1" t="s">
        <v>1077</v>
      </c>
      <c r="F484" s="1" t="s">
        <v>1114</v>
      </c>
      <c r="G484" s="7" t="str">
        <f>_xlfn.XLOOKUP(Order_Details[[#This Row],[Order ID]], List_of_orders[Order ID], List_of_orders[State])</f>
        <v>Goa</v>
      </c>
      <c r="H484" s="10">
        <f>_xlfn.XLOOKUP(Order_Details[[#This Row],[Order ID]], List_of_orders[Order ID], List_of_orders[Order Date (Clean)])</f>
        <v>43336</v>
      </c>
      <c r="I484" s="7" t="str">
        <f>_xlfn.XLOOKUP(Order_Details[[#This Row],[Order ID]], List_of_orders[Order ID], List_of_orders[CustomerName])</f>
        <v>Pooja</v>
      </c>
      <c r="J484" s="7" t="str">
        <f>_xlfn.XLOOKUP(Order_Details[[#This Row],[Order ID]], List_of_orders[Order ID], List_of_orders[City])</f>
        <v>Goa</v>
      </c>
      <c r="K484" s="8" t="str">
        <f>TEXT(Order_Details[[#This Row],[Order Date]], "YY-MMM")</f>
        <v>18-Aug</v>
      </c>
      <c r="L484" s="11">
        <f>Order_Details[[#This Row],[Profit]]/Order_Details[[#This Row],[Amount]]</f>
        <v>-0.59937888198757761</v>
      </c>
      <c r="M484" s="8">
        <f>YEAR(Order_Details[[#This Row],[Order Date]])</f>
        <v>2018</v>
      </c>
      <c r="N484" s="8">
        <f>ROUNDUP(MONTH(Order_Details[[#This Row],[Order Date]])/3, 0)</f>
        <v>3</v>
      </c>
    </row>
    <row r="485" spans="1:14">
      <c r="A485" s="1" t="s">
        <v>424</v>
      </c>
      <c r="B485" s="1">
        <v>2188</v>
      </c>
      <c r="C485" s="1">
        <v>1050</v>
      </c>
      <c r="D485" s="1">
        <v>5</v>
      </c>
      <c r="E485" s="1" t="s">
        <v>1075</v>
      </c>
      <c r="F485" s="1" t="s">
        <v>1101</v>
      </c>
      <c r="G485" s="7" t="str">
        <f>_xlfn.XLOOKUP(Order_Details[[#This Row],[Order ID]], List_of_orders[Order ID], List_of_orders[State])</f>
        <v>Maharashtra</v>
      </c>
      <c r="H485" s="10">
        <f>_xlfn.XLOOKUP(Order_Details[[#This Row],[Order ID]], List_of_orders[Order ID], List_of_orders[Order Date (Clean)])</f>
        <v>43337</v>
      </c>
      <c r="I485" s="7" t="str">
        <f>_xlfn.XLOOKUP(Order_Details[[#This Row],[Order ID]], List_of_orders[Order ID], List_of_orders[CustomerName])</f>
        <v>Surabhi</v>
      </c>
      <c r="J485" s="7" t="str">
        <f>_xlfn.XLOOKUP(Order_Details[[#This Row],[Order ID]], List_of_orders[Order ID], List_of_orders[City])</f>
        <v>Mumbai</v>
      </c>
      <c r="K485" s="8" t="str">
        <f>TEXT(Order_Details[[#This Row],[Order Date]], "YY-MMM")</f>
        <v>18-Aug</v>
      </c>
      <c r="L485" s="11">
        <f>Order_Details[[#This Row],[Profit]]/Order_Details[[#This Row],[Amount]]</f>
        <v>0.47989031078610606</v>
      </c>
      <c r="M485" s="8">
        <f>YEAR(Order_Details[[#This Row],[Order Date]])</f>
        <v>2018</v>
      </c>
      <c r="N485" s="8">
        <f>ROUNDUP(MONTH(Order_Details[[#This Row],[Order Date]])/3, 0)</f>
        <v>3</v>
      </c>
    </row>
    <row r="486" spans="1:14">
      <c r="A486" s="1" t="s">
        <v>424</v>
      </c>
      <c r="B486" s="1">
        <v>328</v>
      </c>
      <c r="C486" s="1">
        <v>-15</v>
      </c>
      <c r="D486" s="1">
        <v>3</v>
      </c>
      <c r="E486" s="1" t="s">
        <v>1077</v>
      </c>
      <c r="F486" s="1" t="s">
        <v>1104</v>
      </c>
      <c r="G486" s="7" t="str">
        <f>_xlfn.XLOOKUP(Order_Details[[#This Row],[Order ID]], List_of_orders[Order ID], List_of_orders[State])</f>
        <v>Maharashtra</v>
      </c>
      <c r="H486" s="10">
        <f>_xlfn.XLOOKUP(Order_Details[[#This Row],[Order ID]], List_of_orders[Order ID], List_of_orders[Order Date (Clean)])</f>
        <v>43337</v>
      </c>
      <c r="I486" s="7" t="str">
        <f>_xlfn.XLOOKUP(Order_Details[[#This Row],[Order ID]], List_of_orders[Order ID], List_of_orders[CustomerName])</f>
        <v>Surabhi</v>
      </c>
      <c r="J486" s="7" t="str">
        <f>_xlfn.XLOOKUP(Order_Details[[#This Row],[Order ID]], List_of_orders[Order ID], List_of_orders[City])</f>
        <v>Mumbai</v>
      </c>
      <c r="K486" s="8" t="str">
        <f>TEXT(Order_Details[[#This Row],[Order Date]], "YY-MMM")</f>
        <v>18-Aug</v>
      </c>
      <c r="L486" s="11">
        <f>Order_Details[[#This Row],[Profit]]/Order_Details[[#This Row],[Amount]]</f>
        <v>-4.573170731707317E-2</v>
      </c>
      <c r="M486" s="8">
        <f>YEAR(Order_Details[[#This Row],[Order Date]])</f>
        <v>2018</v>
      </c>
      <c r="N486" s="8">
        <f>ROUNDUP(MONTH(Order_Details[[#This Row],[Order Date]])/3, 0)</f>
        <v>3</v>
      </c>
    </row>
    <row r="487" spans="1:14">
      <c r="A487" s="1" t="s">
        <v>424</v>
      </c>
      <c r="B487" s="1">
        <v>418</v>
      </c>
      <c r="C487" s="1">
        <v>70</v>
      </c>
      <c r="D487" s="1">
        <v>7</v>
      </c>
      <c r="E487" s="1" t="s">
        <v>1077</v>
      </c>
      <c r="F487" s="1" t="s">
        <v>1105</v>
      </c>
      <c r="G487" s="7" t="str">
        <f>_xlfn.XLOOKUP(Order_Details[[#This Row],[Order ID]], List_of_orders[Order ID], List_of_orders[State])</f>
        <v>Maharashtra</v>
      </c>
      <c r="H487" s="10">
        <f>_xlfn.XLOOKUP(Order_Details[[#This Row],[Order ID]], List_of_orders[Order ID], List_of_orders[Order Date (Clean)])</f>
        <v>43337</v>
      </c>
      <c r="I487" s="7" t="str">
        <f>_xlfn.XLOOKUP(Order_Details[[#This Row],[Order ID]], List_of_orders[Order ID], List_of_orders[CustomerName])</f>
        <v>Surabhi</v>
      </c>
      <c r="J487" s="7" t="str">
        <f>_xlfn.XLOOKUP(Order_Details[[#This Row],[Order ID]], List_of_orders[Order ID], List_of_orders[City])</f>
        <v>Mumbai</v>
      </c>
      <c r="K487" s="8" t="str">
        <f>TEXT(Order_Details[[#This Row],[Order Date]], "YY-MMM")</f>
        <v>18-Aug</v>
      </c>
      <c r="L487" s="11">
        <f>Order_Details[[#This Row],[Profit]]/Order_Details[[#This Row],[Amount]]</f>
        <v>0.1674641148325359</v>
      </c>
      <c r="M487" s="8">
        <f>YEAR(Order_Details[[#This Row],[Order Date]])</f>
        <v>2018</v>
      </c>
      <c r="N487" s="8">
        <f>ROUNDUP(MONTH(Order_Details[[#This Row],[Order Date]])/3, 0)</f>
        <v>3</v>
      </c>
    </row>
    <row r="488" spans="1:14">
      <c r="A488" s="1" t="s">
        <v>424</v>
      </c>
      <c r="B488" s="1">
        <v>40</v>
      </c>
      <c r="C488" s="1">
        <v>0</v>
      </c>
      <c r="D488" s="1">
        <v>3</v>
      </c>
      <c r="E488" s="1" t="s">
        <v>1076</v>
      </c>
      <c r="F488" s="1" t="s">
        <v>1106</v>
      </c>
      <c r="G488" s="7" t="str">
        <f>_xlfn.XLOOKUP(Order_Details[[#This Row],[Order ID]], List_of_orders[Order ID], List_of_orders[State])</f>
        <v>Maharashtra</v>
      </c>
      <c r="H488" s="10">
        <f>_xlfn.XLOOKUP(Order_Details[[#This Row],[Order ID]], List_of_orders[Order ID], List_of_orders[Order Date (Clean)])</f>
        <v>43337</v>
      </c>
      <c r="I488" s="7" t="str">
        <f>_xlfn.XLOOKUP(Order_Details[[#This Row],[Order ID]], List_of_orders[Order ID], List_of_orders[CustomerName])</f>
        <v>Surabhi</v>
      </c>
      <c r="J488" s="7" t="str">
        <f>_xlfn.XLOOKUP(Order_Details[[#This Row],[Order ID]], List_of_orders[Order ID], List_of_orders[City])</f>
        <v>Mumbai</v>
      </c>
      <c r="K488" s="8" t="str">
        <f>TEXT(Order_Details[[#This Row],[Order Date]], "YY-MMM")</f>
        <v>18-Aug</v>
      </c>
      <c r="L488" s="11">
        <f>Order_Details[[#This Row],[Profit]]/Order_Details[[#This Row],[Amount]]</f>
        <v>0</v>
      </c>
      <c r="M488" s="8">
        <f>YEAR(Order_Details[[#This Row],[Order Date]])</f>
        <v>2018</v>
      </c>
      <c r="N488" s="8">
        <f>ROUNDUP(MONTH(Order_Details[[#This Row],[Order Date]])/3, 0)</f>
        <v>3</v>
      </c>
    </row>
    <row r="489" spans="1:14">
      <c r="A489" s="1" t="s">
        <v>424</v>
      </c>
      <c r="B489" s="1">
        <v>102</v>
      </c>
      <c r="C489" s="1">
        <v>-90</v>
      </c>
      <c r="D489" s="1">
        <v>1</v>
      </c>
      <c r="E489" s="1" t="s">
        <v>1076</v>
      </c>
      <c r="F489" s="1" t="s">
        <v>1106</v>
      </c>
      <c r="G489" s="7" t="str">
        <f>_xlfn.XLOOKUP(Order_Details[[#This Row],[Order ID]], List_of_orders[Order ID], List_of_orders[State])</f>
        <v>Maharashtra</v>
      </c>
      <c r="H489" s="10">
        <f>_xlfn.XLOOKUP(Order_Details[[#This Row],[Order ID]], List_of_orders[Order ID], List_of_orders[Order Date (Clean)])</f>
        <v>43337</v>
      </c>
      <c r="I489" s="7" t="str">
        <f>_xlfn.XLOOKUP(Order_Details[[#This Row],[Order ID]], List_of_orders[Order ID], List_of_orders[CustomerName])</f>
        <v>Surabhi</v>
      </c>
      <c r="J489" s="7" t="str">
        <f>_xlfn.XLOOKUP(Order_Details[[#This Row],[Order ID]], List_of_orders[Order ID], List_of_orders[City])</f>
        <v>Mumbai</v>
      </c>
      <c r="K489" s="8" t="str">
        <f>TEXT(Order_Details[[#This Row],[Order Date]], "YY-MMM")</f>
        <v>18-Aug</v>
      </c>
      <c r="L489" s="11">
        <f>Order_Details[[#This Row],[Profit]]/Order_Details[[#This Row],[Amount]]</f>
        <v>-0.88235294117647056</v>
      </c>
      <c r="M489" s="8">
        <f>YEAR(Order_Details[[#This Row],[Order Date]])</f>
        <v>2018</v>
      </c>
      <c r="N489" s="8">
        <f>ROUNDUP(MONTH(Order_Details[[#This Row],[Order Date]])/3, 0)</f>
        <v>3</v>
      </c>
    </row>
    <row r="490" spans="1:14">
      <c r="A490" s="1" t="s">
        <v>424</v>
      </c>
      <c r="B490" s="1">
        <v>263</v>
      </c>
      <c r="C490" s="1">
        <v>-31</v>
      </c>
      <c r="D490" s="1">
        <v>9</v>
      </c>
      <c r="E490" s="1" t="s">
        <v>1077</v>
      </c>
      <c r="F490" s="1" t="s">
        <v>1104</v>
      </c>
      <c r="G490" s="7" t="str">
        <f>_xlfn.XLOOKUP(Order_Details[[#This Row],[Order ID]], List_of_orders[Order ID], List_of_orders[State])</f>
        <v>Maharashtra</v>
      </c>
      <c r="H490" s="10">
        <f>_xlfn.XLOOKUP(Order_Details[[#This Row],[Order ID]], List_of_orders[Order ID], List_of_orders[Order Date (Clean)])</f>
        <v>43337</v>
      </c>
      <c r="I490" s="7" t="str">
        <f>_xlfn.XLOOKUP(Order_Details[[#This Row],[Order ID]], List_of_orders[Order ID], List_of_orders[CustomerName])</f>
        <v>Surabhi</v>
      </c>
      <c r="J490" s="7" t="str">
        <f>_xlfn.XLOOKUP(Order_Details[[#This Row],[Order ID]], List_of_orders[Order ID], List_of_orders[City])</f>
        <v>Mumbai</v>
      </c>
      <c r="K490" s="8" t="str">
        <f>TEXT(Order_Details[[#This Row],[Order Date]], "YY-MMM")</f>
        <v>18-Aug</v>
      </c>
      <c r="L490" s="11">
        <f>Order_Details[[#This Row],[Profit]]/Order_Details[[#This Row],[Amount]]</f>
        <v>-0.11787072243346007</v>
      </c>
      <c r="M490" s="8">
        <f>YEAR(Order_Details[[#This Row],[Order Date]])</f>
        <v>2018</v>
      </c>
      <c r="N490" s="8">
        <f>ROUNDUP(MONTH(Order_Details[[#This Row],[Order Date]])/3, 0)</f>
        <v>3</v>
      </c>
    </row>
    <row r="491" spans="1:14">
      <c r="A491" s="1" t="s">
        <v>426</v>
      </c>
      <c r="B491" s="1">
        <v>1316</v>
      </c>
      <c r="C491" s="1">
        <v>-527</v>
      </c>
      <c r="D491" s="1">
        <v>7</v>
      </c>
      <c r="E491" s="1" t="s">
        <v>1077</v>
      </c>
      <c r="F491" s="1" t="s">
        <v>1104</v>
      </c>
      <c r="G491" s="7" t="str">
        <f>_xlfn.XLOOKUP(Order_Details[[#This Row],[Order ID]], List_of_orders[Order ID], List_of_orders[State])</f>
        <v>Madhya Pradesh</v>
      </c>
      <c r="H491" s="10">
        <f>_xlfn.XLOOKUP(Order_Details[[#This Row],[Order ID]], List_of_orders[Order ID], List_of_orders[Order Date (Clean)])</f>
        <v>43338</v>
      </c>
      <c r="I491" s="7" t="str">
        <f>_xlfn.XLOOKUP(Order_Details[[#This Row],[Order ID]], List_of_orders[Order ID], List_of_orders[CustomerName])</f>
        <v>Anudeep</v>
      </c>
      <c r="J491" s="7" t="str">
        <f>_xlfn.XLOOKUP(Order_Details[[#This Row],[Order ID]], List_of_orders[Order ID], List_of_orders[City])</f>
        <v>Indore</v>
      </c>
      <c r="K491" s="8" t="str">
        <f>TEXT(Order_Details[[#This Row],[Order Date]], "YY-MMM")</f>
        <v>18-Aug</v>
      </c>
      <c r="L491" s="11">
        <f>Order_Details[[#This Row],[Profit]]/Order_Details[[#This Row],[Amount]]</f>
        <v>-0.40045592705167171</v>
      </c>
      <c r="M491" s="8">
        <f>YEAR(Order_Details[[#This Row],[Order Date]])</f>
        <v>2018</v>
      </c>
      <c r="N491" s="8">
        <f>ROUNDUP(MONTH(Order_Details[[#This Row],[Order Date]])/3, 0)</f>
        <v>3</v>
      </c>
    </row>
    <row r="492" spans="1:14">
      <c r="A492" s="1" t="s">
        <v>426</v>
      </c>
      <c r="B492" s="1">
        <v>27</v>
      </c>
      <c r="C492" s="1">
        <v>4</v>
      </c>
      <c r="D492" s="1">
        <v>3</v>
      </c>
      <c r="E492" s="1" t="s">
        <v>1076</v>
      </c>
      <c r="F492" s="1" t="s">
        <v>1117</v>
      </c>
      <c r="G492" s="7" t="str">
        <f>_xlfn.XLOOKUP(Order_Details[[#This Row],[Order ID]], List_of_orders[Order ID], List_of_orders[State])</f>
        <v>Madhya Pradesh</v>
      </c>
      <c r="H492" s="10">
        <f>_xlfn.XLOOKUP(Order_Details[[#This Row],[Order ID]], List_of_orders[Order ID], List_of_orders[Order Date (Clean)])</f>
        <v>43338</v>
      </c>
      <c r="I492" s="7" t="str">
        <f>_xlfn.XLOOKUP(Order_Details[[#This Row],[Order ID]], List_of_orders[Order ID], List_of_orders[CustomerName])</f>
        <v>Anudeep</v>
      </c>
      <c r="J492" s="7" t="str">
        <f>_xlfn.XLOOKUP(Order_Details[[#This Row],[Order ID]], List_of_orders[Order ID], List_of_orders[City])</f>
        <v>Indore</v>
      </c>
      <c r="K492" s="8" t="str">
        <f>TEXT(Order_Details[[#This Row],[Order Date]], "YY-MMM")</f>
        <v>18-Aug</v>
      </c>
      <c r="L492" s="11">
        <f>Order_Details[[#This Row],[Profit]]/Order_Details[[#This Row],[Amount]]</f>
        <v>0.14814814814814814</v>
      </c>
      <c r="M492" s="8">
        <f>YEAR(Order_Details[[#This Row],[Order Date]])</f>
        <v>2018</v>
      </c>
      <c r="N492" s="8">
        <f>ROUNDUP(MONTH(Order_Details[[#This Row],[Order Date]])/3, 0)</f>
        <v>3</v>
      </c>
    </row>
    <row r="493" spans="1:14">
      <c r="A493" s="1" t="s">
        <v>426</v>
      </c>
      <c r="B493" s="1">
        <v>98</v>
      </c>
      <c r="C493" s="1">
        <v>-5</v>
      </c>
      <c r="D493" s="1">
        <v>2</v>
      </c>
      <c r="E493" s="1" t="s">
        <v>1076</v>
      </c>
      <c r="F493" s="1" t="s">
        <v>1106</v>
      </c>
      <c r="G493" s="7" t="str">
        <f>_xlfn.XLOOKUP(Order_Details[[#This Row],[Order ID]], List_of_orders[Order ID], List_of_orders[State])</f>
        <v>Madhya Pradesh</v>
      </c>
      <c r="H493" s="10">
        <f>_xlfn.XLOOKUP(Order_Details[[#This Row],[Order ID]], List_of_orders[Order ID], List_of_orders[Order Date (Clean)])</f>
        <v>43338</v>
      </c>
      <c r="I493" s="7" t="str">
        <f>_xlfn.XLOOKUP(Order_Details[[#This Row],[Order ID]], List_of_orders[Order ID], List_of_orders[CustomerName])</f>
        <v>Anudeep</v>
      </c>
      <c r="J493" s="7" t="str">
        <f>_xlfn.XLOOKUP(Order_Details[[#This Row],[Order ID]], List_of_orders[Order ID], List_of_orders[City])</f>
        <v>Indore</v>
      </c>
      <c r="K493" s="8" t="str">
        <f>TEXT(Order_Details[[#This Row],[Order Date]], "YY-MMM")</f>
        <v>18-Aug</v>
      </c>
      <c r="L493" s="11">
        <f>Order_Details[[#This Row],[Profit]]/Order_Details[[#This Row],[Amount]]</f>
        <v>-5.1020408163265307E-2</v>
      </c>
      <c r="M493" s="8">
        <f>YEAR(Order_Details[[#This Row],[Order Date]])</f>
        <v>2018</v>
      </c>
      <c r="N493" s="8">
        <f>ROUNDUP(MONTH(Order_Details[[#This Row],[Order Date]])/3, 0)</f>
        <v>3</v>
      </c>
    </row>
    <row r="494" spans="1:14">
      <c r="A494" s="1" t="s">
        <v>429</v>
      </c>
      <c r="B494" s="1">
        <v>58</v>
      </c>
      <c r="C494" s="1">
        <v>-52</v>
      </c>
      <c r="D494" s="1">
        <v>3</v>
      </c>
      <c r="E494" s="1" t="s">
        <v>1075</v>
      </c>
      <c r="F494" s="1" t="s">
        <v>1108</v>
      </c>
      <c r="G494" s="7" t="str">
        <f>_xlfn.XLOOKUP(Order_Details[[#This Row],[Order ID]], List_of_orders[Order ID], List_of_orders[State])</f>
        <v>Gujarat</v>
      </c>
      <c r="H494" s="10">
        <f>_xlfn.XLOOKUP(Order_Details[[#This Row],[Order ID]], List_of_orders[Order ID], List_of_orders[Order Date (Clean)])</f>
        <v>43339</v>
      </c>
      <c r="I494" s="7" t="str">
        <f>_xlfn.XLOOKUP(Order_Details[[#This Row],[Order ID]], List_of_orders[Order ID], List_of_orders[CustomerName])</f>
        <v>Noshiba</v>
      </c>
      <c r="J494" s="7" t="str">
        <f>_xlfn.XLOOKUP(Order_Details[[#This Row],[Order ID]], List_of_orders[Order ID], List_of_orders[City])</f>
        <v>Ahmedabad</v>
      </c>
      <c r="K494" s="8" t="str">
        <f>TEXT(Order_Details[[#This Row],[Order Date]], "YY-MMM")</f>
        <v>18-Aug</v>
      </c>
      <c r="L494" s="11">
        <f>Order_Details[[#This Row],[Profit]]/Order_Details[[#This Row],[Amount]]</f>
        <v>-0.89655172413793105</v>
      </c>
      <c r="M494" s="8">
        <f>YEAR(Order_Details[[#This Row],[Order Date]])</f>
        <v>2018</v>
      </c>
      <c r="N494" s="8">
        <f>ROUNDUP(MONTH(Order_Details[[#This Row],[Order Date]])/3, 0)</f>
        <v>3</v>
      </c>
    </row>
    <row r="495" spans="1:14">
      <c r="A495" s="1" t="s">
        <v>432</v>
      </c>
      <c r="B495" s="1">
        <v>119</v>
      </c>
      <c r="C495" s="1">
        <v>43</v>
      </c>
      <c r="D495" s="1">
        <v>5</v>
      </c>
      <c r="E495" s="1" t="s">
        <v>1076</v>
      </c>
      <c r="F495" s="1" t="s">
        <v>1110</v>
      </c>
      <c r="G495" s="7" t="str">
        <f>_xlfn.XLOOKUP(Order_Details[[#This Row],[Order ID]], List_of_orders[Order ID], List_of_orders[State])</f>
        <v>Maharashtra</v>
      </c>
      <c r="H495" s="10">
        <f>_xlfn.XLOOKUP(Order_Details[[#This Row],[Order ID]], List_of_orders[Order ID], List_of_orders[Order Date (Clean)])</f>
        <v>43340</v>
      </c>
      <c r="I495" s="7" t="str">
        <f>_xlfn.XLOOKUP(Order_Details[[#This Row],[Order ID]], List_of_orders[Order ID], List_of_orders[CustomerName])</f>
        <v>Sanjova</v>
      </c>
      <c r="J495" s="7" t="str">
        <f>_xlfn.XLOOKUP(Order_Details[[#This Row],[Order ID]], List_of_orders[Order ID], List_of_orders[City])</f>
        <v>Pune</v>
      </c>
      <c r="K495" s="8" t="str">
        <f>TEXT(Order_Details[[#This Row],[Order Date]], "YY-MMM")</f>
        <v>18-Aug</v>
      </c>
      <c r="L495" s="11">
        <f>Order_Details[[#This Row],[Profit]]/Order_Details[[#This Row],[Amount]]</f>
        <v>0.36134453781512604</v>
      </c>
      <c r="M495" s="8">
        <f>YEAR(Order_Details[[#This Row],[Order Date]])</f>
        <v>2018</v>
      </c>
      <c r="N495" s="8">
        <f>ROUNDUP(MONTH(Order_Details[[#This Row],[Order Date]])/3, 0)</f>
        <v>3</v>
      </c>
    </row>
    <row r="496" spans="1:14">
      <c r="A496" s="1" t="s">
        <v>432</v>
      </c>
      <c r="B496" s="1">
        <v>765</v>
      </c>
      <c r="C496" s="1">
        <v>-153</v>
      </c>
      <c r="D496" s="1">
        <v>2</v>
      </c>
      <c r="E496" s="1" t="s">
        <v>1077</v>
      </c>
      <c r="F496" s="1" t="s">
        <v>1105</v>
      </c>
      <c r="G496" s="7" t="str">
        <f>_xlfn.XLOOKUP(Order_Details[[#This Row],[Order ID]], List_of_orders[Order ID], List_of_orders[State])</f>
        <v>Maharashtra</v>
      </c>
      <c r="H496" s="10">
        <f>_xlfn.XLOOKUP(Order_Details[[#This Row],[Order ID]], List_of_orders[Order ID], List_of_orders[Order Date (Clean)])</f>
        <v>43340</v>
      </c>
      <c r="I496" s="7" t="str">
        <f>_xlfn.XLOOKUP(Order_Details[[#This Row],[Order ID]], List_of_orders[Order ID], List_of_orders[CustomerName])</f>
        <v>Sanjova</v>
      </c>
      <c r="J496" s="7" t="str">
        <f>_xlfn.XLOOKUP(Order_Details[[#This Row],[Order ID]], List_of_orders[Order ID], List_of_orders[City])</f>
        <v>Pune</v>
      </c>
      <c r="K496" s="8" t="str">
        <f>TEXT(Order_Details[[#This Row],[Order Date]], "YY-MMM")</f>
        <v>18-Aug</v>
      </c>
      <c r="L496" s="11">
        <f>Order_Details[[#This Row],[Profit]]/Order_Details[[#This Row],[Amount]]</f>
        <v>-0.2</v>
      </c>
      <c r="M496" s="8">
        <f>YEAR(Order_Details[[#This Row],[Order Date]])</f>
        <v>2018</v>
      </c>
      <c r="N496" s="8">
        <f>ROUNDUP(MONTH(Order_Details[[#This Row],[Order Date]])/3, 0)</f>
        <v>3</v>
      </c>
    </row>
    <row r="497" spans="1:14">
      <c r="A497" s="1" t="s">
        <v>432</v>
      </c>
      <c r="B497" s="1">
        <v>26</v>
      </c>
      <c r="C497" s="1">
        <v>0</v>
      </c>
      <c r="D497" s="1">
        <v>2</v>
      </c>
      <c r="E497" s="1" t="s">
        <v>1076</v>
      </c>
      <c r="F497" s="1" t="s">
        <v>1109</v>
      </c>
      <c r="G497" s="7" t="str">
        <f>_xlfn.XLOOKUP(Order_Details[[#This Row],[Order ID]], List_of_orders[Order ID], List_of_orders[State])</f>
        <v>Maharashtra</v>
      </c>
      <c r="H497" s="10">
        <f>_xlfn.XLOOKUP(Order_Details[[#This Row],[Order ID]], List_of_orders[Order ID], List_of_orders[Order Date (Clean)])</f>
        <v>43340</v>
      </c>
      <c r="I497" s="7" t="str">
        <f>_xlfn.XLOOKUP(Order_Details[[#This Row],[Order ID]], List_of_orders[Order ID], List_of_orders[CustomerName])</f>
        <v>Sanjova</v>
      </c>
      <c r="J497" s="7" t="str">
        <f>_xlfn.XLOOKUP(Order_Details[[#This Row],[Order ID]], List_of_orders[Order ID], List_of_orders[City])</f>
        <v>Pune</v>
      </c>
      <c r="K497" s="8" t="str">
        <f>TEXT(Order_Details[[#This Row],[Order Date]], "YY-MMM")</f>
        <v>18-Aug</v>
      </c>
      <c r="L497" s="11">
        <f>Order_Details[[#This Row],[Profit]]/Order_Details[[#This Row],[Amount]]</f>
        <v>0</v>
      </c>
      <c r="M497" s="8">
        <f>YEAR(Order_Details[[#This Row],[Order Date]])</f>
        <v>2018</v>
      </c>
      <c r="N497" s="8">
        <f>ROUNDUP(MONTH(Order_Details[[#This Row],[Order Date]])/3, 0)</f>
        <v>3</v>
      </c>
    </row>
    <row r="498" spans="1:14">
      <c r="A498" s="1" t="s">
        <v>432</v>
      </c>
      <c r="B498" s="1">
        <v>24</v>
      </c>
      <c r="C498" s="1">
        <v>-24</v>
      </c>
      <c r="D498" s="1">
        <v>2</v>
      </c>
      <c r="E498" s="1" t="s">
        <v>1076</v>
      </c>
      <c r="F498" s="1" t="s">
        <v>1106</v>
      </c>
      <c r="G498" s="7" t="str">
        <f>_xlfn.XLOOKUP(Order_Details[[#This Row],[Order ID]], List_of_orders[Order ID], List_of_orders[State])</f>
        <v>Maharashtra</v>
      </c>
      <c r="H498" s="10">
        <f>_xlfn.XLOOKUP(Order_Details[[#This Row],[Order ID]], List_of_orders[Order ID], List_of_orders[Order Date (Clean)])</f>
        <v>43340</v>
      </c>
      <c r="I498" s="7" t="str">
        <f>_xlfn.XLOOKUP(Order_Details[[#This Row],[Order ID]], List_of_orders[Order ID], List_of_orders[CustomerName])</f>
        <v>Sanjova</v>
      </c>
      <c r="J498" s="7" t="str">
        <f>_xlfn.XLOOKUP(Order_Details[[#This Row],[Order ID]], List_of_orders[Order ID], List_of_orders[City])</f>
        <v>Pune</v>
      </c>
      <c r="K498" s="8" t="str">
        <f>TEXT(Order_Details[[#This Row],[Order Date]], "YY-MMM")</f>
        <v>18-Aug</v>
      </c>
      <c r="L498" s="11">
        <f>Order_Details[[#This Row],[Profit]]/Order_Details[[#This Row],[Amount]]</f>
        <v>-1</v>
      </c>
      <c r="M498" s="8">
        <f>YEAR(Order_Details[[#This Row],[Order Date]])</f>
        <v>2018</v>
      </c>
      <c r="N498" s="8">
        <f>ROUNDUP(MONTH(Order_Details[[#This Row],[Order Date]])/3, 0)</f>
        <v>3</v>
      </c>
    </row>
    <row r="499" spans="1:14">
      <c r="A499" s="1" t="s">
        <v>435</v>
      </c>
      <c r="B499" s="1">
        <v>139</v>
      </c>
      <c r="C499" s="1">
        <v>14</v>
      </c>
      <c r="D499" s="1">
        <v>3</v>
      </c>
      <c r="E499" s="1" t="s">
        <v>1076</v>
      </c>
      <c r="F499" s="1" t="s">
        <v>1102</v>
      </c>
      <c r="G499" s="7" t="str">
        <f>_xlfn.XLOOKUP(Order_Details[[#This Row],[Order ID]], List_of_orders[Order ID], List_of_orders[State])</f>
        <v>Madhya Pradesh</v>
      </c>
      <c r="H499" s="10">
        <f>_xlfn.XLOOKUP(Order_Details[[#This Row],[Order ID]], List_of_orders[Order ID], List_of_orders[Order Date (Clean)])</f>
        <v>43341</v>
      </c>
      <c r="I499" s="7" t="str">
        <f>_xlfn.XLOOKUP(Order_Details[[#This Row],[Order ID]], List_of_orders[Order ID], List_of_orders[CustomerName])</f>
        <v>Meghana</v>
      </c>
      <c r="J499" s="7" t="str">
        <f>_xlfn.XLOOKUP(Order_Details[[#This Row],[Order ID]], List_of_orders[Order ID], List_of_orders[City])</f>
        <v>Bhopal</v>
      </c>
      <c r="K499" s="8" t="str">
        <f>TEXT(Order_Details[[#This Row],[Order Date]], "YY-MMM")</f>
        <v>18-Aug</v>
      </c>
      <c r="L499" s="11">
        <f>Order_Details[[#This Row],[Profit]]/Order_Details[[#This Row],[Amount]]</f>
        <v>0.10071942446043165</v>
      </c>
      <c r="M499" s="8">
        <f>YEAR(Order_Details[[#This Row],[Order Date]])</f>
        <v>2018</v>
      </c>
      <c r="N499" s="8">
        <f>ROUNDUP(MONTH(Order_Details[[#This Row],[Order Date]])/3, 0)</f>
        <v>3</v>
      </c>
    </row>
    <row r="500" spans="1:14">
      <c r="A500" s="1" t="s">
        <v>438</v>
      </c>
      <c r="B500" s="1">
        <v>220</v>
      </c>
      <c r="C500" s="1">
        <v>-19</v>
      </c>
      <c r="D500" s="1">
        <v>2</v>
      </c>
      <c r="E500" s="1" t="s">
        <v>1076</v>
      </c>
      <c r="F500" s="1" t="s">
        <v>1106</v>
      </c>
      <c r="G500" s="7" t="str">
        <f>_xlfn.XLOOKUP(Order_Details[[#This Row],[Order ID]], List_of_orders[Order ID], List_of_orders[State])</f>
        <v>Rajasthan</v>
      </c>
      <c r="H500" s="10">
        <f>_xlfn.XLOOKUP(Order_Details[[#This Row],[Order ID]], List_of_orders[Order ID], List_of_orders[Order Date (Clean)])</f>
        <v>43342</v>
      </c>
      <c r="I500" s="7" t="str">
        <f>_xlfn.XLOOKUP(Order_Details[[#This Row],[Order ID]], List_of_orders[Order ID], List_of_orders[CustomerName])</f>
        <v>Surabhi</v>
      </c>
      <c r="J500" s="7" t="str">
        <f>_xlfn.XLOOKUP(Order_Details[[#This Row],[Order ID]], List_of_orders[Order ID], List_of_orders[City])</f>
        <v>Jaipur</v>
      </c>
      <c r="K500" s="8" t="str">
        <f>TEXT(Order_Details[[#This Row],[Order Date]], "YY-MMM")</f>
        <v>18-Aug</v>
      </c>
      <c r="L500" s="11">
        <f>Order_Details[[#This Row],[Profit]]/Order_Details[[#This Row],[Amount]]</f>
        <v>-8.6363636363636365E-2</v>
      </c>
      <c r="M500" s="8">
        <f>YEAR(Order_Details[[#This Row],[Order Date]])</f>
        <v>2018</v>
      </c>
      <c r="N500" s="8">
        <f>ROUNDUP(MONTH(Order_Details[[#This Row],[Order Date]])/3, 0)</f>
        <v>3</v>
      </c>
    </row>
    <row r="501" spans="1:14">
      <c r="A501" s="1" t="s">
        <v>440</v>
      </c>
      <c r="B501" s="1">
        <v>299</v>
      </c>
      <c r="C501" s="1">
        <v>-28</v>
      </c>
      <c r="D501" s="1">
        <v>3</v>
      </c>
      <c r="E501" s="1" t="s">
        <v>1077</v>
      </c>
      <c r="F501" s="1" t="s">
        <v>1104</v>
      </c>
      <c r="G501" s="7" t="str">
        <f>_xlfn.XLOOKUP(Order_Details[[#This Row],[Order ID]], List_of_orders[Order ID], List_of_orders[State])</f>
        <v>West Bengal</v>
      </c>
      <c r="H501" s="10">
        <f>_xlfn.XLOOKUP(Order_Details[[#This Row],[Order ID]], List_of_orders[Order ID], List_of_orders[Order Date (Clean)])</f>
        <v>43343</v>
      </c>
      <c r="I501" s="7" t="str">
        <f>_xlfn.XLOOKUP(Order_Details[[#This Row],[Order ID]], List_of_orders[Order ID], List_of_orders[CustomerName])</f>
        <v>Ashmeet</v>
      </c>
      <c r="J501" s="7" t="str">
        <f>_xlfn.XLOOKUP(Order_Details[[#This Row],[Order ID]], List_of_orders[Order ID], List_of_orders[City])</f>
        <v>Kolkata</v>
      </c>
      <c r="K501" s="8" t="str">
        <f>TEXT(Order_Details[[#This Row],[Order Date]], "YY-MMM")</f>
        <v>18-Aug</v>
      </c>
      <c r="L501" s="11">
        <f>Order_Details[[#This Row],[Profit]]/Order_Details[[#This Row],[Amount]]</f>
        <v>-9.3645484949832769E-2</v>
      </c>
      <c r="M501" s="8">
        <f>YEAR(Order_Details[[#This Row],[Order Date]])</f>
        <v>2018</v>
      </c>
      <c r="N501" s="8">
        <f>ROUNDUP(MONTH(Order_Details[[#This Row],[Order Date]])/3, 0)</f>
        <v>3</v>
      </c>
    </row>
    <row r="502" spans="1:14">
      <c r="A502" s="1" t="s">
        <v>440</v>
      </c>
      <c r="B502" s="1">
        <v>9</v>
      </c>
      <c r="C502" s="1">
        <v>-9</v>
      </c>
      <c r="D502" s="1">
        <v>2</v>
      </c>
      <c r="E502" s="1" t="s">
        <v>1076</v>
      </c>
      <c r="F502" s="1" t="s">
        <v>1109</v>
      </c>
      <c r="G502" s="7" t="str">
        <f>_xlfn.XLOOKUP(Order_Details[[#This Row],[Order ID]], List_of_orders[Order ID], List_of_orders[State])</f>
        <v>West Bengal</v>
      </c>
      <c r="H502" s="10">
        <f>_xlfn.XLOOKUP(Order_Details[[#This Row],[Order ID]], List_of_orders[Order ID], List_of_orders[Order Date (Clean)])</f>
        <v>43343</v>
      </c>
      <c r="I502" s="7" t="str">
        <f>_xlfn.XLOOKUP(Order_Details[[#This Row],[Order ID]], List_of_orders[Order ID], List_of_orders[CustomerName])</f>
        <v>Ashmeet</v>
      </c>
      <c r="J502" s="7" t="str">
        <f>_xlfn.XLOOKUP(Order_Details[[#This Row],[Order ID]], List_of_orders[Order ID], List_of_orders[City])</f>
        <v>Kolkata</v>
      </c>
      <c r="K502" s="8" t="str">
        <f>TEXT(Order_Details[[#This Row],[Order Date]], "YY-MMM")</f>
        <v>18-Aug</v>
      </c>
      <c r="L502" s="11">
        <f>Order_Details[[#This Row],[Profit]]/Order_Details[[#This Row],[Amount]]</f>
        <v>-1</v>
      </c>
      <c r="M502" s="8">
        <f>YEAR(Order_Details[[#This Row],[Order Date]])</f>
        <v>2018</v>
      </c>
      <c r="N502" s="8">
        <f>ROUNDUP(MONTH(Order_Details[[#This Row],[Order Date]])/3, 0)</f>
        <v>3</v>
      </c>
    </row>
    <row r="503" spans="1:14">
      <c r="A503" s="1" t="s">
        <v>440</v>
      </c>
      <c r="B503" s="1">
        <v>74</v>
      </c>
      <c r="C503" s="1">
        <v>-59</v>
      </c>
      <c r="D503" s="1">
        <v>2</v>
      </c>
      <c r="E503" s="1" t="s">
        <v>1077</v>
      </c>
      <c r="F503" s="1" t="s">
        <v>1115</v>
      </c>
      <c r="G503" s="7" t="str">
        <f>_xlfn.XLOOKUP(Order_Details[[#This Row],[Order ID]], List_of_orders[Order ID], List_of_orders[State])</f>
        <v>West Bengal</v>
      </c>
      <c r="H503" s="10">
        <f>_xlfn.XLOOKUP(Order_Details[[#This Row],[Order ID]], List_of_orders[Order ID], List_of_orders[Order Date (Clean)])</f>
        <v>43343</v>
      </c>
      <c r="I503" s="7" t="str">
        <f>_xlfn.XLOOKUP(Order_Details[[#This Row],[Order ID]], List_of_orders[Order ID], List_of_orders[CustomerName])</f>
        <v>Ashmeet</v>
      </c>
      <c r="J503" s="7" t="str">
        <f>_xlfn.XLOOKUP(Order_Details[[#This Row],[Order ID]], List_of_orders[Order ID], List_of_orders[City])</f>
        <v>Kolkata</v>
      </c>
      <c r="K503" s="8" t="str">
        <f>TEXT(Order_Details[[#This Row],[Order Date]], "YY-MMM")</f>
        <v>18-Aug</v>
      </c>
      <c r="L503" s="11">
        <f>Order_Details[[#This Row],[Profit]]/Order_Details[[#This Row],[Amount]]</f>
        <v>-0.79729729729729726</v>
      </c>
      <c r="M503" s="8">
        <f>YEAR(Order_Details[[#This Row],[Order Date]])</f>
        <v>2018</v>
      </c>
      <c r="N503" s="8">
        <f>ROUNDUP(MONTH(Order_Details[[#This Row],[Order Date]])/3, 0)</f>
        <v>3</v>
      </c>
    </row>
    <row r="504" spans="1:14">
      <c r="A504" s="1" t="s">
        <v>440</v>
      </c>
      <c r="B504" s="1">
        <v>29</v>
      </c>
      <c r="C504" s="1">
        <v>-3</v>
      </c>
      <c r="D504" s="1">
        <v>3</v>
      </c>
      <c r="E504" s="1" t="s">
        <v>1076</v>
      </c>
      <c r="F504" s="1" t="s">
        <v>1106</v>
      </c>
      <c r="G504" s="7" t="str">
        <f>_xlfn.XLOOKUP(Order_Details[[#This Row],[Order ID]], List_of_orders[Order ID], List_of_orders[State])</f>
        <v>West Bengal</v>
      </c>
      <c r="H504" s="10">
        <f>_xlfn.XLOOKUP(Order_Details[[#This Row],[Order ID]], List_of_orders[Order ID], List_of_orders[Order Date (Clean)])</f>
        <v>43343</v>
      </c>
      <c r="I504" s="7" t="str">
        <f>_xlfn.XLOOKUP(Order_Details[[#This Row],[Order ID]], List_of_orders[Order ID], List_of_orders[CustomerName])</f>
        <v>Ashmeet</v>
      </c>
      <c r="J504" s="7" t="str">
        <f>_xlfn.XLOOKUP(Order_Details[[#This Row],[Order ID]], List_of_orders[Order ID], List_of_orders[City])</f>
        <v>Kolkata</v>
      </c>
      <c r="K504" s="8" t="str">
        <f>TEXT(Order_Details[[#This Row],[Order Date]], "YY-MMM")</f>
        <v>18-Aug</v>
      </c>
      <c r="L504" s="11">
        <f>Order_Details[[#This Row],[Profit]]/Order_Details[[#This Row],[Amount]]</f>
        <v>-0.10344827586206896</v>
      </c>
      <c r="M504" s="8">
        <f>YEAR(Order_Details[[#This Row],[Order Date]])</f>
        <v>2018</v>
      </c>
      <c r="N504" s="8">
        <f>ROUNDUP(MONTH(Order_Details[[#This Row],[Order Date]])/3, 0)</f>
        <v>3</v>
      </c>
    </row>
    <row r="505" spans="1:14">
      <c r="A505" s="1" t="s">
        <v>440</v>
      </c>
      <c r="B505" s="1">
        <v>48</v>
      </c>
      <c r="C505" s="1">
        <v>-22</v>
      </c>
      <c r="D505" s="1">
        <v>2</v>
      </c>
      <c r="E505" s="1" t="s">
        <v>1076</v>
      </c>
      <c r="F505" s="1" t="s">
        <v>1106</v>
      </c>
      <c r="G505" s="7" t="str">
        <f>_xlfn.XLOOKUP(Order_Details[[#This Row],[Order ID]], List_of_orders[Order ID], List_of_orders[State])</f>
        <v>West Bengal</v>
      </c>
      <c r="H505" s="10">
        <f>_xlfn.XLOOKUP(Order_Details[[#This Row],[Order ID]], List_of_orders[Order ID], List_of_orders[Order Date (Clean)])</f>
        <v>43343</v>
      </c>
      <c r="I505" s="7" t="str">
        <f>_xlfn.XLOOKUP(Order_Details[[#This Row],[Order ID]], List_of_orders[Order ID], List_of_orders[CustomerName])</f>
        <v>Ashmeet</v>
      </c>
      <c r="J505" s="7" t="str">
        <f>_xlfn.XLOOKUP(Order_Details[[#This Row],[Order ID]], List_of_orders[Order ID], List_of_orders[City])</f>
        <v>Kolkata</v>
      </c>
      <c r="K505" s="8" t="str">
        <f>TEXT(Order_Details[[#This Row],[Order Date]], "YY-MMM")</f>
        <v>18-Aug</v>
      </c>
      <c r="L505" s="11">
        <f>Order_Details[[#This Row],[Profit]]/Order_Details[[#This Row],[Amount]]</f>
        <v>-0.45833333333333331</v>
      </c>
      <c r="M505" s="8">
        <f>YEAR(Order_Details[[#This Row],[Order Date]])</f>
        <v>2018</v>
      </c>
      <c r="N505" s="8">
        <f>ROUNDUP(MONTH(Order_Details[[#This Row],[Order Date]])/3, 0)</f>
        <v>3</v>
      </c>
    </row>
    <row r="506" spans="1:14">
      <c r="A506" s="1" t="s">
        <v>443</v>
      </c>
      <c r="B506" s="1">
        <v>1582</v>
      </c>
      <c r="C506" s="1">
        <v>-443</v>
      </c>
      <c r="D506" s="1">
        <v>6</v>
      </c>
      <c r="E506" s="1" t="s">
        <v>1076</v>
      </c>
      <c r="F506" s="1" t="s">
        <v>1107</v>
      </c>
      <c r="G506" s="7" t="str">
        <f>_xlfn.XLOOKUP(Order_Details[[#This Row],[Order ID]], List_of_orders[Order ID], List_of_orders[State])</f>
        <v>Karnataka</v>
      </c>
      <c r="H506" s="10">
        <f>_xlfn.XLOOKUP(Order_Details[[#This Row],[Order ID]], List_of_orders[Order ID], List_of_orders[Order Date (Clean)])</f>
        <v>43344</v>
      </c>
      <c r="I506" s="7" t="str">
        <f>_xlfn.XLOOKUP(Order_Details[[#This Row],[Order ID]], List_of_orders[Order ID], List_of_orders[CustomerName])</f>
        <v>Shreyoshe</v>
      </c>
      <c r="J506" s="7" t="str">
        <f>_xlfn.XLOOKUP(Order_Details[[#This Row],[Order ID]], List_of_orders[Order ID], List_of_orders[City])</f>
        <v>Bangalore</v>
      </c>
      <c r="K506" s="8" t="str">
        <f>TEXT(Order_Details[[#This Row],[Order Date]], "YY-MMM")</f>
        <v>18-Sep</v>
      </c>
      <c r="L506" s="11">
        <f>Order_Details[[#This Row],[Profit]]/Order_Details[[#This Row],[Amount]]</f>
        <v>-0.28002528445006319</v>
      </c>
      <c r="M506" s="8">
        <f>YEAR(Order_Details[[#This Row],[Order Date]])</f>
        <v>2018</v>
      </c>
      <c r="N506" s="8">
        <f>ROUNDUP(MONTH(Order_Details[[#This Row],[Order Date]])/3, 0)</f>
        <v>3</v>
      </c>
    </row>
    <row r="507" spans="1:14">
      <c r="A507" s="1" t="s">
        <v>445</v>
      </c>
      <c r="B507" s="1">
        <v>355</v>
      </c>
      <c r="C507" s="1">
        <v>-4</v>
      </c>
      <c r="D507" s="1">
        <v>2</v>
      </c>
      <c r="E507" s="1" t="s">
        <v>1076</v>
      </c>
      <c r="F507" s="1" t="s">
        <v>1106</v>
      </c>
      <c r="G507" s="7" t="str">
        <f>_xlfn.XLOOKUP(Order_Details[[#This Row],[Order ID]], List_of_orders[Order ID], List_of_orders[State])</f>
        <v>Maharashtra</v>
      </c>
      <c r="H507" s="10">
        <f>_xlfn.XLOOKUP(Order_Details[[#This Row],[Order ID]], List_of_orders[Order ID], List_of_orders[Order Date (Clean)])</f>
        <v>43345</v>
      </c>
      <c r="I507" s="7" t="str">
        <f>_xlfn.XLOOKUP(Order_Details[[#This Row],[Order ID]], List_of_orders[Order ID], List_of_orders[CustomerName])</f>
        <v>Surbhi</v>
      </c>
      <c r="J507" s="7" t="str">
        <f>_xlfn.XLOOKUP(Order_Details[[#This Row],[Order ID]], List_of_orders[Order ID], List_of_orders[City])</f>
        <v>Mumbai</v>
      </c>
      <c r="K507" s="8" t="str">
        <f>TEXT(Order_Details[[#This Row],[Order Date]], "YY-MMM")</f>
        <v>18-Sep</v>
      </c>
      <c r="L507" s="11">
        <f>Order_Details[[#This Row],[Profit]]/Order_Details[[#This Row],[Amount]]</f>
        <v>-1.1267605633802818E-2</v>
      </c>
      <c r="M507" s="8">
        <f>YEAR(Order_Details[[#This Row],[Order Date]])</f>
        <v>2018</v>
      </c>
      <c r="N507" s="8">
        <f>ROUNDUP(MONTH(Order_Details[[#This Row],[Order Date]])/3, 0)</f>
        <v>3</v>
      </c>
    </row>
    <row r="508" spans="1:14">
      <c r="A508" s="1" t="s">
        <v>447</v>
      </c>
      <c r="B508" s="1">
        <v>375</v>
      </c>
      <c r="C508" s="1">
        <v>180</v>
      </c>
      <c r="D508" s="1">
        <v>3</v>
      </c>
      <c r="E508" s="1" t="s">
        <v>1075</v>
      </c>
      <c r="F508" s="1" t="s">
        <v>1101</v>
      </c>
      <c r="G508" s="7" t="str">
        <f>_xlfn.XLOOKUP(Order_Details[[#This Row],[Order ID]], List_of_orders[Order ID], List_of_orders[State])</f>
        <v>Madhya Pradesh</v>
      </c>
      <c r="H508" s="10">
        <f>_xlfn.XLOOKUP(Order_Details[[#This Row],[Order ID]], List_of_orders[Order ID], List_of_orders[Order Date (Clean)])</f>
        <v>43345</v>
      </c>
      <c r="I508" s="7" t="str">
        <f>_xlfn.XLOOKUP(Order_Details[[#This Row],[Order ID]], List_of_orders[Order ID], List_of_orders[CustomerName])</f>
        <v>Sakshi</v>
      </c>
      <c r="J508" s="7" t="str">
        <f>_xlfn.XLOOKUP(Order_Details[[#This Row],[Order ID]], List_of_orders[Order ID], List_of_orders[City])</f>
        <v>Indore</v>
      </c>
      <c r="K508" s="8" t="str">
        <f>TEXT(Order_Details[[#This Row],[Order Date]], "YY-MMM")</f>
        <v>18-Sep</v>
      </c>
      <c r="L508" s="11">
        <f>Order_Details[[#This Row],[Profit]]/Order_Details[[#This Row],[Amount]]</f>
        <v>0.48</v>
      </c>
      <c r="M508" s="8">
        <f>YEAR(Order_Details[[#This Row],[Order Date]])</f>
        <v>2018</v>
      </c>
      <c r="N508" s="8">
        <f>ROUNDUP(MONTH(Order_Details[[#This Row],[Order Date]])/3, 0)</f>
        <v>3</v>
      </c>
    </row>
    <row r="509" spans="1:14">
      <c r="A509" s="1" t="s">
        <v>447</v>
      </c>
      <c r="B509" s="1">
        <v>299</v>
      </c>
      <c r="C509" s="1">
        <v>113</v>
      </c>
      <c r="D509" s="1">
        <v>2</v>
      </c>
      <c r="E509" s="1" t="s">
        <v>1075</v>
      </c>
      <c r="F509" s="1" t="s">
        <v>1101</v>
      </c>
      <c r="G509" s="7" t="str">
        <f>_xlfn.XLOOKUP(Order_Details[[#This Row],[Order ID]], List_of_orders[Order ID], List_of_orders[State])</f>
        <v>Madhya Pradesh</v>
      </c>
      <c r="H509" s="10">
        <f>_xlfn.XLOOKUP(Order_Details[[#This Row],[Order ID]], List_of_orders[Order ID], List_of_orders[Order Date (Clean)])</f>
        <v>43345</v>
      </c>
      <c r="I509" s="7" t="str">
        <f>_xlfn.XLOOKUP(Order_Details[[#This Row],[Order ID]], List_of_orders[Order ID], List_of_orders[CustomerName])</f>
        <v>Sakshi</v>
      </c>
      <c r="J509" s="7" t="str">
        <f>_xlfn.XLOOKUP(Order_Details[[#This Row],[Order ID]], List_of_orders[Order ID], List_of_orders[City])</f>
        <v>Indore</v>
      </c>
      <c r="K509" s="8" t="str">
        <f>TEXT(Order_Details[[#This Row],[Order Date]], "YY-MMM")</f>
        <v>18-Sep</v>
      </c>
      <c r="L509" s="11">
        <f>Order_Details[[#This Row],[Profit]]/Order_Details[[#This Row],[Amount]]</f>
        <v>0.3779264214046823</v>
      </c>
      <c r="M509" s="8">
        <f>YEAR(Order_Details[[#This Row],[Order Date]])</f>
        <v>2018</v>
      </c>
      <c r="N509" s="8">
        <f>ROUNDUP(MONTH(Order_Details[[#This Row],[Order Date]])/3, 0)</f>
        <v>3</v>
      </c>
    </row>
    <row r="510" spans="1:14">
      <c r="A510" s="1" t="s">
        <v>447</v>
      </c>
      <c r="B510" s="1">
        <v>287</v>
      </c>
      <c r="C510" s="1">
        <v>-280</v>
      </c>
      <c r="D510" s="1">
        <v>12</v>
      </c>
      <c r="E510" s="1" t="s">
        <v>1075</v>
      </c>
      <c r="F510" s="1" t="s">
        <v>1108</v>
      </c>
      <c r="G510" s="7" t="str">
        <f>_xlfn.XLOOKUP(Order_Details[[#This Row],[Order ID]], List_of_orders[Order ID], List_of_orders[State])</f>
        <v>Madhya Pradesh</v>
      </c>
      <c r="H510" s="10">
        <f>_xlfn.XLOOKUP(Order_Details[[#This Row],[Order ID]], List_of_orders[Order ID], List_of_orders[Order Date (Clean)])</f>
        <v>43345</v>
      </c>
      <c r="I510" s="7" t="str">
        <f>_xlfn.XLOOKUP(Order_Details[[#This Row],[Order ID]], List_of_orders[Order ID], List_of_orders[CustomerName])</f>
        <v>Sakshi</v>
      </c>
      <c r="J510" s="7" t="str">
        <f>_xlfn.XLOOKUP(Order_Details[[#This Row],[Order ID]], List_of_orders[Order ID], List_of_orders[City])</f>
        <v>Indore</v>
      </c>
      <c r="K510" s="8" t="str">
        <f>TEXT(Order_Details[[#This Row],[Order Date]], "YY-MMM")</f>
        <v>18-Sep</v>
      </c>
      <c r="L510" s="11">
        <f>Order_Details[[#This Row],[Profit]]/Order_Details[[#This Row],[Amount]]</f>
        <v>-0.97560975609756095</v>
      </c>
      <c r="M510" s="8">
        <f>YEAR(Order_Details[[#This Row],[Order Date]])</f>
        <v>2018</v>
      </c>
      <c r="N510" s="8">
        <f>ROUNDUP(MONTH(Order_Details[[#This Row],[Order Date]])/3, 0)</f>
        <v>3</v>
      </c>
    </row>
    <row r="511" spans="1:14">
      <c r="A511" s="1" t="s">
        <v>447</v>
      </c>
      <c r="B511" s="1">
        <v>110</v>
      </c>
      <c r="C511" s="1">
        <v>35</v>
      </c>
      <c r="D511" s="1">
        <v>1</v>
      </c>
      <c r="E511" s="1" t="s">
        <v>1075</v>
      </c>
      <c r="F511" s="1" t="s">
        <v>1116</v>
      </c>
      <c r="G511" s="7" t="str">
        <f>_xlfn.XLOOKUP(Order_Details[[#This Row],[Order ID]], List_of_orders[Order ID], List_of_orders[State])</f>
        <v>Madhya Pradesh</v>
      </c>
      <c r="H511" s="10">
        <f>_xlfn.XLOOKUP(Order_Details[[#This Row],[Order ID]], List_of_orders[Order ID], List_of_orders[Order Date (Clean)])</f>
        <v>43345</v>
      </c>
      <c r="I511" s="7" t="str">
        <f>_xlfn.XLOOKUP(Order_Details[[#This Row],[Order ID]], List_of_orders[Order ID], List_of_orders[CustomerName])</f>
        <v>Sakshi</v>
      </c>
      <c r="J511" s="7" t="str">
        <f>_xlfn.XLOOKUP(Order_Details[[#This Row],[Order ID]], List_of_orders[Order ID], List_of_orders[City])</f>
        <v>Indore</v>
      </c>
      <c r="K511" s="8" t="str">
        <f>TEXT(Order_Details[[#This Row],[Order Date]], "YY-MMM")</f>
        <v>18-Sep</v>
      </c>
      <c r="L511" s="11">
        <f>Order_Details[[#This Row],[Profit]]/Order_Details[[#This Row],[Amount]]</f>
        <v>0.31818181818181818</v>
      </c>
      <c r="M511" s="8">
        <f>YEAR(Order_Details[[#This Row],[Order Date]])</f>
        <v>2018</v>
      </c>
      <c r="N511" s="8">
        <f>ROUNDUP(MONTH(Order_Details[[#This Row],[Order Date]])/3, 0)</f>
        <v>3</v>
      </c>
    </row>
    <row r="512" spans="1:14">
      <c r="A512" s="1" t="s">
        <v>448</v>
      </c>
      <c r="B512" s="1">
        <v>148</v>
      </c>
      <c r="C512" s="1">
        <v>59</v>
      </c>
      <c r="D512" s="1">
        <v>3</v>
      </c>
      <c r="E512" s="1" t="s">
        <v>1076</v>
      </c>
      <c r="F512" s="1" t="s">
        <v>1103</v>
      </c>
      <c r="G512" s="7" t="str">
        <f>_xlfn.XLOOKUP(Order_Details[[#This Row],[Order ID]], List_of_orders[Order ID], List_of_orders[State])</f>
        <v>Uttar Pradesh</v>
      </c>
      <c r="H512" s="10">
        <f>_xlfn.XLOOKUP(Order_Details[[#This Row],[Order ID]], List_of_orders[Order ID], List_of_orders[Order Date (Clean)])</f>
        <v>43345</v>
      </c>
      <c r="I512" s="7" t="str">
        <f>_xlfn.XLOOKUP(Order_Details[[#This Row],[Order ID]], List_of_orders[Order ID], List_of_orders[CustomerName])</f>
        <v>Vaibhavi</v>
      </c>
      <c r="J512" s="7" t="str">
        <f>_xlfn.XLOOKUP(Order_Details[[#This Row],[Order ID]], List_of_orders[Order ID], List_of_orders[City])</f>
        <v>Lucknow</v>
      </c>
      <c r="K512" s="8" t="str">
        <f>TEXT(Order_Details[[#This Row],[Order Date]], "YY-MMM")</f>
        <v>18-Sep</v>
      </c>
      <c r="L512" s="11">
        <f>Order_Details[[#This Row],[Profit]]/Order_Details[[#This Row],[Amount]]</f>
        <v>0.39864864864864863</v>
      </c>
      <c r="M512" s="8">
        <f>YEAR(Order_Details[[#This Row],[Order Date]])</f>
        <v>2018</v>
      </c>
      <c r="N512" s="8">
        <f>ROUNDUP(MONTH(Order_Details[[#This Row],[Order Date]])/3, 0)</f>
        <v>3</v>
      </c>
    </row>
    <row r="513" spans="1:14">
      <c r="A513" s="1" t="s">
        <v>450</v>
      </c>
      <c r="B513" s="1">
        <v>1183</v>
      </c>
      <c r="C513" s="1">
        <v>106</v>
      </c>
      <c r="D513" s="1">
        <v>4</v>
      </c>
      <c r="E513" s="1" t="s">
        <v>1077</v>
      </c>
      <c r="F513" s="1" t="s">
        <v>1114</v>
      </c>
      <c r="G513" s="7" t="str">
        <f>_xlfn.XLOOKUP(Order_Details[[#This Row],[Order ID]], List_of_orders[Order ID], List_of_orders[State])</f>
        <v>Bihar</v>
      </c>
      <c r="H513" s="10">
        <f>_xlfn.XLOOKUP(Order_Details[[#This Row],[Order ID]], List_of_orders[Order ID], List_of_orders[Order Date (Clean)])</f>
        <v>43345</v>
      </c>
      <c r="I513" s="7" t="str">
        <f>_xlfn.XLOOKUP(Order_Details[[#This Row],[Order ID]], List_of_orders[Order ID], List_of_orders[CustomerName])</f>
        <v>Sanjana</v>
      </c>
      <c r="J513" s="7" t="str">
        <f>_xlfn.XLOOKUP(Order_Details[[#This Row],[Order ID]], List_of_orders[Order ID], List_of_orders[City])</f>
        <v>Patna</v>
      </c>
      <c r="K513" s="8" t="str">
        <f>TEXT(Order_Details[[#This Row],[Order Date]], "YY-MMM")</f>
        <v>18-Sep</v>
      </c>
      <c r="L513" s="11">
        <f>Order_Details[[#This Row],[Profit]]/Order_Details[[#This Row],[Amount]]</f>
        <v>8.960270498732037E-2</v>
      </c>
      <c r="M513" s="8">
        <f>YEAR(Order_Details[[#This Row],[Order Date]])</f>
        <v>2018</v>
      </c>
      <c r="N513" s="8">
        <f>ROUNDUP(MONTH(Order_Details[[#This Row],[Order Date]])/3, 0)</f>
        <v>3</v>
      </c>
    </row>
    <row r="514" spans="1:14">
      <c r="A514" s="1" t="s">
        <v>452</v>
      </c>
      <c r="B514" s="1">
        <v>248</v>
      </c>
      <c r="C514" s="1">
        <v>-70</v>
      </c>
      <c r="D514" s="1">
        <v>3</v>
      </c>
      <c r="E514" s="1" t="s">
        <v>1075</v>
      </c>
      <c r="F514" s="1" t="s">
        <v>1108</v>
      </c>
      <c r="G514" s="7" t="str">
        <f>_xlfn.XLOOKUP(Order_Details[[#This Row],[Order ID]], List_of_orders[Order ID], List_of_orders[State])</f>
        <v xml:space="preserve">Kerala </v>
      </c>
      <c r="H514" s="10">
        <f>_xlfn.XLOOKUP(Order_Details[[#This Row],[Order ID]], List_of_orders[Order ID], List_of_orders[Order Date (Clean)])</f>
        <v>43349</v>
      </c>
      <c r="I514" s="7" t="str">
        <f>_xlfn.XLOOKUP(Order_Details[[#This Row],[Order ID]], List_of_orders[Order ID], List_of_orders[CustomerName])</f>
        <v>Shreya</v>
      </c>
      <c r="J514" s="7" t="str">
        <f>_xlfn.XLOOKUP(Order_Details[[#This Row],[Order ID]], List_of_orders[Order ID], List_of_orders[City])</f>
        <v>Thiruvananthapuram</v>
      </c>
      <c r="K514" s="8" t="str">
        <f>TEXT(Order_Details[[#This Row],[Order Date]], "YY-MMM")</f>
        <v>18-Sep</v>
      </c>
      <c r="L514" s="11">
        <f>Order_Details[[#This Row],[Profit]]/Order_Details[[#This Row],[Amount]]</f>
        <v>-0.28225806451612906</v>
      </c>
      <c r="M514" s="8">
        <f>YEAR(Order_Details[[#This Row],[Order Date]])</f>
        <v>2018</v>
      </c>
      <c r="N514" s="8">
        <f>ROUNDUP(MONTH(Order_Details[[#This Row],[Order Date]])/3, 0)</f>
        <v>3</v>
      </c>
    </row>
    <row r="515" spans="1:14">
      <c r="A515" s="1" t="s">
        <v>452</v>
      </c>
      <c r="B515" s="1">
        <v>85</v>
      </c>
      <c r="C515" s="1">
        <v>-9</v>
      </c>
      <c r="D515" s="1">
        <v>4</v>
      </c>
      <c r="E515" s="1" t="s">
        <v>1076</v>
      </c>
      <c r="F515" s="1" t="s">
        <v>1106</v>
      </c>
      <c r="G515" s="7" t="str">
        <f>_xlfn.XLOOKUP(Order_Details[[#This Row],[Order ID]], List_of_orders[Order ID], List_of_orders[State])</f>
        <v xml:space="preserve">Kerala </v>
      </c>
      <c r="H515" s="10">
        <f>_xlfn.XLOOKUP(Order_Details[[#This Row],[Order ID]], List_of_orders[Order ID], List_of_orders[Order Date (Clean)])</f>
        <v>43349</v>
      </c>
      <c r="I515" s="7" t="str">
        <f>_xlfn.XLOOKUP(Order_Details[[#This Row],[Order ID]], List_of_orders[Order ID], List_of_orders[CustomerName])</f>
        <v>Shreya</v>
      </c>
      <c r="J515" s="7" t="str">
        <f>_xlfn.XLOOKUP(Order_Details[[#This Row],[Order ID]], List_of_orders[Order ID], List_of_orders[City])</f>
        <v>Thiruvananthapuram</v>
      </c>
      <c r="K515" s="8" t="str">
        <f>TEXT(Order_Details[[#This Row],[Order Date]], "YY-MMM")</f>
        <v>18-Sep</v>
      </c>
      <c r="L515" s="11">
        <f>Order_Details[[#This Row],[Profit]]/Order_Details[[#This Row],[Amount]]</f>
        <v>-0.10588235294117647</v>
      </c>
      <c r="M515" s="8">
        <f>YEAR(Order_Details[[#This Row],[Order Date]])</f>
        <v>2018</v>
      </c>
      <c r="N515" s="8">
        <f>ROUNDUP(MONTH(Order_Details[[#This Row],[Order Date]])/3, 0)</f>
        <v>3</v>
      </c>
    </row>
    <row r="516" spans="1:14">
      <c r="A516" s="1" t="s">
        <v>452</v>
      </c>
      <c r="B516" s="1">
        <v>24</v>
      </c>
      <c r="C516" s="1">
        <v>-14</v>
      </c>
      <c r="D516" s="1">
        <v>2</v>
      </c>
      <c r="E516" s="1" t="s">
        <v>1076</v>
      </c>
      <c r="F516" s="1" t="s">
        <v>1106</v>
      </c>
      <c r="G516" s="7" t="str">
        <f>_xlfn.XLOOKUP(Order_Details[[#This Row],[Order ID]], List_of_orders[Order ID], List_of_orders[State])</f>
        <v xml:space="preserve">Kerala </v>
      </c>
      <c r="H516" s="10">
        <f>_xlfn.XLOOKUP(Order_Details[[#This Row],[Order ID]], List_of_orders[Order ID], List_of_orders[Order Date (Clean)])</f>
        <v>43349</v>
      </c>
      <c r="I516" s="7" t="str">
        <f>_xlfn.XLOOKUP(Order_Details[[#This Row],[Order ID]], List_of_orders[Order ID], List_of_orders[CustomerName])</f>
        <v>Shreya</v>
      </c>
      <c r="J516" s="7" t="str">
        <f>_xlfn.XLOOKUP(Order_Details[[#This Row],[Order ID]], List_of_orders[Order ID], List_of_orders[City])</f>
        <v>Thiruvananthapuram</v>
      </c>
      <c r="K516" s="8" t="str">
        <f>TEXT(Order_Details[[#This Row],[Order Date]], "YY-MMM")</f>
        <v>18-Sep</v>
      </c>
      <c r="L516" s="11">
        <f>Order_Details[[#This Row],[Profit]]/Order_Details[[#This Row],[Amount]]</f>
        <v>-0.58333333333333337</v>
      </c>
      <c r="M516" s="8">
        <f>YEAR(Order_Details[[#This Row],[Order Date]])</f>
        <v>2018</v>
      </c>
      <c r="N516" s="8">
        <f>ROUNDUP(MONTH(Order_Details[[#This Row],[Order Date]])/3, 0)</f>
        <v>3</v>
      </c>
    </row>
    <row r="517" spans="1:14">
      <c r="A517" s="1" t="s">
        <v>452</v>
      </c>
      <c r="B517" s="1">
        <v>209</v>
      </c>
      <c r="C517" s="1">
        <v>-21</v>
      </c>
      <c r="D517" s="1">
        <v>2</v>
      </c>
      <c r="E517" s="1" t="s">
        <v>1077</v>
      </c>
      <c r="F517" s="1" t="s">
        <v>1104</v>
      </c>
      <c r="G517" s="7" t="str">
        <f>_xlfn.XLOOKUP(Order_Details[[#This Row],[Order ID]], List_of_orders[Order ID], List_of_orders[State])</f>
        <v xml:space="preserve">Kerala </v>
      </c>
      <c r="H517" s="10">
        <f>_xlfn.XLOOKUP(Order_Details[[#This Row],[Order ID]], List_of_orders[Order ID], List_of_orders[Order Date (Clean)])</f>
        <v>43349</v>
      </c>
      <c r="I517" s="7" t="str">
        <f>_xlfn.XLOOKUP(Order_Details[[#This Row],[Order ID]], List_of_orders[Order ID], List_of_orders[CustomerName])</f>
        <v>Shreya</v>
      </c>
      <c r="J517" s="7" t="str">
        <f>_xlfn.XLOOKUP(Order_Details[[#This Row],[Order ID]], List_of_orders[Order ID], List_of_orders[City])</f>
        <v>Thiruvananthapuram</v>
      </c>
      <c r="K517" s="8" t="str">
        <f>TEXT(Order_Details[[#This Row],[Order Date]], "YY-MMM")</f>
        <v>18-Sep</v>
      </c>
      <c r="L517" s="11">
        <f>Order_Details[[#This Row],[Profit]]/Order_Details[[#This Row],[Amount]]</f>
        <v>-0.10047846889952153</v>
      </c>
      <c r="M517" s="8">
        <f>YEAR(Order_Details[[#This Row],[Order Date]])</f>
        <v>2018</v>
      </c>
      <c r="N517" s="8">
        <f>ROUNDUP(MONTH(Order_Details[[#This Row],[Order Date]])/3, 0)</f>
        <v>3</v>
      </c>
    </row>
    <row r="518" spans="1:14">
      <c r="A518" s="1" t="s">
        <v>452</v>
      </c>
      <c r="B518" s="1">
        <v>224</v>
      </c>
      <c r="C518" s="1">
        <v>-143</v>
      </c>
      <c r="D518" s="1">
        <v>3</v>
      </c>
      <c r="E518" s="1" t="s">
        <v>1075</v>
      </c>
      <c r="F518" s="1" t="s">
        <v>1108</v>
      </c>
      <c r="G518" s="7" t="str">
        <f>_xlfn.XLOOKUP(Order_Details[[#This Row],[Order ID]], List_of_orders[Order ID], List_of_orders[State])</f>
        <v xml:space="preserve">Kerala </v>
      </c>
      <c r="H518" s="10">
        <f>_xlfn.XLOOKUP(Order_Details[[#This Row],[Order ID]], List_of_orders[Order ID], List_of_orders[Order Date (Clean)])</f>
        <v>43349</v>
      </c>
      <c r="I518" s="7" t="str">
        <f>_xlfn.XLOOKUP(Order_Details[[#This Row],[Order ID]], List_of_orders[Order ID], List_of_orders[CustomerName])</f>
        <v>Shreya</v>
      </c>
      <c r="J518" s="7" t="str">
        <f>_xlfn.XLOOKUP(Order_Details[[#This Row],[Order ID]], List_of_orders[Order ID], List_of_orders[City])</f>
        <v>Thiruvananthapuram</v>
      </c>
      <c r="K518" s="8" t="str">
        <f>TEXT(Order_Details[[#This Row],[Order Date]], "YY-MMM")</f>
        <v>18-Sep</v>
      </c>
      <c r="L518" s="11">
        <f>Order_Details[[#This Row],[Profit]]/Order_Details[[#This Row],[Amount]]</f>
        <v>-0.6383928571428571</v>
      </c>
      <c r="M518" s="8">
        <f>YEAR(Order_Details[[#This Row],[Order Date]])</f>
        <v>2018</v>
      </c>
      <c r="N518" s="8">
        <f>ROUNDUP(MONTH(Order_Details[[#This Row],[Order Date]])/3, 0)</f>
        <v>3</v>
      </c>
    </row>
    <row r="519" spans="1:14">
      <c r="A519" s="1" t="s">
        <v>453</v>
      </c>
      <c r="B519" s="1">
        <v>38</v>
      </c>
      <c r="C519" s="1">
        <v>-6</v>
      </c>
      <c r="D519" s="1">
        <v>2</v>
      </c>
      <c r="E519" s="1" t="s">
        <v>1075</v>
      </c>
      <c r="F519" s="1" t="s">
        <v>1116</v>
      </c>
      <c r="G519" s="7" t="str">
        <f>_xlfn.XLOOKUP(Order_Details[[#This Row],[Order ID]], List_of_orders[Order ID], List_of_orders[State])</f>
        <v>Punjab</v>
      </c>
      <c r="H519" s="10">
        <f>_xlfn.XLOOKUP(Order_Details[[#This Row],[Order ID]], List_of_orders[Order ID], List_of_orders[Order Date (Clean)])</f>
        <v>43350</v>
      </c>
      <c r="I519" s="7" t="str">
        <f>_xlfn.XLOOKUP(Order_Details[[#This Row],[Order ID]], List_of_orders[Order ID], List_of_orders[CustomerName])</f>
        <v>Snehal</v>
      </c>
      <c r="J519" s="7" t="str">
        <f>_xlfn.XLOOKUP(Order_Details[[#This Row],[Order ID]], List_of_orders[Order ID], List_of_orders[City])</f>
        <v>Chandigarh</v>
      </c>
      <c r="K519" s="8" t="str">
        <f>TEXT(Order_Details[[#This Row],[Order Date]], "YY-MMM")</f>
        <v>18-Sep</v>
      </c>
      <c r="L519" s="11">
        <f>Order_Details[[#This Row],[Profit]]/Order_Details[[#This Row],[Amount]]</f>
        <v>-0.15789473684210525</v>
      </c>
      <c r="M519" s="8">
        <f>YEAR(Order_Details[[#This Row],[Order Date]])</f>
        <v>2018</v>
      </c>
      <c r="N519" s="8">
        <f>ROUNDUP(MONTH(Order_Details[[#This Row],[Order Date]])/3, 0)</f>
        <v>3</v>
      </c>
    </row>
    <row r="520" spans="1:14">
      <c r="A520" s="1" t="s">
        <v>455</v>
      </c>
      <c r="B520" s="1">
        <v>50</v>
      </c>
      <c r="C520" s="1">
        <v>-17</v>
      </c>
      <c r="D520" s="1">
        <v>2</v>
      </c>
      <c r="E520" s="1" t="s">
        <v>1076</v>
      </c>
      <c r="F520" s="1" t="s">
        <v>1102</v>
      </c>
      <c r="G520" s="7" t="str">
        <f>_xlfn.XLOOKUP(Order_Details[[#This Row],[Order ID]], List_of_orders[Order ID], List_of_orders[State])</f>
        <v>Haryana</v>
      </c>
      <c r="H520" s="10">
        <f>_xlfn.XLOOKUP(Order_Details[[#This Row],[Order ID]], List_of_orders[Order ID], List_of_orders[Order Date (Clean)])</f>
        <v>43351</v>
      </c>
      <c r="I520" s="7" t="str">
        <f>_xlfn.XLOOKUP(Order_Details[[#This Row],[Order ID]], List_of_orders[Order ID], List_of_orders[CustomerName])</f>
        <v>Duhita</v>
      </c>
      <c r="J520" s="7" t="str">
        <f>_xlfn.XLOOKUP(Order_Details[[#This Row],[Order ID]], List_of_orders[Order ID], List_of_orders[City])</f>
        <v>Chandigarh</v>
      </c>
      <c r="K520" s="8" t="str">
        <f>TEXT(Order_Details[[#This Row],[Order Date]], "YY-MMM")</f>
        <v>18-Sep</v>
      </c>
      <c r="L520" s="11">
        <f>Order_Details[[#This Row],[Profit]]/Order_Details[[#This Row],[Amount]]</f>
        <v>-0.34</v>
      </c>
      <c r="M520" s="8">
        <f>YEAR(Order_Details[[#This Row],[Order Date]])</f>
        <v>2018</v>
      </c>
      <c r="N520" s="8">
        <f>ROUNDUP(MONTH(Order_Details[[#This Row],[Order Date]])/3, 0)</f>
        <v>3</v>
      </c>
    </row>
    <row r="521" spans="1:14">
      <c r="A521" s="1" t="s">
        <v>457</v>
      </c>
      <c r="B521" s="1">
        <v>47</v>
      </c>
      <c r="C521" s="1">
        <v>-20</v>
      </c>
      <c r="D521" s="1">
        <v>2</v>
      </c>
      <c r="E521" s="1" t="s">
        <v>1076</v>
      </c>
      <c r="F521" s="1" t="s">
        <v>1109</v>
      </c>
      <c r="G521" s="7" t="str">
        <f>_xlfn.XLOOKUP(Order_Details[[#This Row],[Order ID]], List_of_orders[Order ID], List_of_orders[State])</f>
        <v>Maharashtra</v>
      </c>
      <c r="H521" s="10">
        <f>_xlfn.XLOOKUP(Order_Details[[#This Row],[Order ID]], List_of_orders[Order ID], List_of_orders[Order Date (Clean)])</f>
        <v>43352</v>
      </c>
      <c r="I521" s="7" t="str">
        <f>_xlfn.XLOOKUP(Order_Details[[#This Row],[Order ID]], List_of_orders[Order ID], List_of_orders[CustomerName])</f>
        <v>Mousam</v>
      </c>
      <c r="J521" s="7" t="str">
        <f>_xlfn.XLOOKUP(Order_Details[[#This Row],[Order ID]], List_of_orders[Order ID], List_of_orders[City])</f>
        <v>Mumbai</v>
      </c>
      <c r="K521" s="8" t="str">
        <f>TEXT(Order_Details[[#This Row],[Order Date]], "YY-MMM")</f>
        <v>18-Sep</v>
      </c>
      <c r="L521" s="11">
        <f>Order_Details[[#This Row],[Profit]]/Order_Details[[#This Row],[Amount]]</f>
        <v>-0.42553191489361702</v>
      </c>
      <c r="M521" s="8">
        <f>YEAR(Order_Details[[#This Row],[Order Date]])</f>
        <v>2018</v>
      </c>
      <c r="N521" s="8">
        <f>ROUNDUP(MONTH(Order_Details[[#This Row],[Order Date]])/3, 0)</f>
        <v>3</v>
      </c>
    </row>
    <row r="522" spans="1:14">
      <c r="A522" s="1" t="s">
        <v>459</v>
      </c>
      <c r="B522" s="1">
        <v>61</v>
      </c>
      <c r="C522" s="1">
        <v>-25</v>
      </c>
      <c r="D522" s="1">
        <v>4</v>
      </c>
      <c r="E522" s="1" t="s">
        <v>1077</v>
      </c>
      <c r="F522" s="1" t="s">
        <v>1115</v>
      </c>
      <c r="G522" s="7" t="str">
        <f>_xlfn.XLOOKUP(Order_Details[[#This Row],[Order ID]], List_of_orders[Order ID], List_of_orders[State])</f>
        <v>Madhya Pradesh</v>
      </c>
      <c r="H522" s="10">
        <f>_xlfn.XLOOKUP(Order_Details[[#This Row],[Order ID]], List_of_orders[Order ID], List_of_orders[Order Date (Clean)])</f>
        <v>43353</v>
      </c>
      <c r="I522" s="7" t="str">
        <f>_xlfn.XLOOKUP(Order_Details[[#This Row],[Order ID]], List_of_orders[Order ID], List_of_orders[CustomerName])</f>
        <v>Aditi</v>
      </c>
      <c r="J522" s="7" t="str">
        <f>_xlfn.XLOOKUP(Order_Details[[#This Row],[Order ID]], List_of_orders[Order ID], List_of_orders[City])</f>
        <v>Indore</v>
      </c>
      <c r="K522" s="8" t="str">
        <f>TEXT(Order_Details[[#This Row],[Order Date]], "YY-MMM")</f>
        <v>18-Sep</v>
      </c>
      <c r="L522" s="11">
        <f>Order_Details[[#This Row],[Profit]]/Order_Details[[#This Row],[Amount]]</f>
        <v>-0.4098360655737705</v>
      </c>
      <c r="M522" s="8">
        <f>YEAR(Order_Details[[#This Row],[Order Date]])</f>
        <v>2018</v>
      </c>
      <c r="N522" s="8">
        <f>ROUNDUP(MONTH(Order_Details[[#This Row],[Order Date]])/3, 0)</f>
        <v>3</v>
      </c>
    </row>
    <row r="523" spans="1:14">
      <c r="A523" s="1" t="s">
        <v>459</v>
      </c>
      <c r="B523" s="1">
        <v>69</v>
      </c>
      <c r="C523" s="1">
        <v>-67</v>
      </c>
      <c r="D523" s="1">
        <v>4</v>
      </c>
      <c r="E523" s="1" t="s">
        <v>1076</v>
      </c>
      <c r="F523" s="1" t="s">
        <v>1109</v>
      </c>
      <c r="G523" s="7" t="str">
        <f>_xlfn.XLOOKUP(Order_Details[[#This Row],[Order ID]], List_of_orders[Order ID], List_of_orders[State])</f>
        <v>Madhya Pradesh</v>
      </c>
      <c r="H523" s="10">
        <f>_xlfn.XLOOKUP(Order_Details[[#This Row],[Order ID]], List_of_orders[Order ID], List_of_orders[Order Date (Clean)])</f>
        <v>43353</v>
      </c>
      <c r="I523" s="7" t="str">
        <f>_xlfn.XLOOKUP(Order_Details[[#This Row],[Order ID]], List_of_orders[Order ID], List_of_orders[CustomerName])</f>
        <v>Aditi</v>
      </c>
      <c r="J523" s="7" t="str">
        <f>_xlfn.XLOOKUP(Order_Details[[#This Row],[Order ID]], List_of_orders[Order ID], List_of_orders[City])</f>
        <v>Indore</v>
      </c>
      <c r="K523" s="8" t="str">
        <f>TEXT(Order_Details[[#This Row],[Order Date]], "YY-MMM")</f>
        <v>18-Sep</v>
      </c>
      <c r="L523" s="11">
        <f>Order_Details[[#This Row],[Profit]]/Order_Details[[#This Row],[Amount]]</f>
        <v>-0.97101449275362317</v>
      </c>
      <c r="M523" s="8">
        <f>YEAR(Order_Details[[#This Row],[Order Date]])</f>
        <v>2018</v>
      </c>
      <c r="N523" s="8">
        <f>ROUNDUP(MONTH(Order_Details[[#This Row],[Order Date]])/3, 0)</f>
        <v>3</v>
      </c>
    </row>
    <row r="524" spans="1:14">
      <c r="A524" s="1" t="s">
        <v>459</v>
      </c>
      <c r="B524" s="1">
        <v>59</v>
      </c>
      <c r="C524" s="1">
        <v>-46</v>
      </c>
      <c r="D524" s="1">
        <v>7</v>
      </c>
      <c r="E524" s="1" t="s">
        <v>1076</v>
      </c>
      <c r="F524" s="1" t="s">
        <v>1110</v>
      </c>
      <c r="G524" s="7" t="str">
        <f>_xlfn.XLOOKUP(Order_Details[[#This Row],[Order ID]], List_of_orders[Order ID], List_of_orders[State])</f>
        <v>Madhya Pradesh</v>
      </c>
      <c r="H524" s="10">
        <f>_xlfn.XLOOKUP(Order_Details[[#This Row],[Order ID]], List_of_orders[Order ID], List_of_orders[Order Date (Clean)])</f>
        <v>43353</v>
      </c>
      <c r="I524" s="7" t="str">
        <f>_xlfn.XLOOKUP(Order_Details[[#This Row],[Order ID]], List_of_orders[Order ID], List_of_orders[CustomerName])</f>
        <v>Aditi</v>
      </c>
      <c r="J524" s="7" t="str">
        <f>_xlfn.XLOOKUP(Order_Details[[#This Row],[Order ID]], List_of_orders[Order ID], List_of_orders[City])</f>
        <v>Indore</v>
      </c>
      <c r="K524" s="8" t="str">
        <f>TEXT(Order_Details[[#This Row],[Order Date]], "YY-MMM")</f>
        <v>18-Sep</v>
      </c>
      <c r="L524" s="11">
        <f>Order_Details[[#This Row],[Profit]]/Order_Details[[#This Row],[Amount]]</f>
        <v>-0.77966101694915257</v>
      </c>
      <c r="M524" s="8">
        <f>YEAR(Order_Details[[#This Row],[Order Date]])</f>
        <v>2018</v>
      </c>
      <c r="N524" s="8">
        <f>ROUNDUP(MONTH(Order_Details[[#This Row],[Order Date]])/3, 0)</f>
        <v>3</v>
      </c>
    </row>
    <row r="525" spans="1:14">
      <c r="A525" s="1" t="s">
        <v>459</v>
      </c>
      <c r="B525" s="1">
        <v>117</v>
      </c>
      <c r="C525" s="1">
        <v>17</v>
      </c>
      <c r="D525" s="1">
        <v>6</v>
      </c>
      <c r="E525" s="1" t="s">
        <v>1076</v>
      </c>
      <c r="F525" s="1" t="s">
        <v>1109</v>
      </c>
      <c r="G525" s="7" t="str">
        <f>_xlfn.XLOOKUP(Order_Details[[#This Row],[Order ID]], List_of_orders[Order ID], List_of_orders[State])</f>
        <v>Madhya Pradesh</v>
      </c>
      <c r="H525" s="10">
        <f>_xlfn.XLOOKUP(Order_Details[[#This Row],[Order ID]], List_of_orders[Order ID], List_of_orders[Order Date (Clean)])</f>
        <v>43353</v>
      </c>
      <c r="I525" s="7" t="str">
        <f>_xlfn.XLOOKUP(Order_Details[[#This Row],[Order ID]], List_of_orders[Order ID], List_of_orders[CustomerName])</f>
        <v>Aditi</v>
      </c>
      <c r="J525" s="7" t="str">
        <f>_xlfn.XLOOKUP(Order_Details[[#This Row],[Order ID]], List_of_orders[Order ID], List_of_orders[City])</f>
        <v>Indore</v>
      </c>
      <c r="K525" s="8" t="str">
        <f>TEXT(Order_Details[[#This Row],[Order Date]], "YY-MMM")</f>
        <v>18-Sep</v>
      </c>
      <c r="L525" s="11">
        <f>Order_Details[[#This Row],[Profit]]/Order_Details[[#This Row],[Amount]]</f>
        <v>0.14529914529914531</v>
      </c>
      <c r="M525" s="8">
        <f>YEAR(Order_Details[[#This Row],[Order Date]])</f>
        <v>2018</v>
      </c>
      <c r="N525" s="8">
        <f>ROUNDUP(MONTH(Order_Details[[#This Row],[Order Date]])/3, 0)</f>
        <v>3</v>
      </c>
    </row>
    <row r="526" spans="1:14">
      <c r="A526" s="1" t="s">
        <v>459</v>
      </c>
      <c r="B526" s="1">
        <v>1076</v>
      </c>
      <c r="C526" s="1">
        <v>-38</v>
      </c>
      <c r="D526" s="1">
        <v>4</v>
      </c>
      <c r="E526" s="1" t="s">
        <v>1077</v>
      </c>
      <c r="F526" s="1" t="s">
        <v>1114</v>
      </c>
      <c r="G526" s="7" t="str">
        <f>_xlfn.XLOOKUP(Order_Details[[#This Row],[Order ID]], List_of_orders[Order ID], List_of_orders[State])</f>
        <v>Madhya Pradesh</v>
      </c>
      <c r="H526" s="10">
        <f>_xlfn.XLOOKUP(Order_Details[[#This Row],[Order ID]], List_of_orders[Order ID], List_of_orders[Order Date (Clean)])</f>
        <v>43353</v>
      </c>
      <c r="I526" s="7" t="str">
        <f>_xlfn.XLOOKUP(Order_Details[[#This Row],[Order ID]], List_of_orders[Order ID], List_of_orders[CustomerName])</f>
        <v>Aditi</v>
      </c>
      <c r="J526" s="7" t="str">
        <f>_xlfn.XLOOKUP(Order_Details[[#This Row],[Order ID]], List_of_orders[Order ID], List_of_orders[City])</f>
        <v>Indore</v>
      </c>
      <c r="K526" s="8" t="str">
        <f>TEXT(Order_Details[[#This Row],[Order Date]], "YY-MMM")</f>
        <v>18-Sep</v>
      </c>
      <c r="L526" s="11">
        <f>Order_Details[[#This Row],[Profit]]/Order_Details[[#This Row],[Amount]]</f>
        <v>-3.5315985130111527E-2</v>
      </c>
      <c r="M526" s="8">
        <f>YEAR(Order_Details[[#This Row],[Order Date]])</f>
        <v>2018</v>
      </c>
      <c r="N526" s="8">
        <f>ROUNDUP(MONTH(Order_Details[[#This Row],[Order Date]])/3, 0)</f>
        <v>3</v>
      </c>
    </row>
    <row r="527" spans="1:14">
      <c r="A527" s="1" t="s">
        <v>461</v>
      </c>
      <c r="B527" s="1">
        <v>1506</v>
      </c>
      <c r="C527" s="1">
        <v>-266</v>
      </c>
      <c r="D527" s="1">
        <v>6</v>
      </c>
      <c r="E527" s="1" t="s">
        <v>1077</v>
      </c>
      <c r="F527" s="1" t="s">
        <v>1114</v>
      </c>
      <c r="G527" s="7" t="str">
        <f>_xlfn.XLOOKUP(Order_Details[[#This Row],[Order ID]], List_of_orders[Order ID], List_of_orders[State])</f>
        <v>Maharashtra</v>
      </c>
      <c r="H527" s="10">
        <f>_xlfn.XLOOKUP(Order_Details[[#This Row],[Order ID]], List_of_orders[Order ID], List_of_orders[Order Date (Clean)])</f>
        <v>43354</v>
      </c>
      <c r="I527" s="7" t="str">
        <f>_xlfn.XLOOKUP(Order_Details[[#This Row],[Order ID]], List_of_orders[Order ID], List_of_orders[CustomerName])</f>
        <v>Surabhi</v>
      </c>
      <c r="J527" s="7" t="str">
        <f>_xlfn.XLOOKUP(Order_Details[[#This Row],[Order ID]], List_of_orders[Order ID], List_of_orders[City])</f>
        <v>Mumbai</v>
      </c>
      <c r="K527" s="8" t="str">
        <f>TEXT(Order_Details[[#This Row],[Order Date]], "YY-MMM")</f>
        <v>18-Sep</v>
      </c>
      <c r="L527" s="11">
        <f>Order_Details[[#This Row],[Profit]]/Order_Details[[#This Row],[Amount]]</f>
        <v>-0.17662682602921648</v>
      </c>
      <c r="M527" s="8">
        <f>YEAR(Order_Details[[#This Row],[Order Date]])</f>
        <v>2018</v>
      </c>
      <c r="N527" s="8">
        <f>ROUNDUP(MONTH(Order_Details[[#This Row],[Order Date]])/3, 0)</f>
        <v>3</v>
      </c>
    </row>
    <row r="528" spans="1:14">
      <c r="A528" s="1" t="s">
        <v>461</v>
      </c>
      <c r="B528" s="1">
        <v>109</v>
      </c>
      <c r="C528" s="1">
        <v>-6</v>
      </c>
      <c r="D528" s="1">
        <v>6</v>
      </c>
      <c r="E528" s="1" t="s">
        <v>1076</v>
      </c>
      <c r="F528" s="1" t="s">
        <v>1106</v>
      </c>
      <c r="G528" s="7" t="str">
        <f>_xlfn.XLOOKUP(Order_Details[[#This Row],[Order ID]], List_of_orders[Order ID], List_of_orders[State])</f>
        <v>Maharashtra</v>
      </c>
      <c r="H528" s="10">
        <f>_xlfn.XLOOKUP(Order_Details[[#This Row],[Order ID]], List_of_orders[Order ID], List_of_orders[Order Date (Clean)])</f>
        <v>43354</v>
      </c>
      <c r="I528" s="7" t="str">
        <f>_xlfn.XLOOKUP(Order_Details[[#This Row],[Order ID]], List_of_orders[Order ID], List_of_orders[CustomerName])</f>
        <v>Surabhi</v>
      </c>
      <c r="J528" s="7" t="str">
        <f>_xlfn.XLOOKUP(Order_Details[[#This Row],[Order ID]], List_of_orders[Order ID], List_of_orders[City])</f>
        <v>Mumbai</v>
      </c>
      <c r="K528" s="8" t="str">
        <f>TEXT(Order_Details[[#This Row],[Order Date]], "YY-MMM")</f>
        <v>18-Sep</v>
      </c>
      <c r="L528" s="11">
        <f>Order_Details[[#This Row],[Profit]]/Order_Details[[#This Row],[Amount]]</f>
        <v>-5.5045871559633031E-2</v>
      </c>
      <c r="M528" s="8">
        <f>YEAR(Order_Details[[#This Row],[Order Date]])</f>
        <v>2018</v>
      </c>
      <c r="N528" s="8">
        <f>ROUNDUP(MONTH(Order_Details[[#This Row],[Order Date]])/3, 0)</f>
        <v>3</v>
      </c>
    </row>
    <row r="529" spans="1:14">
      <c r="A529" s="1" t="s">
        <v>461</v>
      </c>
      <c r="B529" s="1">
        <v>933</v>
      </c>
      <c r="C529" s="1">
        <v>166</v>
      </c>
      <c r="D529" s="1">
        <v>5</v>
      </c>
      <c r="E529" s="1" t="s">
        <v>1076</v>
      </c>
      <c r="F529" s="1" t="s">
        <v>1106</v>
      </c>
      <c r="G529" s="7" t="str">
        <f>_xlfn.XLOOKUP(Order_Details[[#This Row],[Order ID]], List_of_orders[Order ID], List_of_orders[State])</f>
        <v>Maharashtra</v>
      </c>
      <c r="H529" s="10">
        <f>_xlfn.XLOOKUP(Order_Details[[#This Row],[Order ID]], List_of_orders[Order ID], List_of_orders[Order Date (Clean)])</f>
        <v>43354</v>
      </c>
      <c r="I529" s="7" t="str">
        <f>_xlfn.XLOOKUP(Order_Details[[#This Row],[Order ID]], List_of_orders[Order ID], List_of_orders[CustomerName])</f>
        <v>Surabhi</v>
      </c>
      <c r="J529" s="7" t="str">
        <f>_xlfn.XLOOKUP(Order_Details[[#This Row],[Order ID]], List_of_orders[Order ID], List_of_orders[City])</f>
        <v>Mumbai</v>
      </c>
      <c r="K529" s="8" t="str">
        <f>TEXT(Order_Details[[#This Row],[Order Date]], "YY-MMM")</f>
        <v>18-Sep</v>
      </c>
      <c r="L529" s="11">
        <f>Order_Details[[#This Row],[Profit]]/Order_Details[[#This Row],[Amount]]</f>
        <v>0.17792068595927116</v>
      </c>
      <c r="M529" s="8">
        <f>YEAR(Order_Details[[#This Row],[Order Date]])</f>
        <v>2018</v>
      </c>
      <c r="N529" s="8">
        <f>ROUNDUP(MONTH(Order_Details[[#This Row],[Order Date]])/3, 0)</f>
        <v>3</v>
      </c>
    </row>
    <row r="530" spans="1:14">
      <c r="A530" s="1" t="s">
        <v>461</v>
      </c>
      <c r="B530" s="1">
        <v>724</v>
      </c>
      <c r="C530" s="1">
        <v>-447</v>
      </c>
      <c r="D530" s="1">
        <v>4</v>
      </c>
      <c r="E530" s="1" t="s">
        <v>1077</v>
      </c>
      <c r="F530" s="1" t="s">
        <v>1104</v>
      </c>
      <c r="G530" s="7" t="str">
        <f>_xlfn.XLOOKUP(Order_Details[[#This Row],[Order ID]], List_of_orders[Order ID], List_of_orders[State])</f>
        <v>Maharashtra</v>
      </c>
      <c r="H530" s="10">
        <f>_xlfn.XLOOKUP(Order_Details[[#This Row],[Order ID]], List_of_orders[Order ID], List_of_orders[Order Date (Clean)])</f>
        <v>43354</v>
      </c>
      <c r="I530" s="7" t="str">
        <f>_xlfn.XLOOKUP(Order_Details[[#This Row],[Order ID]], List_of_orders[Order ID], List_of_orders[CustomerName])</f>
        <v>Surabhi</v>
      </c>
      <c r="J530" s="7" t="str">
        <f>_xlfn.XLOOKUP(Order_Details[[#This Row],[Order ID]], List_of_orders[Order ID], List_of_orders[City])</f>
        <v>Mumbai</v>
      </c>
      <c r="K530" s="8" t="str">
        <f>TEXT(Order_Details[[#This Row],[Order Date]], "YY-MMM")</f>
        <v>18-Sep</v>
      </c>
      <c r="L530" s="11">
        <f>Order_Details[[#This Row],[Profit]]/Order_Details[[#This Row],[Amount]]</f>
        <v>-0.61740331491712708</v>
      </c>
      <c r="M530" s="8">
        <f>YEAR(Order_Details[[#This Row],[Order Date]])</f>
        <v>2018</v>
      </c>
      <c r="N530" s="8">
        <f>ROUNDUP(MONTH(Order_Details[[#This Row],[Order Date]])/3, 0)</f>
        <v>3</v>
      </c>
    </row>
    <row r="531" spans="1:14">
      <c r="A531" s="1" t="s">
        <v>462</v>
      </c>
      <c r="B531" s="1">
        <v>1361</v>
      </c>
      <c r="C531" s="1">
        <v>-980</v>
      </c>
      <c r="D531" s="1">
        <v>3</v>
      </c>
      <c r="E531" s="1" t="s">
        <v>1075</v>
      </c>
      <c r="F531" s="1" t="s">
        <v>1113</v>
      </c>
      <c r="G531" s="7" t="str">
        <f>_xlfn.XLOOKUP(Order_Details[[#This Row],[Order ID]], List_of_orders[Order ID], List_of_orders[State])</f>
        <v>Madhya Pradesh</v>
      </c>
      <c r="H531" s="10">
        <f>_xlfn.XLOOKUP(Order_Details[[#This Row],[Order ID]], List_of_orders[Order ID], List_of_orders[Order Date (Clean)])</f>
        <v>43355</v>
      </c>
      <c r="I531" s="7" t="str">
        <f>_xlfn.XLOOKUP(Order_Details[[#This Row],[Order ID]], List_of_orders[Order ID], List_of_orders[CustomerName])</f>
        <v>Savi</v>
      </c>
      <c r="J531" s="7" t="str">
        <f>_xlfn.XLOOKUP(Order_Details[[#This Row],[Order ID]], List_of_orders[Order ID], List_of_orders[City])</f>
        <v>Indore</v>
      </c>
      <c r="K531" s="8" t="str">
        <f>TEXT(Order_Details[[#This Row],[Order Date]], "YY-MMM")</f>
        <v>18-Sep</v>
      </c>
      <c r="L531" s="11">
        <f>Order_Details[[#This Row],[Profit]]/Order_Details[[#This Row],[Amount]]</f>
        <v>-0.7200587803085966</v>
      </c>
      <c r="M531" s="8">
        <f>YEAR(Order_Details[[#This Row],[Order Date]])</f>
        <v>2018</v>
      </c>
      <c r="N531" s="8">
        <f>ROUNDUP(MONTH(Order_Details[[#This Row],[Order Date]])/3, 0)</f>
        <v>3</v>
      </c>
    </row>
    <row r="532" spans="1:14">
      <c r="A532" s="1" t="s">
        <v>464</v>
      </c>
      <c r="B532" s="1">
        <v>137</v>
      </c>
      <c r="C532" s="1">
        <v>-41</v>
      </c>
      <c r="D532" s="1">
        <v>3</v>
      </c>
      <c r="E532" s="1" t="s">
        <v>1077</v>
      </c>
      <c r="F532" s="1" t="s">
        <v>1105</v>
      </c>
      <c r="G532" s="7" t="str">
        <f>_xlfn.XLOOKUP(Order_Details[[#This Row],[Order ID]], List_of_orders[Order ID], List_of_orders[State])</f>
        <v>Andhra Pradesh</v>
      </c>
      <c r="H532" s="10">
        <f>_xlfn.XLOOKUP(Order_Details[[#This Row],[Order ID]], List_of_orders[Order ID], List_of_orders[Order Date (Clean)])</f>
        <v>43356</v>
      </c>
      <c r="I532" s="7" t="str">
        <f>_xlfn.XLOOKUP(Order_Details[[#This Row],[Order ID]], List_of_orders[Order ID], List_of_orders[CustomerName])</f>
        <v>Teena</v>
      </c>
      <c r="J532" s="7" t="str">
        <f>_xlfn.XLOOKUP(Order_Details[[#This Row],[Order ID]], List_of_orders[Order ID], List_of_orders[City])</f>
        <v>Hyderabad</v>
      </c>
      <c r="K532" s="8" t="str">
        <f>TEXT(Order_Details[[#This Row],[Order Date]], "YY-MMM")</f>
        <v>18-Sep</v>
      </c>
      <c r="L532" s="11">
        <f>Order_Details[[#This Row],[Profit]]/Order_Details[[#This Row],[Amount]]</f>
        <v>-0.29927007299270075</v>
      </c>
      <c r="M532" s="8">
        <f>YEAR(Order_Details[[#This Row],[Order Date]])</f>
        <v>2018</v>
      </c>
      <c r="N532" s="8">
        <f>ROUNDUP(MONTH(Order_Details[[#This Row],[Order Date]])/3, 0)</f>
        <v>3</v>
      </c>
    </row>
    <row r="533" spans="1:14">
      <c r="A533" s="1" t="s">
        <v>467</v>
      </c>
      <c r="B533" s="1">
        <v>60</v>
      </c>
      <c r="C533" s="1">
        <v>-49</v>
      </c>
      <c r="D533" s="1">
        <v>8</v>
      </c>
      <c r="E533" s="1" t="s">
        <v>1076</v>
      </c>
      <c r="F533" s="1" t="s">
        <v>1103</v>
      </c>
      <c r="G533" s="7" t="str">
        <f>_xlfn.XLOOKUP(Order_Details[[#This Row],[Order ID]], List_of_orders[Order ID], List_of_orders[State])</f>
        <v>Gujarat</v>
      </c>
      <c r="H533" s="10">
        <f>_xlfn.XLOOKUP(Order_Details[[#This Row],[Order ID]], List_of_orders[Order ID], List_of_orders[Order Date (Clean)])</f>
        <v>43357</v>
      </c>
      <c r="I533" s="7" t="str">
        <f>_xlfn.XLOOKUP(Order_Details[[#This Row],[Order ID]], List_of_orders[Order ID], List_of_orders[CustomerName])</f>
        <v>Rutuja</v>
      </c>
      <c r="J533" s="7" t="str">
        <f>_xlfn.XLOOKUP(Order_Details[[#This Row],[Order ID]], List_of_orders[Order ID], List_of_orders[City])</f>
        <v>Ahmedabad</v>
      </c>
      <c r="K533" s="8" t="str">
        <f>TEXT(Order_Details[[#This Row],[Order Date]], "YY-MMM")</f>
        <v>18-Sep</v>
      </c>
      <c r="L533" s="11">
        <f>Order_Details[[#This Row],[Profit]]/Order_Details[[#This Row],[Amount]]</f>
        <v>-0.81666666666666665</v>
      </c>
      <c r="M533" s="8">
        <f>YEAR(Order_Details[[#This Row],[Order Date]])</f>
        <v>2018</v>
      </c>
      <c r="N533" s="8">
        <f>ROUNDUP(MONTH(Order_Details[[#This Row],[Order Date]])/3, 0)</f>
        <v>3</v>
      </c>
    </row>
    <row r="534" spans="1:14">
      <c r="A534" s="1" t="s">
        <v>467</v>
      </c>
      <c r="B534" s="1">
        <v>30</v>
      </c>
      <c r="C534" s="1">
        <v>-25</v>
      </c>
      <c r="D534" s="1">
        <v>2</v>
      </c>
      <c r="E534" s="1" t="s">
        <v>1076</v>
      </c>
      <c r="F534" s="1" t="s">
        <v>1110</v>
      </c>
      <c r="G534" s="7" t="str">
        <f>_xlfn.XLOOKUP(Order_Details[[#This Row],[Order ID]], List_of_orders[Order ID], List_of_orders[State])</f>
        <v>Gujarat</v>
      </c>
      <c r="H534" s="10">
        <f>_xlfn.XLOOKUP(Order_Details[[#This Row],[Order ID]], List_of_orders[Order ID], List_of_orders[Order Date (Clean)])</f>
        <v>43357</v>
      </c>
      <c r="I534" s="7" t="str">
        <f>_xlfn.XLOOKUP(Order_Details[[#This Row],[Order ID]], List_of_orders[Order ID], List_of_orders[CustomerName])</f>
        <v>Rutuja</v>
      </c>
      <c r="J534" s="7" t="str">
        <f>_xlfn.XLOOKUP(Order_Details[[#This Row],[Order ID]], List_of_orders[Order ID], List_of_orders[City])</f>
        <v>Ahmedabad</v>
      </c>
      <c r="K534" s="8" t="str">
        <f>TEXT(Order_Details[[#This Row],[Order Date]], "YY-MMM")</f>
        <v>18-Sep</v>
      </c>
      <c r="L534" s="11">
        <f>Order_Details[[#This Row],[Profit]]/Order_Details[[#This Row],[Amount]]</f>
        <v>-0.83333333333333337</v>
      </c>
      <c r="M534" s="8">
        <f>YEAR(Order_Details[[#This Row],[Order Date]])</f>
        <v>2018</v>
      </c>
      <c r="N534" s="8">
        <f>ROUNDUP(MONTH(Order_Details[[#This Row],[Order Date]])/3, 0)</f>
        <v>3</v>
      </c>
    </row>
    <row r="535" spans="1:14">
      <c r="A535" s="1" t="s">
        <v>467</v>
      </c>
      <c r="B535" s="1">
        <v>767</v>
      </c>
      <c r="C535" s="1">
        <v>-353</v>
      </c>
      <c r="D535" s="1">
        <v>5</v>
      </c>
      <c r="E535" s="1" t="s">
        <v>1076</v>
      </c>
      <c r="F535" s="1" t="s">
        <v>1107</v>
      </c>
      <c r="G535" s="7" t="str">
        <f>_xlfn.XLOOKUP(Order_Details[[#This Row],[Order ID]], List_of_orders[Order ID], List_of_orders[State])</f>
        <v>Gujarat</v>
      </c>
      <c r="H535" s="10">
        <f>_xlfn.XLOOKUP(Order_Details[[#This Row],[Order ID]], List_of_orders[Order ID], List_of_orders[Order Date (Clean)])</f>
        <v>43357</v>
      </c>
      <c r="I535" s="7" t="str">
        <f>_xlfn.XLOOKUP(Order_Details[[#This Row],[Order ID]], List_of_orders[Order ID], List_of_orders[CustomerName])</f>
        <v>Rutuja</v>
      </c>
      <c r="J535" s="7" t="str">
        <f>_xlfn.XLOOKUP(Order_Details[[#This Row],[Order ID]], List_of_orders[Order ID], List_of_orders[City])</f>
        <v>Ahmedabad</v>
      </c>
      <c r="K535" s="8" t="str">
        <f>TEXT(Order_Details[[#This Row],[Order Date]], "YY-MMM")</f>
        <v>18-Sep</v>
      </c>
      <c r="L535" s="11">
        <f>Order_Details[[#This Row],[Profit]]/Order_Details[[#This Row],[Amount]]</f>
        <v>-0.46023468057366362</v>
      </c>
      <c r="M535" s="8">
        <f>YEAR(Order_Details[[#This Row],[Order Date]])</f>
        <v>2018</v>
      </c>
      <c r="N535" s="8">
        <f>ROUNDUP(MONTH(Order_Details[[#This Row],[Order Date]])/3, 0)</f>
        <v>3</v>
      </c>
    </row>
    <row r="536" spans="1:14">
      <c r="A536" s="1" t="s">
        <v>467</v>
      </c>
      <c r="B536" s="1">
        <v>45</v>
      </c>
      <c r="C536" s="1">
        <v>-28</v>
      </c>
      <c r="D536" s="1">
        <v>2</v>
      </c>
      <c r="E536" s="1" t="s">
        <v>1076</v>
      </c>
      <c r="F536" s="1" t="s">
        <v>1102</v>
      </c>
      <c r="G536" s="7" t="str">
        <f>_xlfn.XLOOKUP(Order_Details[[#This Row],[Order ID]], List_of_orders[Order ID], List_of_orders[State])</f>
        <v>Gujarat</v>
      </c>
      <c r="H536" s="10">
        <f>_xlfn.XLOOKUP(Order_Details[[#This Row],[Order ID]], List_of_orders[Order ID], List_of_orders[Order Date (Clean)])</f>
        <v>43357</v>
      </c>
      <c r="I536" s="7" t="str">
        <f>_xlfn.XLOOKUP(Order_Details[[#This Row],[Order ID]], List_of_orders[Order ID], List_of_orders[CustomerName])</f>
        <v>Rutuja</v>
      </c>
      <c r="J536" s="7" t="str">
        <f>_xlfn.XLOOKUP(Order_Details[[#This Row],[Order ID]], List_of_orders[Order ID], List_of_orders[City])</f>
        <v>Ahmedabad</v>
      </c>
      <c r="K536" s="8" t="str">
        <f>TEXT(Order_Details[[#This Row],[Order Date]], "YY-MMM")</f>
        <v>18-Sep</v>
      </c>
      <c r="L536" s="11">
        <f>Order_Details[[#This Row],[Profit]]/Order_Details[[#This Row],[Amount]]</f>
        <v>-0.62222222222222223</v>
      </c>
      <c r="M536" s="8">
        <f>YEAR(Order_Details[[#This Row],[Order Date]])</f>
        <v>2018</v>
      </c>
      <c r="N536" s="8">
        <f>ROUNDUP(MONTH(Order_Details[[#This Row],[Order Date]])/3, 0)</f>
        <v>3</v>
      </c>
    </row>
    <row r="537" spans="1:14">
      <c r="A537" s="1" t="s">
        <v>467</v>
      </c>
      <c r="B537" s="1">
        <v>25</v>
      </c>
      <c r="C537" s="1">
        <v>-1</v>
      </c>
      <c r="D537" s="1">
        <v>4</v>
      </c>
      <c r="E537" s="1" t="s">
        <v>1076</v>
      </c>
      <c r="F537" s="1" t="s">
        <v>1109</v>
      </c>
      <c r="G537" s="7" t="str">
        <f>_xlfn.XLOOKUP(Order_Details[[#This Row],[Order ID]], List_of_orders[Order ID], List_of_orders[State])</f>
        <v>Gujarat</v>
      </c>
      <c r="H537" s="10">
        <f>_xlfn.XLOOKUP(Order_Details[[#This Row],[Order ID]], List_of_orders[Order ID], List_of_orders[Order Date (Clean)])</f>
        <v>43357</v>
      </c>
      <c r="I537" s="7" t="str">
        <f>_xlfn.XLOOKUP(Order_Details[[#This Row],[Order ID]], List_of_orders[Order ID], List_of_orders[CustomerName])</f>
        <v>Rutuja</v>
      </c>
      <c r="J537" s="7" t="str">
        <f>_xlfn.XLOOKUP(Order_Details[[#This Row],[Order ID]], List_of_orders[Order ID], List_of_orders[City])</f>
        <v>Ahmedabad</v>
      </c>
      <c r="K537" s="8" t="str">
        <f>TEXT(Order_Details[[#This Row],[Order Date]], "YY-MMM")</f>
        <v>18-Sep</v>
      </c>
      <c r="L537" s="11">
        <f>Order_Details[[#This Row],[Profit]]/Order_Details[[#This Row],[Amount]]</f>
        <v>-0.04</v>
      </c>
      <c r="M537" s="8">
        <f>YEAR(Order_Details[[#This Row],[Order Date]])</f>
        <v>2018</v>
      </c>
      <c r="N537" s="8">
        <f>ROUNDUP(MONTH(Order_Details[[#This Row],[Order Date]])/3, 0)</f>
        <v>3</v>
      </c>
    </row>
    <row r="538" spans="1:14">
      <c r="A538" s="1" t="s">
        <v>467</v>
      </c>
      <c r="B538" s="1">
        <v>584</v>
      </c>
      <c r="C538" s="1">
        <v>-444</v>
      </c>
      <c r="D538" s="1">
        <v>7</v>
      </c>
      <c r="E538" s="1" t="s">
        <v>1077</v>
      </c>
      <c r="F538" s="1" t="s">
        <v>1114</v>
      </c>
      <c r="G538" s="7" t="str">
        <f>_xlfn.XLOOKUP(Order_Details[[#This Row],[Order ID]], List_of_orders[Order ID], List_of_orders[State])</f>
        <v>Gujarat</v>
      </c>
      <c r="H538" s="10">
        <f>_xlfn.XLOOKUP(Order_Details[[#This Row],[Order ID]], List_of_orders[Order ID], List_of_orders[Order Date (Clean)])</f>
        <v>43357</v>
      </c>
      <c r="I538" s="7" t="str">
        <f>_xlfn.XLOOKUP(Order_Details[[#This Row],[Order ID]], List_of_orders[Order ID], List_of_orders[CustomerName])</f>
        <v>Rutuja</v>
      </c>
      <c r="J538" s="7" t="str">
        <f>_xlfn.XLOOKUP(Order_Details[[#This Row],[Order ID]], List_of_orders[Order ID], List_of_orders[City])</f>
        <v>Ahmedabad</v>
      </c>
      <c r="K538" s="8" t="str">
        <f>TEXT(Order_Details[[#This Row],[Order Date]], "YY-MMM")</f>
        <v>18-Sep</v>
      </c>
      <c r="L538" s="11">
        <f>Order_Details[[#This Row],[Profit]]/Order_Details[[#This Row],[Amount]]</f>
        <v>-0.76027397260273977</v>
      </c>
      <c r="M538" s="8">
        <f>YEAR(Order_Details[[#This Row],[Order Date]])</f>
        <v>2018</v>
      </c>
      <c r="N538" s="8">
        <f>ROUNDUP(MONTH(Order_Details[[#This Row],[Order Date]])/3, 0)</f>
        <v>3</v>
      </c>
    </row>
    <row r="539" spans="1:14">
      <c r="A539" s="1" t="s">
        <v>470</v>
      </c>
      <c r="B539" s="1">
        <v>335</v>
      </c>
      <c r="C539" s="1">
        <v>-22</v>
      </c>
      <c r="D539" s="1">
        <v>7</v>
      </c>
      <c r="E539" s="1" t="s">
        <v>1075</v>
      </c>
      <c r="F539" s="1" t="s">
        <v>1108</v>
      </c>
      <c r="G539" s="7" t="str">
        <f>_xlfn.XLOOKUP(Order_Details[[#This Row],[Order ID]], List_of_orders[Order ID], List_of_orders[State])</f>
        <v>Maharashtra</v>
      </c>
      <c r="H539" s="10">
        <f>_xlfn.XLOOKUP(Order_Details[[#This Row],[Order ID]], List_of_orders[Order ID], List_of_orders[Order Date (Clean)])</f>
        <v>43358</v>
      </c>
      <c r="I539" s="7" t="str">
        <f>_xlfn.XLOOKUP(Order_Details[[#This Row],[Order ID]], List_of_orders[Order ID], List_of_orders[CustomerName])</f>
        <v>Aayushi</v>
      </c>
      <c r="J539" s="7" t="str">
        <f>_xlfn.XLOOKUP(Order_Details[[#This Row],[Order ID]], List_of_orders[Order ID], List_of_orders[City])</f>
        <v>Mumbai</v>
      </c>
      <c r="K539" s="8" t="str">
        <f>TEXT(Order_Details[[#This Row],[Order Date]], "YY-MMM")</f>
        <v>18-Sep</v>
      </c>
      <c r="L539" s="11">
        <f>Order_Details[[#This Row],[Profit]]/Order_Details[[#This Row],[Amount]]</f>
        <v>-6.5671641791044774E-2</v>
      </c>
      <c r="M539" s="8">
        <f>YEAR(Order_Details[[#This Row],[Order Date]])</f>
        <v>2018</v>
      </c>
      <c r="N539" s="8">
        <f>ROUNDUP(MONTH(Order_Details[[#This Row],[Order Date]])/3, 0)</f>
        <v>3</v>
      </c>
    </row>
    <row r="540" spans="1:14">
      <c r="A540" s="1" t="s">
        <v>472</v>
      </c>
      <c r="B540" s="1">
        <v>25</v>
      </c>
      <c r="C540" s="1">
        <v>-11</v>
      </c>
      <c r="D540" s="1">
        <v>1</v>
      </c>
      <c r="E540" s="1" t="s">
        <v>1076</v>
      </c>
      <c r="F540" s="1" t="s">
        <v>1102</v>
      </c>
      <c r="G540" s="7" t="str">
        <f>_xlfn.XLOOKUP(Order_Details[[#This Row],[Order ID]], List_of_orders[Order ID], List_of_orders[State])</f>
        <v>Madhya Pradesh</v>
      </c>
      <c r="H540" s="10">
        <f>_xlfn.XLOOKUP(Order_Details[[#This Row],[Order ID]], List_of_orders[Order ID], List_of_orders[Order Date (Clean)])</f>
        <v>43358</v>
      </c>
      <c r="I540" s="7" t="str">
        <f>_xlfn.XLOOKUP(Order_Details[[#This Row],[Order ID]], List_of_orders[Order ID], List_of_orders[CustomerName])</f>
        <v>Shivangi</v>
      </c>
      <c r="J540" s="7" t="str">
        <f>_xlfn.XLOOKUP(Order_Details[[#This Row],[Order ID]], List_of_orders[Order ID], List_of_orders[City])</f>
        <v>Indore</v>
      </c>
      <c r="K540" s="8" t="str">
        <f>TEXT(Order_Details[[#This Row],[Order Date]], "YY-MMM")</f>
        <v>18-Sep</v>
      </c>
      <c r="L540" s="11">
        <f>Order_Details[[#This Row],[Profit]]/Order_Details[[#This Row],[Amount]]</f>
        <v>-0.44</v>
      </c>
      <c r="M540" s="8">
        <f>YEAR(Order_Details[[#This Row],[Order Date]])</f>
        <v>2018</v>
      </c>
      <c r="N540" s="8">
        <f>ROUNDUP(MONTH(Order_Details[[#This Row],[Order Date]])/3, 0)</f>
        <v>3</v>
      </c>
    </row>
    <row r="541" spans="1:14">
      <c r="A541" s="1" t="s">
        <v>472</v>
      </c>
      <c r="B541" s="1">
        <v>30</v>
      </c>
      <c r="C541" s="1">
        <v>-6</v>
      </c>
      <c r="D541" s="1">
        <v>2</v>
      </c>
      <c r="E541" s="1" t="s">
        <v>1076</v>
      </c>
      <c r="F541" s="1" t="s">
        <v>1103</v>
      </c>
      <c r="G541" s="7" t="str">
        <f>_xlfn.XLOOKUP(Order_Details[[#This Row],[Order ID]], List_of_orders[Order ID], List_of_orders[State])</f>
        <v>Madhya Pradesh</v>
      </c>
      <c r="H541" s="10">
        <f>_xlfn.XLOOKUP(Order_Details[[#This Row],[Order ID]], List_of_orders[Order ID], List_of_orders[Order Date (Clean)])</f>
        <v>43358</v>
      </c>
      <c r="I541" s="7" t="str">
        <f>_xlfn.XLOOKUP(Order_Details[[#This Row],[Order ID]], List_of_orders[Order ID], List_of_orders[CustomerName])</f>
        <v>Shivangi</v>
      </c>
      <c r="J541" s="7" t="str">
        <f>_xlfn.XLOOKUP(Order_Details[[#This Row],[Order ID]], List_of_orders[Order ID], List_of_orders[City])</f>
        <v>Indore</v>
      </c>
      <c r="K541" s="8" t="str">
        <f>TEXT(Order_Details[[#This Row],[Order Date]], "YY-MMM")</f>
        <v>18-Sep</v>
      </c>
      <c r="L541" s="11">
        <f>Order_Details[[#This Row],[Profit]]/Order_Details[[#This Row],[Amount]]</f>
        <v>-0.2</v>
      </c>
      <c r="M541" s="8">
        <f>YEAR(Order_Details[[#This Row],[Order Date]])</f>
        <v>2018</v>
      </c>
      <c r="N541" s="8">
        <f>ROUNDUP(MONTH(Order_Details[[#This Row],[Order Date]])/3, 0)</f>
        <v>3</v>
      </c>
    </row>
    <row r="542" spans="1:14">
      <c r="A542" s="1" t="s">
        <v>472</v>
      </c>
      <c r="B542" s="1">
        <v>33</v>
      </c>
      <c r="C542" s="1">
        <v>-10</v>
      </c>
      <c r="D542" s="1">
        <v>6</v>
      </c>
      <c r="E542" s="1" t="s">
        <v>1076</v>
      </c>
      <c r="F542" s="1" t="s">
        <v>1112</v>
      </c>
      <c r="G542" s="7" t="str">
        <f>_xlfn.XLOOKUP(Order_Details[[#This Row],[Order ID]], List_of_orders[Order ID], List_of_orders[State])</f>
        <v>Madhya Pradesh</v>
      </c>
      <c r="H542" s="10">
        <f>_xlfn.XLOOKUP(Order_Details[[#This Row],[Order ID]], List_of_orders[Order ID], List_of_orders[Order Date (Clean)])</f>
        <v>43358</v>
      </c>
      <c r="I542" s="7" t="str">
        <f>_xlfn.XLOOKUP(Order_Details[[#This Row],[Order ID]], List_of_orders[Order ID], List_of_orders[CustomerName])</f>
        <v>Shivangi</v>
      </c>
      <c r="J542" s="7" t="str">
        <f>_xlfn.XLOOKUP(Order_Details[[#This Row],[Order ID]], List_of_orders[Order ID], List_of_orders[City])</f>
        <v>Indore</v>
      </c>
      <c r="K542" s="8" t="str">
        <f>TEXT(Order_Details[[#This Row],[Order Date]], "YY-MMM")</f>
        <v>18-Sep</v>
      </c>
      <c r="L542" s="11">
        <f>Order_Details[[#This Row],[Profit]]/Order_Details[[#This Row],[Amount]]</f>
        <v>-0.30303030303030304</v>
      </c>
      <c r="M542" s="8">
        <f>YEAR(Order_Details[[#This Row],[Order Date]])</f>
        <v>2018</v>
      </c>
      <c r="N542" s="8">
        <f>ROUNDUP(MONTH(Order_Details[[#This Row],[Order Date]])/3, 0)</f>
        <v>3</v>
      </c>
    </row>
    <row r="543" spans="1:14">
      <c r="A543" s="1" t="s">
        <v>472</v>
      </c>
      <c r="B543" s="1">
        <v>21</v>
      </c>
      <c r="C543" s="1">
        <v>-17</v>
      </c>
      <c r="D543" s="1">
        <v>3</v>
      </c>
      <c r="E543" s="1" t="s">
        <v>1076</v>
      </c>
      <c r="F543" s="1" t="s">
        <v>1111</v>
      </c>
      <c r="G543" s="7" t="str">
        <f>_xlfn.XLOOKUP(Order_Details[[#This Row],[Order ID]], List_of_orders[Order ID], List_of_orders[State])</f>
        <v>Madhya Pradesh</v>
      </c>
      <c r="H543" s="10">
        <f>_xlfn.XLOOKUP(Order_Details[[#This Row],[Order ID]], List_of_orders[Order ID], List_of_orders[Order Date (Clean)])</f>
        <v>43358</v>
      </c>
      <c r="I543" s="7" t="str">
        <f>_xlfn.XLOOKUP(Order_Details[[#This Row],[Order ID]], List_of_orders[Order ID], List_of_orders[CustomerName])</f>
        <v>Shivangi</v>
      </c>
      <c r="J543" s="7" t="str">
        <f>_xlfn.XLOOKUP(Order_Details[[#This Row],[Order ID]], List_of_orders[Order ID], List_of_orders[City])</f>
        <v>Indore</v>
      </c>
      <c r="K543" s="8" t="str">
        <f>TEXT(Order_Details[[#This Row],[Order Date]], "YY-MMM")</f>
        <v>18-Sep</v>
      </c>
      <c r="L543" s="11">
        <f>Order_Details[[#This Row],[Profit]]/Order_Details[[#This Row],[Amount]]</f>
        <v>-0.80952380952380953</v>
      </c>
      <c r="M543" s="8">
        <f>YEAR(Order_Details[[#This Row],[Order Date]])</f>
        <v>2018</v>
      </c>
      <c r="N543" s="8">
        <f>ROUNDUP(MONTH(Order_Details[[#This Row],[Order Date]])/3, 0)</f>
        <v>3</v>
      </c>
    </row>
    <row r="544" spans="1:14">
      <c r="A544" s="1" t="s">
        <v>472</v>
      </c>
      <c r="B544" s="1">
        <v>26</v>
      </c>
      <c r="C544" s="1">
        <v>2</v>
      </c>
      <c r="D544" s="1">
        <v>2</v>
      </c>
      <c r="E544" s="1" t="s">
        <v>1076</v>
      </c>
      <c r="F544" s="1" t="s">
        <v>1103</v>
      </c>
      <c r="G544" s="7" t="str">
        <f>_xlfn.XLOOKUP(Order_Details[[#This Row],[Order ID]], List_of_orders[Order ID], List_of_orders[State])</f>
        <v>Madhya Pradesh</v>
      </c>
      <c r="H544" s="10">
        <f>_xlfn.XLOOKUP(Order_Details[[#This Row],[Order ID]], List_of_orders[Order ID], List_of_orders[Order Date (Clean)])</f>
        <v>43358</v>
      </c>
      <c r="I544" s="7" t="str">
        <f>_xlfn.XLOOKUP(Order_Details[[#This Row],[Order ID]], List_of_orders[Order ID], List_of_orders[CustomerName])</f>
        <v>Shivangi</v>
      </c>
      <c r="J544" s="7" t="str">
        <f>_xlfn.XLOOKUP(Order_Details[[#This Row],[Order ID]], List_of_orders[Order ID], List_of_orders[City])</f>
        <v>Indore</v>
      </c>
      <c r="K544" s="8" t="str">
        <f>TEXT(Order_Details[[#This Row],[Order Date]], "YY-MMM")</f>
        <v>18-Sep</v>
      </c>
      <c r="L544" s="11">
        <f>Order_Details[[#This Row],[Profit]]/Order_Details[[#This Row],[Amount]]</f>
        <v>7.6923076923076927E-2</v>
      </c>
      <c r="M544" s="8">
        <f>YEAR(Order_Details[[#This Row],[Order Date]])</f>
        <v>2018</v>
      </c>
      <c r="N544" s="8">
        <f>ROUNDUP(MONTH(Order_Details[[#This Row],[Order Date]])/3, 0)</f>
        <v>3</v>
      </c>
    </row>
    <row r="545" spans="1:14">
      <c r="A545" s="1" t="s">
        <v>474</v>
      </c>
      <c r="B545" s="1">
        <v>15</v>
      </c>
      <c r="C545" s="1">
        <v>4</v>
      </c>
      <c r="D545" s="1">
        <v>1</v>
      </c>
      <c r="E545" s="1" t="s">
        <v>1076</v>
      </c>
      <c r="F545" s="1" t="s">
        <v>1103</v>
      </c>
      <c r="G545" s="7" t="str">
        <f>_xlfn.XLOOKUP(Order_Details[[#This Row],[Order ID]], List_of_orders[Order ID], List_of_orders[State])</f>
        <v>Rajasthan</v>
      </c>
      <c r="H545" s="10">
        <f>_xlfn.XLOOKUP(Order_Details[[#This Row],[Order ID]], List_of_orders[Order ID], List_of_orders[Order Date (Clean)])</f>
        <v>43358</v>
      </c>
      <c r="I545" s="7" t="str">
        <f>_xlfn.XLOOKUP(Order_Details[[#This Row],[Order ID]], List_of_orders[Order ID], List_of_orders[CustomerName])</f>
        <v>Rohit</v>
      </c>
      <c r="J545" s="7" t="str">
        <f>_xlfn.XLOOKUP(Order_Details[[#This Row],[Order ID]], List_of_orders[Order ID], List_of_orders[City])</f>
        <v>Jaipur</v>
      </c>
      <c r="K545" s="8" t="str">
        <f>TEXT(Order_Details[[#This Row],[Order Date]], "YY-MMM")</f>
        <v>18-Sep</v>
      </c>
      <c r="L545" s="11">
        <f>Order_Details[[#This Row],[Profit]]/Order_Details[[#This Row],[Amount]]</f>
        <v>0.26666666666666666</v>
      </c>
      <c r="M545" s="8">
        <f>YEAR(Order_Details[[#This Row],[Order Date]])</f>
        <v>2018</v>
      </c>
      <c r="N545" s="8">
        <f>ROUNDUP(MONTH(Order_Details[[#This Row],[Order Date]])/3, 0)</f>
        <v>3</v>
      </c>
    </row>
    <row r="546" spans="1:14">
      <c r="A546" s="1" t="s">
        <v>476</v>
      </c>
      <c r="B546" s="1">
        <v>595</v>
      </c>
      <c r="C546" s="1">
        <v>292</v>
      </c>
      <c r="D546" s="1">
        <v>3</v>
      </c>
      <c r="E546" s="1" t="s">
        <v>1076</v>
      </c>
      <c r="F546" s="1" t="s">
        <v>1106</v>
      </c>
      <c r="G546" s="7" t="str">
        <f>_xlfn.XLOOKUP(Order_Details[[#This Row],[Order ID]], List_of_orders[Order ID], List_of_orders[State])</f>
        <v>West Bengal</v>
      </c>
      <c r="H546" s="10">
        <f>_xlfn.XLOOKUP(Order_Details[[#This Row],[Order ID]], List_of_orders[Order ID], List_of_orders[Order Date (Clean)])</f>
        <v>43358</v>
      </c>
      <c r="I546" s="7" t="str">
        <f>_xlfn.XLOOKUP(Order_Details[[#This Row],[Order ID]], List_of_orders[Order ID], List_of_orders[CustomerName])</f>
        <v>Ayush</v>
      </c>
      <c r="J546" s="7" t="str">
        <f>_xlfn.XLOOKUP(Order_Details[[#This Row],[Order ID]], List_of_orders[Order ID], List_of_orders[City])</f>
        <v>Kolkata</v>
      </c>
      <c r="K546" s="8" t="str">
        <f>TEXT(Order_Details[[#This Row],[Order Date]], "YY-MMM")</f>
        <v>18-Sep</v>
      </c>
      <c r="L546" s="11">
        <f>Order_Details[[#This Row],[Profit]]/Order_Details[[#This Row],[Amount]]</f>
        <v>0.49075630252100838</v>
      </c>
      <c r="M546" s="8">
        <f>YEAR(Order_Details[[#This Row],[Order Date]])</f>
        <v>2018</v>
      </c>
      <c r="N546" s="8">
        <f>ROUNDUP(MONTH(Order_Details[[#This Row],[Order Date]])/3, 0)</f>
        <v>3</v>
      </c>
    </row>
    <row r="547" spans="1:14">
      <c r="A547" s="1" t="s">
        <v>476</v>
      </c>
      <c r="B547" s="1">
        <v>45</v>
      </c>
      <c r="C547" s="1">
        <v>0</v>
      </c>
      <c r="D547" s="1">
        <v>2</v>
      </c>
      <c r="E547" s="1" t="s">
        <v>1076</v>
      </c>
      <c r="F547" s="1" t="s">
        <v>1110</v>
      </c>
      <c r="G547" s="7" t="str">
        <f>_xlfn.XLOOKUP(Order_Details[[#This Row],[Order ID]], List_of_orders[Order ID], List_of_orders[State])</f>
        <v>West Bengal</v>
      </c>
      <c r="H547" s="10">
        <f>_xlfn.XLOOKUP(Order_Details[[#This Row],[Order ID]], List_of_orders[Order ID], List_of_orders[Order Date (Clean)])</f>
        <v>43358</v>
      </c>
      <c r="I547" s="7" t="str">
        <f>_xlfn.XLOOKUP(Order_Details[[#This Row],[Order ID]], List_of_orders[Order ID], List_of_orders[CustomerName])</f>
        <v>Ayush</v>
      </c>
      <c r="J547" s="7" t="str">
        <f>_xlfn.XLOOKUP(Order_Details[[#This Row],[Order ID]], List_of_orders[Order ID], List_of_orders[City])</f>
        <v>Kolkata</v>
      </c>
      <c r="K547" s="8" t="str">
        <f>TEXT(Order_Details[[#This Row],[Order Date]], "YY-MMM")</f>
        <v>18-Sep</v>
      </c>
      <c r="L547" s="11">
        <f>Order_Details[[#This Row],[Profit]]/Order_Details[[#This Row],[Amount]]</f>
        <v>0</v>
      </c>
      <c r="M547" s="8">
        <f>YEAR(Order_Details[[#This Row],[Order Date]])</f>
        <v>2018</v>
      </c>
      <c r="N547" s="8">
        <f>ROUNDUP(MONTH(Order_Details[[#This Row],[Order Date]])/3, 0)</f>
        <v>3</v>
      </c>
    </row>
    <row r="548" spans="1:14">
      <c r="A548" s="1" t="s">
        <v>476</v>
      </c>
      <c r="B548" s="1">
        <v>192</v>
      </c>
      <c r="C548" s="1">
        <v>-146</v>
      </c>
      <c r="D548" s="1">
        <v>3</v>
      </c>
      <c r="E548" s="1" t="s">
        <v>1076</v>
      </c>
      <c r="F548" s="1" t="s">
        <v>1106</v>
      </c>
      <c r="G548" s="7" t="str">
        <f>_xlfn.XLOOKUP(Order_Details[[#This Row],[Order ID]], List_of_orders[Order ID], List_of_orders[State])</f>
        <v>West Bengal</v>
      </c>
      <c r="H548" s="10">
        <f>_xlfn.XLOOKUP(Order_Details[[#This Row],[Order ID]], List_of_orders[Order ID], List_of_orders[Order Date (Clean)])</f>
        <v>43358</v>
      </c>
      <c r="I548" s="7" t="str">
        <f>_xlfn.XLOOKUP(Order_Details[[#This Row],[Order ID]], List_of_orders[Order ID], List_of_orders[CustomerName])</f>
        <v>Ayush</v>
      </c>
      <c r="J548" s="7" t="str">
        <f>_xlfn.XLOOKUP(Order_Details[[#This Row],[Order ID]], List_of_orders[Order ID], List_of_orders[City])</f>
        <v>Kolkata</v>
      </c>
      <c r="K548" s="8" t="str">
        <f>TEXT(Order_Details[[#This Row],[Order Date]], "YY-MMM")</f>
        <v>18-Sep</v>
      </c>
      <c r="L548" s="11">
        <f>Order_Details[[#This Row],[Profit]]/Order_Details[[#This Row],[Amount]]</f>
        <v>-0.76041666666666663</v>
      </c>
      <c r="M548" s="8">
        <f>YEAR(Order_Details[[#This Row],[Order Date]])</f>
        <v>2018</v>
      </c>
      <c r="N548" s="8">
        <f>ROUNDUP(MONTH(Order_Details[[#This Row],[Order Date]])/3, 0)</f>
        <v>3</v>
      </c>
    </row>
    <row r="549" spans="1:14">
      <c r="A549" s="1" t="s">
        <v>476</v>
      </c>
      <c r="B549" s="1">
        <v>26</v>
      </c>
      <c r="C549" s="1">
        <v>-25</v>
      </c>
      <c r="D549" s="1">
        <v>3</v>
      </c>
      <c r="E549" s="1" t="s">
        <v>1076</v>
      </c>
      <c r="F549" s="1" t="s">
        <v>1106</v>
      </c>
      <c r="G549" s="7" t="str">
        <f>_xlfn.XLOOKUP(Order_Details[[#This Row],[Order ID]], List_of_orders[Order ID], List_of_orders[State])</f>
        <v>West Bengal</v>
      </c>
      <c r="H549" s="10">
        <f>_xlfn.XLOOKUP(Order_Details[[#This Row],[Order ID]], List_of_orders[Order ID], List_of_orders[Order Date (Clean)])</f>
        <v>43358</v>
      </c>
      <c r="I549" s="7" t="str">
        <f>_xlfn.XLOOKUP(Order_Details[[#This Row],[Order ID]], List_of_orders[Order ID], List_of_orders[CustomerName])</f>
        <v>Ayush</v>
      </c>
      <c r="J549" s="7" t="str">
        <f>_xlfn.XLOOKUP(Order_Details[[#This Row],[Order ID]], List_of_orders[Order ID], List_of_orders[City])</f>
        <v>Kolkata</v>
      </c>
      <c r="K549" s="8" t="str">
        <f>TEXT(Order_Details[[#This Row],[Order Date]], "YY-MMM")</f>
        <v>18-Sep</v>
      </c>
      <c r="L549" s="11">
        <f>Order_Details[[#This Row],[Profit]]/Order_Details[[#This Row],[Amount]]</f>
        <v>-0.96153846153846156</v>
      </c>
      <c r="M549" s="8">
        <f>YEAR(Order_Details[[#This Row],[Order Date]])</f>
        <v>2018</v>
      </c>
      <c r="N549" s="8">
        <f>ROUNDUP(MONTH(Order_Details[[#This Row],[Order Date]])/3, 0)</f>
        <v>3</v>
      </c>
    </row>
    <row r="550" spans="1:14">
      <c r="A550" s="1" t="s">
        <v>477</v>
      </c>
      <c r="B550" s="1">
        <v>1854</v>
      </c>
      <c r="C550" s="1">
        <v>433</v>
      </c>
      <c r="D550" s="1">
        <v>5</v>
      </c>
      <c r="E550" s="1" t="s">
        <v>1075</v>
      </c>
      <c r="F550" s="1" t="s">
        <v>1101</v>
      </c>
      <c r="G550" s="7" t="str">
        <f>_xlfn.XLOOKUP(Order_Details[[#This Row],[Order ID]], List_of_orders[Order ID], List_of_orders[State])</f>
        <v>Karnataka</v>
      </c>
      <c r="H550" s="10">
        <f>_xlfn.XLOOKUP(Order_Details[[#This Row],[Order ID]], List_of_orders[Order ID], List_of_orders[Order Date (Clean)])</f>
        <v>43362</v>
      </c>
      <c r="I550" s="7" t="str">
        <f>_xlfn.XLOOKUP(Order_Details[[#This Row],[Order ID]], List_of_orders[Order ID], List_of_orders[CustomerName])</f>
        <v>Abhishek</v>
      </c>
      <c r="J550" s="7" t="str">
        <f>_xlfn.XLOOKUP(Order_Details[[#This Row],[Order ID]], List_of_orders[Order ID], List_of_orders[City])</f>
        <v>Bangalore</v>
      </c>
      <c r="K550" s="8" t="str">
        <f>TEXT(Order_Details[[#This Row],[Order Date]], "YY-MMM")</f>
        <v>18-Sep</v>
      </c>
      <c r="L550" s="11">
        <f>Order_Details[[#This Row],[Profit]]/Order_Details[[#This Row],[Amount]]</f>
        <v>0.23354908306364616</v>
      </c>
      <c r="M550" s="8">
        <f>YEAR(Order_Details[[#This Row],[Order Date]])</f>
        <v>2018</v>
      </c>
      <c r="N550" s="8">
        <f>ROUNDUP(MONTH(Order_Details[[#This Row],[Order Date]])/3, 0)</f>
        <v>3</v>
      </c>
    </row>
    <row r="551" spans="1:14">
      <c r="A551" s="1" t="s">
        <v>477</v>
      </c>
      <c r="B551" s="1">
        <v>623</v>
      </c>
      <c r="C551" s="1">
        <v>-192</v>
      </c>
      <c r="D551" s="1">
        <v>3</v>
      </c>
      <c r="E551" s="1" t="s">
        <v>1075</v>
      </c>
      <c r="F551" s="1" t="s">
        <v>1113</v>
      </c>
      <c r="G551" s="7" t="str">
        <f>_xlfn.XLOOKUP(Order_Details[[#This Row],[Order ID]], List_of_orders[Order ID], List_of_orders[State])</f>
        <v>Karnataka</v>
      </c>
      <c r="H551" s="10">
        <f>_xlfn.XLOOKUP(Order_Details[[#This Row],[Order ID]], List_of_orders[Order ID], List_of_orders[Order Date (Clean)])</f>
        <v>43362</v>
      </c>
      <c r="I551" s="7" t="str">
        <f>_xlfn.XLOOKUP(Order_Details[[#This Row],[Order ID]], List_of_orders[Order ID], List_of_orders[CustomerName])</f>
        <v>Abhishek</v>
      </c>
      <c r="J551" s="7" t="str">
        <f>_xlfn.XLOOKUP(Order_Details[[#This Row],[Order ID]], List_of_orders[Order ID], List_of_orders[City])</f>
        <v>Bangalore</v>
      </c>
      <c r="K551" s="8" t="str">
        <f>TEXT(Order_Details[[#This Row],[Order Date]], "YY-MMM")</f>
        <v>18-Sep</v>
      </c>
      <c r="L551" s="11">
        <f>Order_Details[[#This Row],[Profit]]/Order_Details[[#This Row],[Amount]]</f>
        <v>-0.30818619582664525</v>
      </c>
      <c r="M551" s="8">
        <f>YEAR(Order_Details[[#This Row],[Order Date]])</f>
        <v>2018</v>
      </c>
      <c r="N551" s="8">
        <f>ROUNDUP(MONTH(Order_Details[[#This Row],[Order Date]])/3, 0)</f>
        <v>3</v>
      </c>
    </row>
    <row r="552" spans="1:14">
      <c r="A552" s="1" t="s">
        <v>477</v>
      </c>
      <c r="B552" s="1">
        <v>44</v>
      </c>
      <c r="C552" s="1">
        <v>-34</v>
      </c>
      <c r="D552" s="1">
        <v>3</v>
      </c>
      <c r="E552" s="1" t="s">
        <v>1076</v>
      </c>
      <c r="F552" s="1" t="s">
        <v>1102</v>
      </c>
      <c r="G552" s="7" t="str">
        <f>_xlfn.XLOOKUP(Order_Details[[#This Row],[Order ID]], List_of_orders[Order ID], List_of_orders[State])</f>
        <v>Karnataka</v>
      </c>
      <c r="H552" s="10">
        <f>_xlfn.XLOOKUP(Order_Details[[#This Row],[Order ID]], List_of_orders[Order ID], List_of_orders[Order Date (Clean)])</f>
        <v>43362</v>
      </c>
      <c r="I552" s="7" t="str">
        <f>_xlfn.XLOOKUP(Order_Details[[#This Row],[Order ID]], List_of_orders[Order ID], List_of_orders[CustomerName])</f>
        <v>Abhishek</v>
      </c>
      <c r="J552" s="7" t="str">
        <f>_xlfn.XLOOKUP(Order_Details[[#This Row],[Order ID]], List_of_orders[Order ID], List_of_orders[City])</f>
        <v>Bangalore</v>
      </c>
      <c r="K552" s="8" t="str">
        <f>TEXT(Order_Details[[#This Row],[Order Date]], "YY-MMM")</f>
        <v>18-Sep</v>
      </c>
      <c r="L552" s="11">
        <f>Order_Details[[#This Row],[Profit]]/Order_Details[[#This Row],[Amount]]</f>
        <v>-0.77272727272727271</v>
      </c>
      <c r="M552" s="8">
        <f>YEAR(Order_Details[[#This Row],[Order Date]])</f>
        <v>2018</v>
      </c>
      <c r="N552" s="8">
        <f>ROUNDUP(MONTH(Order_Details[[#This Row],[Order Date]])/3, 0)</f>
        <v>3</v>
      </c>
    </row>
    <row r="553" spans="1:14">
      <c r="A553" s="1" t="s">
        <v>477</v>
      </c>
      <c r="B553" s="1">
        <v>17</v>
      </c>
      <c r="C553" s="1">
        <v>-11</v>
      </c>
      <c r="D553" s="1">
        <v>3</v>
      </c>
      <c r="E553" s="1" t="s">
        <v>1076</v>
      </c>
      <c r="F553" s="1" t="s">
        <v>1117</v>
      </c>
      <c r="G553" s="7" t="str">
        <f>_xlfn.XLOOKUP(Order_Details[[#This Row],[Order ID]], List_of_orders[Order ID], List_of_orders[State])</f>
        <v>Karnataka</v>
      </c>
      <c r="H553" s="10">
        <f>_xlfn.XLOOKUP(Order_Details[[#This Row],[Order ID]], List_of_orders[Order ID], List_of_orders[Order Date (Clean)])</f>
        <v>43362</v>
      </c>
      <c r="I553" s="7" t="str">
        <f>_xlfn.XLOOKUP(Order_Details[[#This Row],[Order ID]], List_of_orders[Order ID], List_of_orders[CustomerName])</f>
        <v>Abhishek</v>
      </c>
      <c r="J553" s="7" t="str">
        <f>_xlfn.XLOOKUP(Order_Details[[#This Row],[Order ID]], List_of_orders[Order ID], List_of_orders[City])</f>
        <v>Bangalore</v>
      </c>
      <c r="K553" s="8" t="str">
        <f>TEXT(Order_Details[[#This Row],[Order Date]], "YY-MMM")</f>
        <v>18-Sep</v>
      </c>
      <c r="L553" s="11">
        <f>Order_Details[[#This Row],[Profit]]/Order_Details[[#This Row],[Amount]]</f>
        <v>-0.6470588235294118</v>
      </c>
      <c r="M553" s="8">
        <f>YEAR(Order_Details[[#This Row],[Order Date]])</f>
        <v>2018</v>
      </c>
      <c r="N553" s="8">
        <f>ROUNDUP(MONTH(Order_Details[[#This Row],[Order Date]])/3, 0)</f>
        <v>3</v>
      </c>
    </row>
    <row r="554" spans="1:14">
      <c r="A554" s="1" t="s">
        <v>480</v>
      </c>
      <c r="B554" s="1">
        <v>556</v>
      </c>
      <c r="C554" s="1">
        <v>-209</v>
      </c>
      <c r="D554" s="1">
        <v>7</v>
      </c>
      <c r="E554" s="1" t="s">
        <v>1076</v>
      </c>
      <c r="F554" s="1" t="s">
        <v>1106</v>
      </c>
      <c r="G554" s="7" t="str">
        <f>_xlfn.XLOOKUP(Order_Details[[#This Row],[Order ID]], List_of_orders[Order ID], List_of_orders[State])</f>
        <v>Jammu and Kashmir</v>
      </c>
      <c r="H554" s="10">
        <f>_xlfn.XLOOKUP(Order_Details[[#This Row],[Order ID]], List_of_orders[Order ID], List_of_orders[Order Date (Clean)])</f>
        <v>43363</v>
      </c>
      <c r="I554" s="7" t="str">
        <f>_xlfn.XLOOKUP(Order_Details[[#This Row],[Order ID]], List_of_orders[Order ID], List_of_orders[CustomerName])</f>
        <v>Asish</v>
      </c>
      <c r="J554" s="7" t="str">
        <f>_xlfn.XLOOKUP(Order_Details[[#This Row],[Order ID]], List_of_orders[Order ID], List_of_orders[City])</f>
        <v>Kashmir</v>
      </c>
      <c r="K554" s="8" t="str">
        <f>TEXT(Order_Details[[#This Row],[Order Date]], "YY-MMM")</f>
        <v>18-Sep</v>
      </c>
      <c r="L554" s="11">
        <f>Order_Details[[#This Row],[Profit]]/Order_Details[[#This Row],[Amount]]</f>
        <v>-0.37589928057553956</v>
      </c>
      <c r="M554" s="8">
        <f>YEAR(Order_Details[[#This Row],[Order Date]])</f>
        <v>2018</v>
      </c>
      <c r="N554" s="8">
        <f>ROUNDUP(MONTH(Order_Details[[#This Row],[Order Date]])/3, 0)</f>
        <v>3</v>
      </c>
    </row>
    <row r="555" spans="1:14">
      <c r="A555" s="1" t="s">
        <v>480</v>
      </c>
      <c r="B555" s="1">
        <v>40</v>
      </c>
      <c r="C555" s="1">
        <v>-12</v>
      </c>
      <c r="D555" s="1">
        <v>3</v>
      </c>
      <c r="E555" s="1" t="s">
        <v>1076</v>
      </c>
      <c r="F555" s="1" t="s">
        <v>1111</v>
      </c>
      <c r="G555" s="7" t="str">
        <f>_xlfn.XLOOKUP(Order_Details[[#This Row],[Order ID]], List_of_orders[Order ID], List_of_orders[State])</f>
        <v>Jammu and Kashmir</v>
      </c>
      <c r="H555" s="10">
        <f>_xlfn.XLOOKUP(Order_Details[[#This Row],[Order ID]], List_of_orders[Order ID], List_of_orders[Order Date (Clean)])</f>
        <v>43363</v>
      </c>
      <c r="I555" s="7" t="str">
        <f>_xlfn.XLOOKUP(Order_Details[[#This Row],[Order ID]], List_of_orders[Order ID], List_of_orders[CustomerName])</f>
        <v>Asish</v>
      </c>
      <c r="J555" s="7" t="str">
        <f>_xlfn.XLOOKUP(Order_Details[[#This Row],[Order ID]], List_of_orders[Order ID], List_of_orders[City])</f>
        <v>Kashmir</v>
      </c>
      <c r="K555" s="8" t="str">
        <f>TEXT(Order_Details[[#This Row],[Order Date]], "YY-MMM")</f>
        <v>18-Sep</v>
      </c>
      <c r="L555" s="11">
        <f>Order_Details[[#This Row],[Profit]]/Order_Details[[#This Row],[Amount]]</f>
        <v>-0.3</v>
      </c>
      <c r="M555" s="8">
        <f>YEAR(Order_Details[[#This Row],[Order Date]])</f>
        <v>2018</v>
      </c>
      <c r="N555" s="8">
        <f>ROUNDUP(MONTH(Order_Details[[#This Row],[Order Date]])/3, 0)</f>
        <v>3</v>
      </c>
    </row>
    <row r="556" spans="1:14">
      <c r="A556" s="1" t="s">
        <v>480</v>
      </c>
      <c r="B556" s="1">
        <v>229</v>
      </c>
      <c r="C556" s="1">
        <v>-41</v>
      </c>
      <c r="D556" s="1">
        <v>8</v>
      </c>
      <c r="E556" s="1" t="s">
        <v>1077</v>
      </c>
      <c r="F556" s="1" t="s">
        <v>1115</v>
      </c>
      <c r="G556" s="7" t="str">
        <f>_xlfn.XLOOKUP(Order_Details[[#This Row],[Order ID]], List_of_orders[Order ID], List_of_orders[State])</f>
        <v>Jammu and Kashmir</v>
      </c>
      <c r="H556" s="10">
        <f>_xlfn.XLOOKUP(Order_Details[[#This Row],[Order ID]], List_of_orders[Order ID], List_of_orders[Order Date (Clean)])</f>
        <v>43363</v>
      </c>
      <c r="I556" s="7" t="str">
        <f>_xlfn.XLOOKUP(Order_Details[[#This Row],[Order ID]], List_of_orders[Order ID], List_of_orders[CustomerName])</f>
        <v>Asish</v>
      </c>
      <c r="J556" s="7" t="str">
        <f>_xlfn.XLOOKUP(Order_Details[[#This Row],[Order ID]], List_of_orders[Order ID], List_of_orders[City])</f>
        <v>Kashmir</v>
      </c>
      <c r="K556" s="8" t="str">
        <f>TEXT(Order_Details[[#This Row],[Order Date]], "YY-MMM")</f>
        <v>18-Sep</v>
      </c>
      <c r="L556" s="11">
        <f>Order_Details[[#This Row],[Profit]]/Order_Details[[#This Row],[Amount]]</f>
        <v>-0.17903930131004367</v>
      </c>
      <c r="M556" s="8">
        <f>YEAR(Order_Details[[#This Row],[Order Date]])</f>
        <v>2018</v>
      </c>
      <c r="N556" s="8">
        <f>ROUNDUP(MONTH(Order_Details[[#This Row],[Order Date]])/3, 0)</f>
        <v>3</v>
      </c>
    </row>
    <row r="557" spans="1:14">
      <c r="A557" s="1" t="s">
        <v>480</v>
      </c>
      <c r="B557" s="1">
        <v>140</v>
      </c>
      <c r="C557" s="1">
        <v>-58</v>
      </c>
      <c r="D557" s="1">
        <v>4</v>
      </c>
      <c r="E557" s="1" t="s">
        <v>1075</v>
      </c>
      <c r="F557" s="1" t="s">
        <v>1116</v>
      </c>
      <c r="G557" s="7" t="str">
        <f>_xlfn.XLOOKUP(Order_Details[[#This Row],[Order ID]], List_of_orders[Order ID], List_of_orders[State])</f>
        <v>Jammu and Kashmir</v>
      </c>
      <c r="H557" s="10">
        <f>_xlfn.XLOOKUP(Order_Details[[#This Row],[Order ID]], List_of_orders[Order ID], List_of_orders[Order Date (Clean)])</f>
        <v>43363</v>
      </c>
      <c r="I557" s="7" t="str">
        <f>_xlfn.XLOOKUP(Order_Details[[#This Row],[Order ID]], List_of_orders[Order ID], List_of_orders[CustomerName])</f>
        <v>Asish</v>
      </c>
      <c r="J557" s="7" t="str">
        <f>_xlfn.XLOOKUP(Order_Details[[#This Row],[Order ID]], List_of_orders[Order ID], List_of_orders[City])</f>
        <v>Kashmir</v>
      </c>
      <c r="K557" s="8" t="str">
        <f>TEXT(Order_Details[[#This Row],[Order Date]], "YY-MMM")</f>
        <v>18-Sep</v>
      </c>
      <c r="L557" s="11">
        <f>Order_Details[[#This Row],[Profit]]/Order_Details[[#This Row],[Amount]]</f>
        <v>-0.41428571428571431</v>
      </c>
      <c r="M557" s="8">
        <f>YEAR(Order_Details[[#This Row],[Order Date]])</f>
        <v>2018</v>
      </c>
      <c r="N557" s="8">
        <f>ROUNDUP(MONTH(Order_Details[[#This Row],[Order Date]])/3, 0)</f>
        <v>3</v>
      </c>
    </row>
    <row r="558" spans="1:14">
      <c r="A558" s="1" t="s">
        <v>483</v>
      </c>
      <c r="B558" s="1">
        <v>12</v>
      </c>
      <c r="C558" s="1">
        <v>3</v>
      </c>
      <c r="D558" s="1">
        <v>1</v>
      </c>
      <c r="E558" s="1" t="s">
        <v>1076</v>
      </c>
      <c r="F558" s="1" t="s">
        <v>1102</v>
      </c>
      <c r="G558" s="7" t="str">
        <f>_xlfn.XLOOKUP(Order_Details[[#This Row],[Order ID]], List_of_orders[Order ID], List_of_orders[State])</f>
        <v>Tamil Nadu</v>
      </c>
      <c r="H558" s="10">
        <f>_xlfn.XLOOKUP(Order_Details[[#This Row],[Order ID]], List_of_orders[Order ID], List_of_orders[Order Date (Clean)])</f>
        <v>43364</v>
      </c>
      <c r="I558" s="7" t="str">
        <f>_xlfn.XLOOKUP(Order_Details[[#This Row],[Order ID]], List_of_orders[Order ID], List_of_orders[CustomerName])</f>
        <v>Dinesh</v>
      </c>
      <c r="J558" s="7" t="str">
        <f>_xlfn.XLOOKUP(Order_Details[[#This Row],[Order ID]], List_of_orders[Order ID], List_of_orders[City])</f>
        <v>Chennai</v>
      </c>
      <c r="K558" s="8" t="str">
        <f>TEXT(Order_Details[[#This Row],[Order Date]], "YY-MMM")</f>
        <v>18-Sep</v>
      </c>
      <c r="L558" s="11">
        <f>Order_Details[[#This Row],[Profit]]/Order_Details[[#This Row],[Amount]]</f>
        <v>0.25</v>
      </c>
      <c r="M558" s="8">
        <f>YEAR(Order_Details[[#This Row],[Order Date]])</f>
        <v>2018</v>
      </c>
      <c r="N558" s="8">
        <f>ROUNDUP(MONTH(Order_Details[[#This Row],[Order Date]])/3, 0)</f>
        <v>3</v>
      </c>
    </row>
    <row r="559" spans="1:14">
      <c r="A559" s="1" t="s">
        <v>486</v>
      </c>
      <c r="B559" s="1">
        <v>30</v>
      </c>
      <c r="C559" s="1">
        <v>0</v>
      </c>
      <c r="D559" s="1">
        <v>1</v>
      </c>
      <c r="E559" s="1" t="s">
        <v>1076</v>
      </c>
      <c r="F559" s="1" t="s">
        <v>1109</v>
      </c>
      <c r="G559" s="7" t="str">
        <f>_xlfn.XLOOKUP(Order_Details[[#This Row],[Order ID]], List_of_orders[Order ID], List_of_orders[State])</f>
        <v>Uttar Pradesh</v>
      </c>
      <c r="H559" s="10">
        <f>_xlfn.XLOOKUP(Order_Details[[#This Row],[Order ID]], List_of_orders[Order ID], List_of_orders[Order Date (Clean)])</f>
        <v>43365</v>
      </c>
      <c r="I559" s="7" t="str">
        <f>_xlfn.XLOOKUP(Order_Details[[#This Row],[Order ID]], List_of_orders[Order ID], List_of_orders[CustomerName])</f>
        <v>Akshay</v>
      </c>
      <c r="J559" s="7" t="str">
        <f>_xlfn.XLOOKUP(Order_Details[[#This Row],[Order ID]], List_of_orders[Order ID], List_of_orders[City])</f>
        <v>Lucknow</v>
      </c>
      <c r="K559" s="8" t="str">
        <f>TEXT(Order_Details[[#This Row],[Order Date]], "YY-MMM")</f>
        <v>18-Sep</v>
      </c>
      <c r="L559" s="11">
        <f>Order_Details[[#This Row],[Profit]]/Order_Details[[#This Row],[Amount]]</f>
        <v>0</v>
      </c>
      <c r="M559" s="8">
        <f>YEAR(Order_Details[[#This Row],[Order Date]])</f>
        <v>2018</v>
      </c>
      <c r="N559" s="8">
        <f>ROUNDUP(MONTH(Order_Details[[#This Row],[Order Date]])/3, 0)</f>
        <v>3</v>
      </c>
    </row>
    <row r="560" spans="1:14">
      <c r="A560" s="1" t="s">
        <v>486</v>
      </c>
      <c r="B560" s="1">
        <v>313</v>
      </c>
      <c r="C560" s="1">
        <v>-13</v>
      </c>
      <c r="D560" s="1">
        <v>5</v>
      </c>
      <c r="E560" s="1" t="s">
        <v>1075</v>
      </c>
      <c r="F560" s="1" t="s">
        <v>1101</v>
      </c>
      <c r="G560" s="7" t="str">
        <f>_xlfn.XLOOKUP(Order_Details[[#This Row],[Order ID]], List_of_orders[Order ID], List_of_orders[State])</f>
        <v>Uttar Pradesh</v>
      </c>
      <c r="H560" s="10">
        <f>_xlfn.XLOOKUP(Order_Details[[#This Row],[Order ID]], List_of_orders[Order ID], List_of_orders[Order Date (Clean)])</f>
        <v>43365</v>
      </c>
      <c r="I560" s="7" t="str">
        <f>_xlfn.XLOOKUP(Order_Details[[#This Row],[Order ID]], List_of_orders[Order ID], List_of_orders[CustomerName])</f>
        <v>Akshay</v>
      </c>
      <c r="J560" s="7" t="str">
        <f>_xlfn.XLOOKUP(Order_Details[[#This Row],[Order ID]], List_of_orders[Order ID], List_of_orders[City])</f>
        <v>Lucknow</v>
      </c>
      <c r="K560" s="8" t="str">
        <f>TEXT(Order_Details[[#This Row],[Order Date]], "YY-MMM")</f>
        <v>18-Sep</v>
      </c>
      <c r="L560" s="11">
        <f>Order_Details[[#This Row],[Profit]]/Order_Details[[#This Row],[Amount]]</f>
        <v>-4.1533546325878593E-2</v>
      </c>
      <c r="M560" s="8">
        <f>YEAR(Order_Details[[#This Row],[Order Date]])</f>
        <v>2018</v>
      </c>
      <c r="N560" s="8">
        <f>ROUNDUP(MONTH(Order_Details[[#This Row],[Order Date]])/3, 0)</f>
        <v>3</v>
      </c>
    </row>
    <row r="561" spans="1:14">
      <c r="A561" s="1" t="s">
        <v>486</v>
      </c>
      <c r="B561" s="1">
        <v>67</v>
      </c>
      <c r="C561" s="1">
        <v>-86</v>
      </c>
      <c r="D561" s="1">
        <v>9</v>
      </c>
      <c r="E561" s="1" t="s">
        <v>1075</v>
      </c>
      <c r="F561" s="1" t="s">
        <v>1116</v>
      </c>
      <c r="G561" s="7" t="str">
        <f>_xlfn.XLOOKUP(Order_Details[[#This Row],[Order ID]], List_of_orders[Order ID], List_of_orders[State])</f>
        <v>Uttar Pradesh</v>
      </c>
      <c r="H561" s="10">
        <f>_xlfn.XLOOKUP(Order_Details[[#This Row],[Order ID]], List_of_orders[Order ID], List_of_orders[Order Date (Clean)])</f>
        <v>43365</v>
      </c>
      <c r="I561" s="7" t="str">
        <f>_xlfn.XLOOKUP(Order_Details[[#This Row],[Order ID]], List_of_orders[Order ID], List_of_orders[CustomerName])</f>
        <v>Akshay</v>
      </c>
      <c r="J561" s="7" t="str">
        <f>_xlfn.XLOOKUP(Order_Details[[#This Row],[Order ID]], List_of_orders[Order ID], List_of_orders[City])</f>
        <v>Lucknow</v>
      </c>
      <c r="K561" s="8" t="str">
        <f>TEXT(Order_Details[[#This Row],[Order Date]], "YY-MMM")</f>
        <v>18-Sep</v>
      </c>
      <c r="L561" s="11">
        <f>Order_Details[[#This Row],[Profit]]/Order_Details[[#This Row],[Amount]]</f>
        <v>-1.2835820895522387</v>
      </c>
      <c r="M561" s="8">
        <f>YEAR(Order_Details[[#This Row],[Order Date]])</f>
        <v>2018</v>
      </c>
      <c r="N561" s="8">
        <f>ROUNDUP(MONTH(Order_Details[[#This Row],[Order Date]])/3, 0)</f>
        <v>3</v>
      </c>
    </row>
    <row r="562" spans="1:14">
      <c r="A562" s="1" t="s">
        <v>488</v>
      </c>
      <c r="B562" s="1">
        <v>42</v>
      </c>
      <c r="C562" s="1">
        <v>-3</v>
      </c>
      <c r="D562" s="1">
        <v>1</v>
      </c>
      <c r="E562" s="1" t="s">
        <v>1077</v>
      </c>
      <c r="F562" s="1" t="s">
        <v>1104</v>
      </c>
      <c r="G562" s="7" t="str">
        <f>_xlfn.XLOOKUP(Order_Details[[#This Row],[Order ID]], List_of_orders[Order ID], List_of_orders[State])</f>
        <v>Bihar</v>
      </c>
      <c r="H562" s="10">
        <f>_xlfn.XLOOKUP(Order_Details[[#This Row],[Order ID]], List_of_orders[Order ID], List_of_orders[Order Date (Clean)])</f>
        <v>43366</v>
      </c>
      <c r="I562" s="7" t="str">
        <f>_xlfn.XLOOKUP(Order_Details[[#This Row],[Order ID]], List_of_orders[Order ID], List_of_orders[CustomerName])</f>
        <v>Sajal</v>
      </c>
      <c r="J562" s="7" t="str">
        <f>_xlfn.XLOOKUP(Order_Details[[#This Row],[Order ID]], List_of_orders[Order ID], List_of_orders[City])</f>
        <v>Patna</v>
      </c>
      <c r="K562" s="8" t="str">
        <f>TEXT(Order_Details[[#This Row],[Order Date]], "YY-MMM")</f>
        <v>18-Sep</v>
      </c>
      <c r="L562" s="11">
        <f>Order_Details[[#This Row],[Profit]]/Order_Details[[#This Row],[Amount]]</f>
        <v>-7.1428571428571425E-2</v>
      </c>
      <c r="M562" s="8">
        <f>YEAR(Order_Details[[#This Row],[Order Date]])</f>
        <v>2018</v>
      </c>
      <c r="N562" s="8">
        <f>ROUNDUP(MONTH(Order_Details[[#This Row],[Order Date]])/3, 0)</f>
        <v>3</v>
      </c>
    </row>
    <row r="563" spans="1:14">
      <c r="A563" s="1" t="s">
        <v>491</v>
      </c>
      <c r="B563" s="1">
        <v>253</v>
      </c>
      <c r="C563" s="1">
        <v>-63</v>
      </c>
      <c r="D563" s="1">
        <v>2</v>
      </c>
      <c r="E563" s="1" t="s">
        <v>1076</v>
      </c>
      <c r="F563" s="1" t="s">
        <v>1106</v>
      </c>
      <c r="G563" s="7" t="str">
        <f>_xlfn.XLOOKUP(Order_Details[[#This Row],[Order ID]], List_of_orders[Order ID], List_of_orders[State])</f>
        <v xml:space="preserve">Kerala </v>
      </c>
      <c r="H563" s="10">
        <f>_xlfn.XLOOKUP(Order_Details[[#This Row],[Order ID]], List_of_orders[Order ID], List_of_orders[Order Date (Clean)])</f>
        <v>43367</v>
      </c>
      <c r="I563" s="7" t="str">
        <f>_xlfn.XLOOKUP(Order_Details[[#This Row],[Order ID]], List_of_orders[Order ID], List_of_orders[CustomerName])</f>
        <v>Avish</v>
      </c>
      <c r="J563" s="7" t="str">
        <f>_xlfn.XLOOKUP(Order_Details[[#This Row],[Order ID]], List_of_orders[Order ID], List_of_orders[City])</f>
        <v>Thiruvananthapuram</v>
      </c>
      <c r="K563" s="8" t="str">
        <f>TEXT(Order_Details[[#This Row],[Order Date]], "YY-MMM")</f>
        <v>18-Sep</v>
      </c>
      <c r="L563" s="11">
        <f>Order_Details[[#This Row],[Profit]]/Order_Details[[#This Row],[Amount]]</f>
        <v>-0.24901185770750989</v>
      </c>
      <c r="M563" s="8">
        <f>YEAR(Order_Details[[#This Row],[Order Date]])</f>
        <v>2018</v>
      </c>
      <c r="N563" s="8">
        <f>ROUNDUP(MONTH(Order_Details[[#This Row],[Order Date]])/3, 0)</f>
        <v>3</v>
      </c>
    </row>
    <row r="564" spans="1:14">
      <c r="A564" s="1" t="s">
        <v>491</v>
      </c>
      <c r="B564" s="1">
        <v>565</v>
      </c>
      <c r="C564" s="1">
        <v>66</v>
      </c>
      <c r="D564" s="1">
        <v>7</v>
      </c>
      <c r="E564" s="1" t="s">
        <v>1076</v>
      </c>
      <c r="F564" s="1" t="s">
        <v>1106</v>
      </c>
      <c r="G564" s="7" t="str">
        <f>_xlfn.XLOOKUP(Order_Details[[#This Row],[Order ID]], List_of_orders[Order ID], List_of_orders[State])</f>
        <v xml:space="preserve">Kerala </v>
      </c>
      <c r="H564" s="10">
        <f>_xlfn.XLOOKUP(Order_Details[[#This Row],[Order ID]], List_of_orders[Order ID], List_of_orders[Order Date (Clean)])</f>
        <v>43367</v>
      </c>
      <c r="I564" s="7" t="str">
        <f>_xlfn.XLOOKUP(Order_Details[[#This Row],[Order ID]], List_of_orders[Order ID], List_of_orders[CustomerName])</f>
        <v>Avish</v>
      </c>
      <c r="J564" s="7" t="str">
        <f>_xlfn.XLOOKUP(Order_Details[[#This Row],[Order ID]], List_of_orders[Order ID], List_of_orders[City])</f>
        <v>Thiruvananthapuram</v>
      </c>
      <c r="K564" s="8" t="str">
        <f>TEXT(Order_Details[[#This Row],[Order Date]], "YY-MMM")</f>
        <v>18-Sep</v>
      </c>
      <c r="L564" s="11">
        <f>Order_Details[[#This Row],[Profit]]/Order_Details[[#This Row],[Amount]]</f>
        <v>0.1168141592920354</v>
      </c>
      <c r="M564" s="8">
        <f>YEAR(Order_Details[[#This Row],[Order Date]])</f>
        <v>2018</v>
      </c>
      <c r="N564" s="8">
        <f>ROUNDUP(MONTH(Order_Details[[#This Row],[Order Date]])/3, 0)</f>
        <v>3</v>
      </c>
    </row>
    <row r="565" spans="1:14">
      <c r="A565" s="1" t="s">
        <v>491</v>
      </c>
      <c r="B565" s="1">
        <v>175</v>
      </c>
      <c r="C565" s="1">
        <v>77</v>
      </c>
      <c r="D565" s="1">
        <v>3</v>
      </c>
      <c r="E565" s="1" t="s">
        <v>1076</v>
      </c>
      <c r="F565" s="1" t="s">
        <v>1106</v>
      </c>
      <c r="G565" s="7" t="str">
        <f>_xlfn.XLOOKUP(Order_Details[[#This Row],[Order ID]], List_of_orders[Order ID], List_of_orders[State])</f>
        <v xml:space="preserve">Kerala </v>
      </c>
      <c r="H565" s="10">
        <f>_xlfn.XLOOKUP(Order_Details[[#This Row],[Order ID]], List_of_orders[Order ID], List_of_orders[Order Date (Clean)])</f>
        <v>43367</v>
      </c>
      <c r="I565" s="7" t="str">
        <f>_xlfn.XLOOKUP(Order_Details[[#This Row],[Order ID]], List_of_orders[Order ID], List_of_orders[CustomerName])</f>
        <v>Avish</v>
      </c>
      <c r="J565" s="7" t="str">
        <f>_xlfn.XLOOKUP(Order_Details[[#This Row],[Order ID]], List_of_orders[Order ID], List_of_orders[City])</f>
        <v>Thiruvananthapuram</v>
      </c>
      <c r="K565" s="8" t="str">
        <f>TEXT(Order_Details[[#This Row],[Order Date]], "YY-MMM")</f>
        <v>18-Sep</v>
      </c>
      <c r="L565" s="11">
        <f>Order_Details[[#This Row],[Profit]]/Order_Details[[#This Row],[Amount]]</f>
        <v>0.44</v>
      </c>
      <c r="M565" s="8">
        <f>YEAR(Order_Details[[#This Row],[Order Date]])</f>
        <v>2018</v>
      </c>
      <c r="N565" s="8">
        <f>ROUNDUP(MONTH(Order_Details[[#This Row],[Order Date]])/3, 0)</f>
        <v>3</v>
      </c>
    </row>
    <row r="566" spans="1:14">
      <c r="A566" s="1" t="s">
        <v>494</v>
      </c>
      <c r="B566" s="1">
        <v>74</v>
      </c>
      <c r="C566" s="1">
        <v>-25</v>
      </c>
      <c r="D566" s="1">
        <v>3</v>
      </c>
      <c r="E566" s="1" t="s">
        <v>1076</v>
      </c>
      <c r="F566" s="1" t="s">
        <v>1102</v>
      </c>
      <c r="G566" s="7" t="str">
        <f>_xlfn.XLOOKUP(Order_Details[[#This Row],[Order ID]], List_of_orders[Order ID], List_of_orders[State])</f>
        <v>Maharashtra</v>
      </c>
      <c r="H566" s="10">
        <f>_xlfn.XLOOKUP(Order_Details[[#This Row],[Order ID]], List_of_orders[Order ID], List_of_orders[Order Date (Clean)])</f>
        <v>43367</v>
      </c>
      <c r="I566" s="7" t="str">
        <f>_xlfn.XLOOKUP(Order_Details[[#This Row],[Order ID]], List_of_orders[Order ID], List_of_orders[CustomerName])</f>
        <v>Abhishek</v>
      </c>
      <c r="J566" s="7" t="str">
        <f>_xlfn.XLOOKUP(Order_Details[[#This Row],[Order ID]], List_of_orders[Order ID], List_of_orders[City])</f>
        <v>Mumbai</v>
      </c>
      <c r="K566" s="8" t="str">
        <f>TEXT(Order_Details[[#This Row],[Order Date]], "YY-MMM")</f>
        <v>18-Sep</v>
      </c>
      <c r="L566" s="11">
        <f>Order_Details[[#This Row],[Profit]]/Order_Details[[#This Row],[Amount]]</f>
        <v>-0.33783783783783783</v>
      </c>
      <c r="M566" s="8">
        <f>YEAR(Order_Details[[#This Row],[Order Date]])</f>
        <v>2018</v>
      </c>
      <c r="N566" s="8">
        <f>ROUNDUP(MONTH(Order_Details[[#This Row],[Order Date]])/3, 0)</f>
        <v>3</v>
      </c>
    </row>
    <row r="567" spans="1:14">
      <c r="A567" s="1" t="s">
        <v>495</v>
      </c>
      <c r="B567" s="1">
        <v>40</v>
      </c>
      <c r="C567" s="1">
        <v>-33</v>
      </c>
      <c r="D567" s="1">
        <v>5</v>
      </c>
      <c r="E567" s="1" t="s">
        <v>1076</v>
      </c>
      <c r="F567" s="1" t="s">
        <v>1103</v>
      </c>
      <c r="G567" s="7" t="str">
        <f>_xlfn.XLOOKUP(Order_Details[[#This Row],[Order ID]], List_of_orders[Order ID], List_of_orders[State])</f>
        <v>Madhya Pradesh</v>
      </c>
      <c r="H567" s="10">
        <f>_xlfn.XLOOKUP(Order_Details[[#This Row],[Order ID]], List_of_orders[Order ID], List_of_orders[Order Date (Clean)])</f>
        <v>43367</v>
      </c>
      <c r="I567" s="7" t="str">
        <f>_xlfn.XLOOKUP(Order_Details[[#This Row],[Order ID]], List_of_orders[Order ID], List_of_orders[CustomerName])</f>
        <v>Siddharth</v>
      </c>
      <c r="J567" s="7" t="str">
        <f>_xlfn.XLOOKUP(Order_Details[[#This Row],[Order ID]], List_of_orders[Order ID], List_of_orders[City])</f>
        <v>Indore</v>
      </c>
      <c r="K567" s="8" t="str">
        <f>TEXT(Order_Details[[#This Row],[Order Date]], "YY-MMM")</f>
        <v>18-Sep</v>
      </c>
      <c r="L567" s="11">
        <f>Order_Details[[#This Row],[Profit]]/Order_Details[[#This Row],[Amount]]</f>
        <v>-0.82499999999999996</v>
      </c>
      <c r="M567" s="8">
        <f>YEAR(Order_Details[[#This Row],[Order Date]])</f>
        <v>2018</v>
      </c>
      <c r="N567" s="8">
        <f>ROUNDUP(MONTH(Order_Details[[#This Row],[Order Date]])/3, 0)</f>
        <v>3</v>
      </c>
    </row>
    <row r="568" spans="1:14">
      <c r="A568" s="1" t="s">
        <v>495</v>
      </c>
      <c r="B568" s="1">
        <v>63</v>
      </c>
      <c r="C568" s="1">
        <v>-24</v>
      </c>
      <c r="D568" s="1">
        <v>6</v>
      </c>
      <c r="E568" s="1" t="s">
        <v>1076</v>
      </c>
      <c r="F568" s="1" t="s">
        <v>1109</v>
      </c>
      <c r="G568" s="7" t="str">
        <f>_xlfn.XLOOKUP(Order_Details[[#This Row],[Order ID]], List_of_orders[Order ID], List_of_orders[State])</f>
        <v>Madhya Pradesh</v>
      </c>
      <c r="H568" s="10">
        <f>_xlfn.XLOOKUP(Order_Details[[#This Row],[Order ID]], List_of_orders[Order ID], List_of_orders[Order Date (Clean)])</f>
        <v>43367</v>
      </c>
      <c r="I568" s="7" t="str">
        <f>_xlfn.XLOOKUP(Order_Details[[#This Row],[Order ID]], List_of_orders[Order ID], List_of_orders[CustomerName])</f>
        <v>Siddharth</v>
      </c>
      <c r="J568" s="7" t="str">
        <f>_xlfn.XLOOKUP(Order_Details[[#This Row],[Order ID]], List_of_orders[Order ID], List_of_orders[City])</f>
        <v>Indore</v>
      </c>
      <c r="K568" s="8" t="str">
        <f>TEXT(Order_Details[[#This Row],[Order Date]], "YY-MMM")</f>
        <v>18-Sep</v>
      </c>
      <c r="L568" s="11">
        <f>Order_Details[[#This Row],[Profit]]/Order_Details[[#This Row],[Amount]]</f>
        <v>-0.38095238095238093</v>
      </c>
      <c r="M568" s="8">
        <f>YEAR(Order_Details[[#This Row],[Order Date]])</f>
        <v>2018</v>
      </c>
      <c r="N568" s="8">
        <f>ROUNDUP(MONTH(Order_Details[[#This Row],[Order Date]])/3, 0)</f>
        <v>3</v>
      </c>
    </row>
    <row r="569" spans="1:14">
      <c r="A569" s="1" t="s">
        <v>495</v>
      </c>
      <c r="B569" s="1">
        <v>60</v>
      </c>
      <c r="C569" s="1">
        <v>-12</v>
      </c>
      <c r="D569" s="1">
        <v>4</v>
      </c>
      <c r="E569" s="1" t="s">
        <v>1076</v>
      </c>
      <c r="F569" s="1" t="s">
        <v>1103</v>
      </c>
      <c r="G569" s="7" t="str">
        <f>_xlfn.XLOOKUP(Order_Details[[#This Row],[Order ID]], List_of_orders[Order ID], List_of_orders[State])</f>
        <v>Madhya Pradesh</v>
      </c>
      <c r="H569" s="10">
        <f>_xlfn.XLOOKUP(Order_Details[[#This Row],[Order ID]], List_of_orders[Order ID], List_of_orders[Order Date (Clean)])</f>
        <v>43367</v>
      </c>
      <c r="I569" s="7" t="str">
        <f>_xlfn.XLOOKUP(Order_Details[[#This Row],[Order ID]], List_of_orders[Order ID], List_of_orders[CustomerName])</f>
        <v>Siddharth</v>
      </c>
      <c r="J569" s="7" t="str">
        <f>_xlfn.XLOOKUP(Order_Details[[#This Row],[Order ID]], List_of_orders[Order ID], List_of_orders[City])</f>
        <v>Indore</v>
      </c>
      <c r="K569" s="8" t="str">
        <f>TEXT(Order_Details[[#This Row],[Order Date]], "YY-MMM")</f>
        <v>18-Sep</v>
      </c>
      <c r="L569" s="11">
        <f>Order_Details[[#This Row],[Profit]]/Order_Details[[#This Row],[Amount]]</f>
        <v>-0.2</v>
      </c>
      <c r="M569" s="8">
        <f>YEAR(Order_Details[[#This Row],[Order Date]])</f>
        <v>2018</v>
      </c>
      <c r="N569" s="8">
        <f>ROUNDUP(MONTH(Order_Details[[#This Row],[Order Date]])/3, 0)</f>
        <v>3</v>
      </c>
    </row>
    <row r="570" spans="1:14">
      <c r="A570" s="1" t="s">
        <v>495</v>
      </c>
      <c r="B570" s="1">
        <v>257</v>
      </c>
      <c r="C570" s="1">
        <v>-252</v>
      </c>
      <c r="D570" s="1">
        <v>4</v>
      </c>
      <c r="E570" s="1" t="s">
        <v>1076</v>
      </c>
      <c r="F570" s="1" t="s">
        <v>1106</v>
      </c>
      <c r="G570" s="7" t="str">
        <f>_xlfn.XLOOKUP(Order_Details[[#This Row],[Order ID]], List_of_orders[Order ID], List_of_orders[State])</f>
        <v>Madhya Pradesh</v>
      </c>
      <c r="H570" s="10">
        <f>_xlfn.XLOOKUP(Order_Details[[#This Row],[Order ID]], List_of_orders[Order ID], List_of_orders[Order Date (Clean)])</f>
        <v>43367</v>
      </c>
      <c r="I570" s="7" t="str">
        <f>_xlfn.XLOOKUP(Order_Details[[#This Row],[Order ID]], List_of_orders[Order ID], List_of_orders[CustomerName])</f>
        <v>Siddharth</v>
      </c>
      <c r="J570" s="7" t="str">
        <f>_xlfn.XLOOKUP(Order_Details[[#This Row],[Order ID]], List_of_orders[Order ID], List_of_orders[City])</f>
        <v>Indore</v>
      </c>
      <c r="K570" s="8" t="str">
        <f>TEXT(Order_Details[[#This Row],[Order Date]], "YY-MMM")</f>
        <v>18-Sep</v>
      </c>
      <c r="L570" s="11">
        <f>Order_Details[[#This Row],[Profit]]/Order_Details[[#This Row],[Amount]]</f>
        <v>-0.98054474708171202</v>
      </c>
      <c r="M570" s="8">
        <f>YEAR(Order_Details[[#This Row],[Order Date]])</f>
        <v>2018</v>
      </c>
      <c r="N570" s="8">
        <f>ROUNDUP(MONTH(Order_Details[[#This Row],[Order Date]])/3, 0)</f>
        <v>3</v>
      </c>
    </row>
    <row r="571" spans="1:14">
      <c r="A571" s="1" t="s">
        <v>495</v>
      </c>
      <c r="B571" s="1">
        <v>24</v>
      </c>
      <c r="C571" s="1">
        <v>-1</v>
      </c>
      <c r="D571" s="1">
        <v>4</v>
      </c>
      <c r="E571" s="1" t="s">
        <v>1076</v>
      </c>
      <c r="F571" s="1" t="s">
        <v>1117</v>
      </c>
      <c r="G571" s="7" t="str">
        <f>_xlfn.XLOOKUP(Order_Details[[#This Row],[Order ID]], List_of_orders[Order ID], List_of_orders[State])</f>
        <v>Madhya Pradesh</v>
      </c>
      <c r="H571" s="10">
        <f>_xlfn.XLOOKUP(Order_Details[[#This Row],[Order ID]], List_of_orders[Order ID], List_of_orders[Order Date (Clean)])</f>
        <v>43367</v>
      </c>
      <c r="I571" s="7" t="str">
        <f>_xlfn.XLOOKUP(Order_Details[[#This Row],[Order ID]], List_of_orders[Order ID], List_of_orders[CustomerName])</f>
        <v>Siddharth</v>
      </c>
      <c r="J571" s="7" t="str">
        <f>_xlfn.XLOOKUP(Order_Details[[#This Row],[Order ID]], List_of_orders[Order ID], List_of_orders[City])</f>
        <v>Indore</v>
      </c>
      <c r="K571" s="8" t="str">
        <f>TEXT(Order_Details[[#This Row],[Order Date]], "YY-MMM")</f>
        <v>18-Sep</v>
      </c>
      <c r="L571" s="11">
        <f>Order_Details[[#This Row],[Profit]]/Order_Details[[#This Row],[Amount]]</f>
        <v>-4.1666666666666664E-2</v>
      </c>
      <c r="M571" s="8">
        <f>YEAR(Order_Details[[#This Row],[Order Date]])</f>
        <v>2018</v>
      </c>
      <c r="N571" s="8">
        <f>ROUNDUP(MONTH(Order_Details[[#This Row],[Order Date]])/3, 0)</f>
        <v>3</v>
      </c>
    </row>
    <row r="572" spans="1:14">
      <c r="A572" s="1" t="s">
        <v>495</v>
      </c>
      <c r="B572" s="1">
        <v>18</v>
      </c>
      <c r="C572" s="1">
        <v>1</v>
      </c>
      <c r="D572" s="1">
        <v>3</v>
      </c>
      <c r="E572" s="1" t="s">
        <v>1076</v>
      </c>
      <c r="F572" s="1" t="s">
        <v>1103</v>
      </c>
      <c r="G572" s="7" t="str">
        <f>_xlfn.XLOOKUP(Order_Details[[#This Row],[Order ID]], List_of_orders[Order ID], List_of_orders[State])</f>
        <v>Madhya Pradesh</v>
      </c>
      <c r="H572" s="10">
        <f>_xlfn.XLOOKUP(Order_Details[[#This Row],[Order ID]], List_of_orders[Order ID], List_of_orders[Order Date (Clean)])</f>
        <v>43367</v>
      </c>
      <c r="I572" s="7" t="str">
        <f>_xlfn.XLOOKUP(Order_Details[[#This Row],[Order ID]], List_of_orders[Order ID], List_of_orders[CustomerName])</f>
        <v>Siddharth</v>
      </c>
      <c r="J572" s="7" t="str">
        <f>_xlfn.XLOOKUP(Order_Details[[#This Row],[Order ID]], List_of_orders[Order ID], List_of_orders[City])</f>
        <v>Indore</v>
      </c>
      <c r="K572" s="8" t="str">
        <f>TEXT(Order_Details[[#This Row],[Order Date]], "YY-MMM")</f>
        <v>18-Sep</v>
      </c>
      <c r="L572" s="11">
        <f>Order_Details[[#This Row],[Profit]]/Order_Details[[#This Row],[Amount]]</f>
        <v>5.5555555555555552E-2</v>
      </c>
      <c r="M572" s="8">
        <f>YEAR(Order_Details[[#This Row],[Order Date]])</f>
        <v>2018</v>
      </c>
      <c r="N572" s="8">
        <f>ROUNDUP(MONTH(Order_Details[[#This Row],[Order Date]])/3, 0)</f>
        <v>3</v>
      </c>
    </row>
    <row r="573" spans="1:14">
      <c r="A573" s="1" t="s">
        <v>495</v>
      </c>
      <c r="B573" s="1">
        <v>1402</v>
      </c>
      <c r="C573" s="1">
        <v>109</v>
      </c>
      <c r="D573" s="1">
        <v>11</v>
      </c>
      <c r="E573" s="1" t="s">
        <v>1076</v>
      </c>
      <c r="F573" s="1" t="s">
        <v>1106</v>
      </c>
      <c r="G573" s="7" t="str">
        <f>_xlfn.XLOOKUP(Order_Details[[#This Row],[Order ID]], List_of_orders[Order ID], List_of_orders[State])</f>
        <v>Madhya Pradesh</v>
      </c>
      <c r="H573" s="10">
        <f>_xlfn.XLOOKUP(Order_Details[[#This Row],[Order ID]], List_of_orders[Order ID], List_of_orders[Order Date (Clean)])</f>
        <v>43367</v>
      </c>
      <c r="I573" s="7" t="str">
        <f>_xlfn.XLOOKUP(Order_Details[[#This Row],[Order ID]], List_of_orders[Order ID], List_of_orders[CustomerName])</f>
        <v>Siddharth</v>
      </c>
      <c r="J573" s="7" t="str">
        <f>_xlfn.XLOOKUP(Order_Details[[#This Row],[Order ID]], List_of_orders[Order ID], List_of_orders[City])</f>
        <v>Indore</v>
      </c>
      <c r="K573" s="8" t="str">
        <f>TEXT(Order_Details[[#This Row],[Order Date]], "YY-MMM")</f>
        <v>18-Sep</v>
      </c>
      <c r="L573" s="11">
        <f>Order_Details[[#This Row],[Profit]]/Order_Details[[#This Row],[Amount]]</f>
        <v>7.7746077032810265E-2</v>
      </c>
      <c r="M573" s="8">
        <f>YEAR(Order_Details[[#This Row],[Order Date]])</f>
        <v>2018</v>
      </c>
      <c r="N573" s="8">
        <f>ROUNDUP(MONTH(Order_Details[[#This Row],[Order Date]])/3, 0)</f>
        <v>3</v>
      </c>
    </row>
    <row r="574" spans="1:14">
      <c r="A574" s="1" t="s">
        <v>497</v>
      </c>
      <c r="B574" s="1">
        <v>176</v>
      </c>
      <c r="C574" s="1">
        <v>37</v>
      </c>
      <c r="D574" s="1">
        <v>6</v>
      </c>
      <c r="E574" s="1" t="s">
        <v>1077</v>
      </c>
      <c r="F574" s="1" t="s">
        <v>1115</v>
      </c>
      <c r="G574" s="7" t="str">
        <f>_xlfn.XLOOKUP(Order_Details[[#This Row],[Order ID]], List_of_orders[Order ID], List_of_orders[State])</f>
        <v>Himachal Pradesh</v>
      </c>
      <c r="H574" s="10">
        <f>_xlfn.XLOOKUP(Order_Details[[#This Row],[Order ID]], List_of_orders[Order ID], List_of_orders[Order Date (Clean)])</f>
        <v>43367</v>
      </c>
      <c r="I574" s="7" t="str">
        <f>_xlfn.XLOOKUP(Order_Details[[#This Row],[Order ID]], List_of_orders[Order ID], List_of_orders[CustomerName])</f>
        <v>Aditya</v>
      </c>
      <c r="J574" s="7" t="str">
        <f>_xlfn.XLOOKUP(Order_Details[[#This Row],[Order ID]], List_of_orders[Order ID], List_of_orders[City])</f>
        <v>Simla</v>
      </c>
      <c r="K574" s="8" t="str">
        <f>TEXT(Order_Details[[#This Row],[Order Date]], "YY-MMM")</f>
        <v>18-Sep</v>
      </c>
      <c r="L574" s="11">
        <f>Order_Details[[#This Row],[Profit]]/Order_Details[[#This Row],[Amount]]</f>
        <v>0.21022727272727273</v>
      </c>
      <c r="M574" s="8">
        <f>YEAR(Order_Details[[#This Row],[Order Date]])</f>
        <v>2018</v>
      </c>
      <c r="N574" s="8">
        <f>ROUNDUP(MONTH(Order_Details[[#This Row],[Order Date]])/3, 0)</f>
        <v>3</v>
      </c>
    </row>
    <row r="575" spans="1:14">
      <c r="A575" s="1" t="s">
        <v>498</v>
      </c>
      <c r="B575" s="1">
        <v>276</v>
      </c>
      <c r="C575" s="1">
        <v>-21</v>
      </c>
      <c r="D575" s="1">
        <v>2</v>
      </c>
      <c r="E575" s="1" t="s">
        <v>1077</v>
      </c>
      <c r="F575" s="1" t="s">
        <v>1105</v>
      </c>
      <c r="G575" s="7" t="str">
        <f>_xlfn.XLOOKUP(Order_Details[[#This Row],[Order ID]], List_of_orders[Order ID], List_of_orders[State])</f>
        <v>Sikkim</v>
      </c>
      <c r="H575" s="10">
        <f>_xlfn.XLOOKUP(Order_Details[[#This Row],[Order ID]], List_of_orders[Order ID], List_of_orders[Order Date (Clean)])</f>
        <v>43367</v>
      </c>
      <c r="I575" s="7" t="str">
        <f>_xlfn.XLOOKUP(Order_Details[[#This Row],[Order ID]], List_of_orders[Order ID], List_of_orders[CustomerName])</f>
        <v>Sukant</v>
      </c>
      <c r="J575" s="7" t="str">
        <f>_xlfn.XLOOKUP(Order_Details[[#This Row],[Order ID]], List_of_orders[Order ID], List_of_orders[City])</f>
        <v>Gangtok</v>
      </c>
      <c r="K575" s="8" t="str">
        <f>TEXT(Order_Details[[#This Row],[Order Date]], "YY-MMM")</f>
        <v>18-Sep</v>
      </c>
      <c r="L575" s="11">
        <f>Order_Details[[#This Row],[Profit]]/Order_Details[[#This Row],[Amount]]</f>
        <v>-7.6086956521739135E-2</v>
      </c>
      <c r="M575" s="8">
        <f>YEAR(Order_Details[[#This Row],[Order Date]])</f>
        <v>2018</v>
      </c>
      <c r="N575" s="8">
        <f>ROUNDUP(MONTH(Order_Details[[#This Row],[Order Date]])/3, 0)</f>
        <v>3</v>
      </c>
    </row>
    <row r="576" spans="1:14">
      <c r="A576" s="1" t="s">
        <v>500</v>
      </c>
      <c r="B576" s="1">
        <v>37</v>
      </c>
      <c r="C576" s="1">
        <v>-6</v>
      </c>
      <c r="D576" s="1">
        <v>1</v>
      </c>
      <c r="E576" s="1" t="s">
        <v>1076</v>
      </c>
      <c r="F576" s="1" t="s">
        <v>1106</v>
      </c>
      <c r="G576" s="7" t="str">
        <f>_xlfn.XLOOKUP(Order_Details[[#This Row],[Order ID]], List_of_orders[Order ID], List_of_orders[State])</f>
        <v>Maharashtra</v>
      </c>
      <c r="H576" s="10">
        <f>_xlfn.XLOOKUP(Order_Details[[#This Row],[Order ID]], List_of_orders[Order ID], List_of_orders[Order Date (Clean)])</f>
        <v>43367</v>
      </c>
      <c r="I576" s="7" t="str">
        <f>_xlfn.XLOOKUP(Order_Details[[#This Row],[Order ID]], List_of_orders[Order ID], List_of_orders[CustomerName])</f>
        <v>Sukrith</v>
      </c>
      <c r="J576" s="7" t="str">
        <f>_xlfn.XLOOKUP(Order_Details[[#This Row],[Order ID]], List_of_orders[Order ID], List_of_orders[City])</f>
        <v>Mumbai</v>
      </c>
      <c r="K576" s="8" t="str">
        <f>TEXT(Order_Details[[#This Row],[Order Date]], "YY-MMM")</f>
        <v>18-Sep</v>
      </c>
      <c r="L576" s="11">
        <f>Order_Details[[#This Row],[Profit]]/Order_Details[[#This Row],[Amount]]</f>
        <v>-0.16216216216216217</v>
      </c>
      <c r="M576" s="8">
        <f>YEAR(Order_Details[[#This Row],[Order Date]])</f>
        <v>2018</v>
      </c>
      <c r="N576" s="8">
        <f>ROUNDUP(MONTH(Order_Details[[#This Row],[Order Date]])/3, 0)</f>
        <v>3</v>
      </c>
    </row>
    <row r="577" spans="1:14">
      <c r="A577" s="1" t="s">
        <v>500</v>
      </c>
      <c r="B577" s="1">
        <v>28</v>
      </c>
      <c r="C577" s="1">
        <v>1</v>
      </c>
      <c r="D577" s="1">
        <v>1</v>
      </c>
      <c r="E577" s="1" t="s">
        <v>1077</v>
      </c>
      <c r="F577" s="1" t="s">
        <v>1115</v>
      </c>
      <c r="G577" s="7" t="str">
        <f>_xlfn.XLOOKUP(Order_Details[[#This Row],[Order ID]], List_of_orders[Order ID], List_of_orders[State])</f>
        <v>Maharashtra</v>
      </c>
      <c r="H577" s="10">
        <f>_xlfn.XLOOKUP(Order_Details[[#This Row],[Order ID]], List_of_orders[Order ID], List_of_orders[Order Date (Clean)])</f>
        <v>43367</v>
      </c>
      <c r="I577" s="7" t="str">
        <f>_xlfn.XLOOKUP(Order_Details[[#This Row],[Order ID]], List_of_orders[Order ID], List_of_orders[CustomerName])</f>
        <v>Sukrith</v>
      </c>
      <c r="J577" s="7" t="str">
        <f>_xlfn.XLOOKUP(Order_Details[[#This Row],[Order ID]], List_of_orders[Order ID], List_of_orders[City])</f>
        <v>Mumbai</v>
      </c>
      <c r="K577" s="8" t="str">
        <f>TEXT(Order_Details[[#This Row],[Order Date]], "YY-MMM")</f>
        <v>18-Sep</v>
      </c>
      <c r="L577" s="11">
        <f>Order_Details[[#This Row],[Profit]]/Order_Details[[#This Row],[Amount]]</f>
        <v>3.5714285714285712E-2</v>
      </c>
      <c r="M577" s="8">
        <f>YEAR(Order_Details[[#This Row],[Order Date]])</f>
        <v>2018</v>
      </c>
      <c r="N577" s="8">
        <f>ROUNDUP(MONTH(Order_Details[[#This Row],[Order Date]])/3, 0)</f>
        <v>3</v>
      </c>
    </row>
    <row r="578" spans="1:14">
      <c r="A578" s="1" t="s">
        <v>500</v>
      </c>
      <c r="B578" s="1">
        <v>239</v>
      </c>
      <c r="C578" s="1">
        <v>-162</v>
      </c>
      <c r="D578" s="1">
        <v>5</v>
      </c>
      <c r="E578" s="1" t="s">
        <v>1075</v>
      </c>
      <c r="F578" s="1" t="s">
        <v>1108</v>
      </c>
      <c r="G578" s="7" t="str">
        <f>_xlfn.XLOOKUP(Order_Details[[#This Row],[Order ID]], List_of_orders[Order ID], List_of_orders[State])</f>
        <v>Maharashtra</v>
      </c>
      <c r="H578" s="10">
        <f>_xlfn.XLOOKUP(Order_Details[[#This Row],[Order ID]], List_of_orders[Order ID], List_of_orders[Order Date (Clean)])</f>
        <v>43367</v>
      </c>
      <c r="I578" s="7" t="str">
        <f>_xlfn.XLOOKUP(Order_Details[[#This Row],[Order ID]], List_of_orders[Order ID], List_of_orders[CustomerName])</f>
        <v>Sukrith</v>
      </c>
      <c r="J578" s="7" t="str">
        <f>_xlfn.XLOOKUP(Order_Details[[#This Row],[Order ID]], List_of_orders[Order ID], List_of_orders[City])</f>
        <v>Mumbai</v>
      </c>
      <c r="K578" s="8" t="str">
        <f>TEXT(Order_Details[[#This Row],[Order Date]], "YY-MMM")</f>
        <v>18-Sep</v>
      </c>
      <c r="L578" s="11">
        <f>Order_Details[[#This Row],[Profit]]/Order_Details[[#This Row],[Amount]]</f>
        <v>-0.67782426778242677</v>
      </c>
      <c r="M578" s="8">
        <f>YEAR(Order_Details[[#This Row],[Order Date]])</f>
        <v>2018</v>
      </c>
      <c r="N578" s="8">
        <f>ROUNDUP(MONTH(Order_Details[[#This Row],[Order Date]])/3, 0)</f>
        <v>3</v>
      </c>
    </row>
    <row r="579" spans="1:14">
      <c r="A579" s="1" t="s">
        <v>500</v>
      </c>
      <c r="B579" s="1">
        <v>78</v>
      </c>
      <c r="C579" s="1">
        <v>-64</v>
      </c>
      <c r="D579" s="1">
        <v>7</v>
      </c>
      <c r="E579" s="1" t="s">
        <v>1076</v>
      </c>
      <c r="F579" s="1" t="s">
        <v>1102</v>
      </c>
      <c r="G579" s="7" t="str">
        <f>_xlfn.XLOOKUP(Order_Details[[#This Row],[Order ID]], List_of_orders[Order ID], List_of_orders[State])</f>
        <v>Maharashtra</v>
      </c>
      <c r="H579" s="10">
        <f>_xlfn.XLOOKUP(Order_Details[[#This Row],[Order ID]], List_of_orders[Order ID], List_of_orders[Order Date (Clean)])</f>
        <v>43367</v>
      </c>
      <c r="I579" s="7" t="str">
        <f>_xlfn.XLOOKUP(Order_Details[[#This Row],[Order ID]], List_of_orders[Order ID], List_of_orders[CustomerName])</f>
        <v>Sukrith</v>
      </c>
      <c r="J579" s="7" t="str">
        <f>_xlfn.XLOOKUP(Order_Details[[#This Row],[Order ID]], List_of_orders[Order ID], List_of_orders[City])</f>
        <v>Mumbai</v>
      </c>
      <c r="K579" s="8" t="str">
        <f>TEXT(Order_Details[[#This Row],[Order Date]], "YY-MMM")</f>
        <v>18-Sep</v>
      </c>
      <c r="L579" s="11">
        <f>Order_Details[[#This Row],[Profit]]/Order_Details[[#This Row],[Amount]]</f>
        <v>-0.82051282051282048</v>
      </c>
      <c r="M579" s="8">
        <f>YEAR(Order_Details[[#This Row],[Order Date]])</f>
        <v>2018</v>
      </c>
      <c r="N579" s="8">
        <f>ROUNDUP(MONTH(Order_Details[[#This Row],[Order Date]])/3, 0)</f>
        <v>3</v>
      </c>
    </row>
    <row r="580" spans="1:14">
      <c r="A580" s="1" t="s">
        <v>500</v>
      </c>
      <c r="B580" s="1">
        <v>632</v>
      </c>
      <c r="C580" s="1">
        <v>-316</v>
      </c>
      <c r="D580" s="1">
        <v>6</v>
      </c>
      <c r="E580" s="1" t="s">
        <v>1076</v>
      </c>
      <c r="F580" s="1" t="s">
        <v>1106</v>
      </c>
      <c r="G580" s="7" t="str">
        <f>_xlfn.XLOOKUP(Order_Details[[#This Row],[Order ID]], List_of_orders[Order ID], List_of_orders[State])</f>
        <v>Maharashtra</v>
      </c>
      <c r="H580" s="10">
        <f>_xlfn.XLOOKUP(Order_Details[[#This Row],[Order ID]], List_of_orders[Order ID], List_of_orders[Order Date (Clean)])</f>
        <v>43367</v>
      </c>
      <c r="I580" s="7" t="str">
        <f>_xlfn.XLOOKUP(Order_Details[[#This Row],[Order ID]], List_of_orders[Order ID], List_of_orders[CustomerName])</f>
        <v>Sukrith</v>
      </c>
      <c r="J580" s="7" t="str">
        <f>_xlfn.XLOOKUP(Order_Details[[#This Row],[Order ID]], List_of_orders[Order ID], List_of_orders[City])</f>
        <v>Mumbai</v>
      </c>
      <c r="K580" s="8" t="str">
        <f>TEXT(Order_Details[[#This Row],[Order Date]], "YY-MMM")</f>
        <v>18-Sep</v>
      </c>
      <c r="L580" s="11">
        <f>Order_Details[[#This Row],[Profit]]/Order_Details[[#This Row],[Amount]]</f>
        <v>-0.5</v>
      </c>
      <c r="M580" s="8">
        <f>YEAR(Order_Details[[#This Row],[Order Date]])</f>
        <v>2018</v>
      </c>
      <c r="N580" s="8">
        <f>ROUNDUP(MONTH(Order_Details[[#This Row],[Order Date]])/3, 0)</f>
        <v>3</v>
      </c>
    </row>
    <row r="581" spans="1:14">
      <c r="A581" s="1" t="s">
        <v>500</v>
      </c>
      <c r="B581" s="1">
        <v>559</v>
      </c>
      <c r="C581" s="1">
        <v>-19</v>
      </c>
      <c r="D581" s="1">
        <v>2</v>
      </c>
      <c r="E581" s="1" t="s">
        <v>1076</v>
      </c>
      <c r="F581" s="1" t="s">
        <v>1107</v>
      </c>
      <c r="G581" s="7" t="str">
        <f>_xlfn.XLOOKUP(Order_Details[[#This Row],[Order ID]], List_of_orders[Order ID], List_of_orders[State])</f>
        <v>Maharashtra</v>
      </c>
      <c r="H581" s="10">
        <f>_xlfn.XLOOKUP(Order_Details[[#This Row],[Order ID]], List_of_orders[Order ID], List_of_orders[Order Date (Clean)])</f>
        <v>43367</v>
      </c>
      <c r="I581" s="7" t="str">
        <f>_xlfn.XLOOKUP(Order_Details[[#This Row],[Order ID]], List_of_orders[Order ID], List_of_orders[CustomerName])</f>
        <v>Sukrith</v>
      </c>
      <c r="J581" s="7" t="str">
        <f>_xlfn.XLOOKUP(Order_Details[[#This Row],[Order ID]], List_of_orders[Order ID], List_of_orders[City])</f>
        <v>Mumbai</v>
      </c>
      <c r="K581" s="8" t="str">
        <f>TEXT(Order_Details[[#This Row],[Order Date]], "YY-MMM")</f>
        <v>18-Sep</v>
      </c>
      <c r="L581" s="11">
        <f>Order_Details[[#This Row],[Profit]]/Order_Details[[#This Row],[Amount]]</f>
        <v>-3.3989266547406083E-2</v>
      </c>
      <c r="M581" s="8">
        <f>YEAR(Order_Details[[#This Row],[Order Date]])</f>
        <v>2018</v>
      </c>
      <c r="N581" s="8">
        <f>ROUNDUP(MONTH(Order_Details[[#This Row],[Order Date]])/3, 0)</f>
        <v>3</v>
      </c>
    </row>
    <row r="582" spans="1:14">
      <c r="A582" s="1" t="s">
        <v>500</v>
      </c>
      <c r="B582" s="1">
        <v>148</v>
      </c>
      <c r="C582" s="1">
        <v>0</v>
      </c>
      <c r="D582" s="1">
        <v>3</v>
      </c>
      <c r="E582" s="1" t="s">
        <v>1076</v>
      </c>
      <c r="F582" s="1" t="s">
        <v>1106</v>
      </c>
      <c r="G582" s="7" t="str">
        <f>_xlfn.XLOOKUP(Order_Details[[#This Row],[Order ID]], List_of_orders[Order ID], List_of_orders[State])</f>
        <v>Maharashtra</v>
      </c>
      <c r="H582" s="10">
        <f>_xlfn.XLOOKUP(Order_Details[[#This Row],[Order ID]], List_of_orders[Order ID], List_of_orders[Order Date (Clean)])</f>
        <v>43367</v>
      </c>
      <c r="I582" s="7" t="str">
        <f>_xlfn.XLOOKUP(Order_Details[[#This Row],[Order ID]], List_of_orders[Order ID], List_of_orders[CustomerName])</f>
        <v>Sukrith</v>
      </c>
      <c r="J582" s="7" t="str">
        <f>_xlfn.XLOOKUP(Order_Details[[#This Row],[Order ID]], List_of_orders[Order ID], List_of_orders[City])</f>
        <v>Mumbai</v>
      </c>
      <c r="K582" s="8" t="str">
        <f>TEXT(Order_Details[[#This Row],[Order Date]], "YY-MMM")</f>
        <v>18-Sep</v>
      </c>
      <c r="L582" s="11">
        <f>Order_Details[[#This Row],[Profit]]/Order_Details[[#This Row],[Amount]]</f>
        <v>0</v>
      </c>
      <c r="M582" s="8">
        <f>YEAR(Order_Details[[#This Row],[Order Date]])</f>
        <v>2018</v>
      </c>
      <c r="N582" s="8">
        <f>ROUNDUP(MONTH(Order_Details[[#This Row],[Order Date]])/3, 0)</f>
        <v>3</v>
      </c>
    </row>
    <row r="583" spans="1:14">
      <c r="A583" s="1" t="s">
        <v>502</v>
      </c>
      <c r="B583" s="1">
        <v>976</v>
      </c>
      <c r="C583" s="1">
        <v>293</v>
      </c>
      <c r="D583" s="1">
        <v>4</v>
      </c>
      <c r="E583" s="1" t="s">
        <v>1077</v>
      </c>
      <c r="F583" s="1" t="s">
        <v>1115</v>
      </c>
      <c r="G583" s="7" t="str">
        <f>_xlfn.XLOOKUP(Order_Details[[#This Row],[Order ID]], List_of_orders[Order ID], List_of_orders[State])</f>
        <v>Madhya Pradesh</v>
      </c>
      <c r="H583" s="10">
        <f>_xlfn.XLOOKUP(Order_Details[[#This Row],[Order ID]], List_of_orders[Order ID], List_of_orders[Order Date (Clean)])</f>
        <v>43373</v>
      </c>
      <c r="I583" s="7" t="str">
        <f>_xlfn.XLOOKUP(Order_Details[[#This Row],[Order ID]], List_of_orders[Order ID], List_of_orders[CustomerName])</f>
        <v>Sauptik</v>
      </c>
      <c r="J583" s="7" t="str">
        <f>_xlfn.XLOOKUP(Order_Details[[#This Row],[Order ID]], List_of_orders[Order ID], List_of_orders[City])</f>
        <v>Indore</v>
      </c>
      <c r="K583" s="8" t="str">
        <f>TEXT(Order_Details[[#This Row],[Order Date]], "YY-MMM")</f>
        <v>18-Sep</v>
      </c>
      <c r="L583" s="11">
        <f>Order_Details[[#This Row],[Profit]]/Order_Details[[#This Row],[Amount]]</f>
        <v>0.30020491803278687</v>
      </c>
      <c r="M583" s="8">
        <f>YEAR(Order_Details[[#This Row],[Order Date]])</f>
        <v>2018</v>
      </c>
      <c r="N583" s="8">
        <f>ROUNDUP(MONTH(Order_Details[[#This Row],[Order Date]])/3, 0)</f>
        <v>3</v>
      </c>
    </row>
    <row r="584" spans="1:14">
      <c r="A584" s="1" t="s">
        <v>502</v>
      </c>
      <c r="B584" s="1">
        <v>148</v>
      </c>
      <c r="C584" s="1">
        <v>-101</v>
      </c>
      <c r="D584" s="1">
        <v>2</v>
      </c>
      <c r="E584" s="1" t="s">
        <v>1075</v>
      </c>
      <c r="F584" s="1" t="s">
        <v>1101</v>
      </c>
      <c r="G584" s="7" t="str">
        <f>_xlfn.XLOOKUP(Order_Details[[#This Row],[Order ID]], List_of_orders[Order ID], List_of_orders[State])</f>
        <v>Madhya Pradesh</v>
      </c>
      <c r="H584" s="10">
        <f>_xlfn.XLOOKUP(Order_Details[[#This Row],[Order ID]], List_of_orders[Order ID], List_of_orders[Order Date (Clean)])</f>
        <v>43373</v>
      </c>
      <c r="I584" s="7" t="str">
        <f>_xlfn.XLOOKUP(Order_Details[[#This Row],[Order ID]], List_of_orders[Order ID], List_of_orders[CustomerName])</f>
        <v>Sauptik</v>
      </c>
      <c r="J584" s="7" t="str">
        <f>_xlfn.XLOOKUP(Order_Details[[#This Row],[Order ID]], List_of_orders[Order ID], List_of_orders[City])</f>
        <v>Indore</v>
      </c>
      <c r="K584" s="8" t="str">
        <f>TEXT(Order_Details[[#This Row],[Order Date]], "YY-MMM")</f>
        <v>18-Sep</v>
      </c>
      <c r="L584" s="11">
        <f>Order_Details[[#This Row],[Profit]]/Order_Details[[#This Row],[Amount]]</f>
        <v>-0.68243243243243246</v>
      </c>
      <c r="M584" s="8">
        <f>YEAR(Order_Details[[#This Row],[Order Date]])</f>
        <v>2018</v>
      </c>
      <c r="N584" s="8">
        <f>ROUNDUP(MONTH(Order_Details[[#This Row],[Order Date]])/3, 0)</f>
        <v>3</v>
      </c>
    </row>
    <row r="585" spans="1:14">
      <c r="A585" s="1" t="s">
        <v>502</v>
      </c>
      <c r="B585" s="1">
        <v>413</v>
      </c>
      <c r="C585" s="1">
        <v>-314</v>
      </c>
      <c r="D585" s="1">
        <v>9</v>
      </c>
      <c r="E585" s="1" t="s">
        <v>1075</v>
      </c>
      <c r="F585" s="1" t="s">
        <v>1108</v>
      </c>
      <c r="G585" s="7" t="str">
        <f>_xlfn.XLOOKUP(Order_Details[[#This Row],[Order ID]], List_of_orders[Order ID], List_of_orders[State])</f>
        <v>Madhya Pradesh</v>
      </c>
      <c r="H585" s="10">
        <f>_xlfn.XLOOKUP(Order_Details[[#This Row],[Order ID]], List_of_orders[Order ID], List_of_orders[Order Date (Clean)])</f>
        <v>43373</v>
      </c>
      <c r="I585" s="7" t="str">
        <f>_xlfn.XLOOKUP(Order_Details[[#This Row],[Order ID]], List_of_orders[Order ID], List_of_orders[CustomerName])</f>
        <v>Sauptik</v>
      </c>
      <c r="J585" s="7" t="str">
        <f>_xlfn.XLOOKUP(Order_Details[[#This Row],[Order ID]], List_of_orders[Order ID], List_of_orders[City])</f>
        <v>Indore</v>
      </c>
      <c r="K585" s="8" t="str">
        <f>TEXT(Order_Details[[#This Row],[Order Date]], "YY-MMM")</f>
        <v>18-Sep</v>
      </c>
      <c r="L585" s="11">
        <f>Order_Details[[#This Row],[Profit]]/Order_Details[[#This Row],[Amount]]</f>
        <v>-0.76029055690072644</v>
      </c>
      <c r="M585" s="8">
        <f>YEAR(Order_Details[[#This Row],[Order Date]])</f>
        <v>2018</v>
      </c>
      <c r="N585" s="8">
        <f>ROUNDUP(MONTH(Order_Details[[#This Row],[Order Date]])/3, 0)</f>
        <v>3</v>
      </c>
    </row>
    <row r="586" spans="1:14">
      <c r="A586" s="1" t="s">
        <v>502</v>
      </c>
      <c r="B586" s="1">
        <v>89</v>
      </c>
      <c r="C586" s="1">
        <v>-4</v>
      </c>
      <c r="D586" s="1">
        <v>5</v>
      </c>
      <c r="E586" s="1" t="s">
        <v>1076</v>
      </c>
      <c r="F586" s="1" t="s">
        <v>1106</v>
      </c>
      <c r="G586" s="7" t="str">
        <f>_xlfn.XLOOKUP(Order_Details[[#This Row],[Order ID]], List_of_orders[Order ID], List_of_orders[State])</f>
        <v>Madhya Pradesh</v>
      </c>
      <c r="H586" s="10">
        <f>_xlfn.XLOOKUP(Order_Details[[#This Row],[Order ID]], List_of_orders[Order ID], List_of_orders[Order Date (Clean)])</f>
        <v>43373</v>
      </c>
      <c r="I586" s="7" t="str">
        <f>_xlfn.XLOOKUP(Order_Details[[#This Row],[Order ID]], List_of_orders[Order ID], List_of_orders[CustomerName])</f>
        <v>Sauptik</v>
      </c>
      <c r="J586" s="7" t="str">
        <f>_xlfn.XLOOKUP(Order_Details[[#This Row],[Order ID]], List_of_orders[Order ID], List_of_orders[City])</f>
        <v>Indore</v>
      </c>
      <c r="K586" s="8" t="str">
        <f>TEXT(Order_Details[[#This Row],[Order Date]], "YY-MMM")</f>
        <v>18-Sep</v>
      </c>
      <c r="L586" s="11">
        <f>Order_Details[[#This Row],[Profit]]/Order_Details[[#This Row],[Amount]]</f>
        <v>-4.49438202247191E-2</v>
      </c>
      <c r="M586" s="8">
        <f>YEAR(Order_Details[[#This Row],[Order Date]])</f>
        <v>2018</v>
      </c>
      <c r="N586" s="8">
        <f>ROUNDUP(MONTH(Order_Details[[#This Row],[Order Date]])/3, 0)</f>
        <v>3</v>
      </c>
    </row>
    <row r="587" spans="1:14">
      <c r="A587" s="1" t="s">
        <v>502</v>
      </c>
      <c r="B587" s="1">
        <v>1630</v>
      </c>
      <c r="C587" s="1">
        <v>-802</v>
      </c>
      <c r="D587" s="1">
        <v>5</v>
      </c>
      <c r="E587" s="1" t="s">
        <v>1075</v>
      </c>
      <c r="F587" s="1" t="s">
        <v>1113</v>
      </c>
      <c r="G587" s="7" t="str">
        <f>_xlfn.XLOOKUP(Order_Details[[#This Row],[Order ID]], List_of_orders[Order ID], List_of_orders[State])</f>
        <v>Madhya Pradesh</v>
      </c>
      <c r="H587" s="10">
        <f>_xlfn.XLOOKUP(Order_Details[[#This Row],[Order ID]], List_of_orders[Order ID], List_of_orders[Order Date (Clean)])</f>
        <v>43373</v>
      </c>
      <c r="I587" s="7" t="str">
        <f>_xlfn.XLOOKUP(Order_Details[[#This Row],[Order ID]], List_of_orders[Order ID], List_of_orders[CustomerName])</f>
        <v>Sauptik</v>
      </c>
      <c r="J587" s="7" t="str">
        <f>_xlfn.XLOOKUP(Order_Details[[#This Row],[Order ID]], List_of_orders[Order ID], List_of_orders[City])</f>
        <v>Indore</v>
      </c>
      <c r="K587" s="8" t="str">
        <f>TEXT(Order_Details[[#This Row],[Order Date]], "YY-MMM")</f>
        <v>18-Sep</v>
      </c>
      <c r="L587" s="11">
        <f>Order_Details[[#This Row],[Profit]]/Order_Details[[#This Row],[Amount]]</f>
        <v>-0.4920245398773006</v>
      </c>
      <c r="M587" s="8">
        <f>YEAR(Order_Details[[#This Row],[Order Date]])</f>
        <v>2018</v>
      </c>
      <c r="N587" s="8">
        <f>ROUNDUP(MONTH(Order_Details[[#This Row],[Order Date]])/3, 0)</f>
        <v>3</v>
      </c>
    </row>
    <row r="588" spans="1:14">
      <c r="A588" s="1" t="s">
        <v>502</v>
      </c>
      <c r="B588" s="1">
        <v>31</v>
      </c>
      <c r="C588" s="1">
        <v>1</v>
      </c>
      <c r="D588" s="1">
        <v>2</v>
      </c>
      <c r="E588" s="1" t="s">
        <v>1076</v>
      </c>
      <c r="F588" s="1" t="s">
        <v>1103</v>
      </c>
      <c r="G588" s="7" t="str">
        <f>_xlfn.XLOOKUP(Order_Details[[#This Row],[Order ID]], List_of_orders[Order ID], List_of_orders[State])</f>
        <v>Madhya Pradesh</v>
      </c>
      <c r="H588" s="10">
        <f>_xlfn.XLOOKUP(Order_Details[[#This Row],[Order ID]], List_of_orders[Order ID], List_of_orders[Order Date (Clean)])</f>
        <v>43373</v>
      </c>
      <c r="I588" s="7" t="str">
        <f>_xlfn.XLOOKUP(Order_Details[[#This Row],[Order ID]], List_of_orders[Order ID], List_of_orders[CustomerName])</f>
        <v>Sauptik</v>
      </c>
      <c r="J588" s="7" t="str">
        <f>_xlfn.XLOOKUP(Order_Details[[#This Row],[Order ID]], List_of_orders[Order ID], List_of_orders[City])</f>
        <v>Indore</v>
      </c>
      <c r="K588" s="8" t="str">
        <f>TEXT(Order_Details[[#This Row],[Order Date]], "YY-MMM")</f>
        <v>18-Sep</v>
      </c>
      <c r="L588" s="11">
        <f>Order_Details[[#This Row],[Profit]]/Order_Details[[#This Row],[Amount]]</f>
        <v>3.2258064516129031E-2</v>
      </c>
      <c r="M588" s="8">
        <f>YEAR(Order_Details[[#This Row],[Order Date]])</f>
        <v>2018</v>
      </c>
      <c r="N588" s="8">
        <f>ROUNDUP(MONTH(Order_Details[[#This Row],[Order Date]])/3, 0)</f>
        <v>3</v>
      </c>
    </row>
    <row r="589" spans="1:14">
      <c r="A589" s="1" t="s">
        <v>505</v>
      </c>
      <c r="B589" s="1">
        <v>379</v>
      </c>
      <c r="C589" s="1">
        <v>63</v>
      </c>
      <c r="D589" s="1">
        <v>2</v>
      </c>
      <c r="E589" s="1" t="s">
        <v>1076</v>
      </c>
      <c r="F589" s="1" t="s">
        <v>1106</v>
      </c>
      <c r="G589" s="7" t="str">
        <f>_xlfn.XLOOKUP(Order_Details[[#This Row],[Order ID]], List_of_orders[Order ID], List_of_orders[State])</f>
        <v>Andhra Pradesh</v>
      </c>
      <c r="H589" s="10">
        <f>_xlfn.XLOOKUP(Order_Details[[#This Row],[Order ID]], List_of_orders[Order ID], List_of_orders[Order Date (Clean)])</f>
        <v>43374</v>
      </c>
      <c r="I589" s="7" t="str">
        <f>_xlfn.XLOOKUP(Order_Details[[#This Row],[Order ID]], List_of_orders[Order ID], List_of_orders[CustomerName])</f>
        <v>Shishu</v>
      </c>
      <c r="J589" s="7" t="str">
        <f>_xlfn.XLOOKUP(Order_Details[[#This Row],[Order ID]], List_of_orders[Order ID], List_of_orders[City])</f>
        <v>Hyderabad</v>
      </c>
      <c r="K589" s="8" t="str">
        <f>TEXT(Order_Details[[#This Row],[Order Date]], "YY-MMM")</f>
        <v>18-Oct</v>
      </c>
      <c r="L589" s="11">
        <f>Order_Details[[#This Row],[Profit]]/Order_Details[[#This Row],[Amount]]</f>
        <v>0.16622691292875991</v>
      </c>
      <c r="M589" s="8">
        <f>YEAR(Order_Details[[#This Row],[Order Date]])</f>
        <v>2018</v>
      </c>
      <c r="N589" s="8">
        <f>ROUNDUP(MONTH(Order_Details[[#This Row],[Order Date]])/3, 0)</f>
        <v>4</v>
      </c>
    </row>
    <row r="590" spans="1:14">
      <c r="A590" s="1" t="s">
        <v>505</v>
      </c>
      <c r="B590" s="1">
        <v>448</v>
      </c>
      <c r="C590" s="1">
        <v>148</v>
      </c>
      <c r="D590" s="1">
        <v>2</v>
      </c>
      <c r="E590" s="1" t="s">
        <v>1077</v>
      </c>
      <c r="F590" s="1" t="s">
        <v>1114</v>
      </c>
      <c r="G590" s="7" t="str">
        <f>_xlfn.XLOOKUP(Order_Details[[#This Row],[Order ID]], List_of_orders[Order ID], List_of_orders[State])</f>
        <v>Andhra Pradesh</v>
      </c>
      <c r="H590" s="10">
        <f>_xlfn.XLOOKUP(Order_Details[[#This Row],[Order ID]], List_of_orders[Order ID], List_of_orders[Order Date (Clean)])</f>
        <v>43374</v>
      </c>
      <c r="I590" s="7" t="str">
        <f>_xlfn.XLOOKUP(Order_Details[[#This Row],[Order ID]], List_of_orders[Order ID], List_of_orders[CustomerName])</f>
        <v>Shishu</v>
      </c>
      <c r="J590" s="7" t="str">
        <f>_xlfn.XLOOKUP(Order_Details[[#This Row],[Order ID]], List_of_orders[Order ID], List_of_orders[City])</f>
        <v>Hyderabad</v>
      </c>
      <c r="K590" s="8" t="str">
        <f>TEXT(Order_Details[[#This Row],[Order Date]], "YY-MMM")</f>
        <v>18-Oct</v>
      </c>
      <c r="L590" s="11">
        <f>Order_Details[[#This Row],[Profit]]/Order_Details[[#This Row],[Amount]]</f>
        <v>0.33035714285714285</v>
      </c>
      <c r="M590" s="8">
        <f>YEAR(Order_Details[[#This Row],[Order Date]])</f>
        <v>2018</v>
      </c>
      <c r="N590" s="8">
        <f>ROUNDUP(MONTH(Order_Details[[#This Row],[Order Date]])/3, 0)</f>
        <v>4</v>
      </c>
    </row>
    <row r="591" spans="1:14">
      <c r="A591" s="1" t="s">
        <v>505</v>
      </c>
      <c r="B591" s="1">
        <v>2830</v>
      </c>
      <c r="C591" s="1">
        <v>-1981</v>
      </c>
      <c r="D591" s="1">
        <v>13</v>
      </c>
      <c r="E591" s="1" t="s">
        <v>1075</v>
      </c>
      <c r="F591" s="1" t="s">
        <v>1101</v>
      </c>
      <c r="G591" s="7" t="str">
        <f>_xlfn.XLOOKUP(Order_Details[[#This Row],[Order ID]], List_of_orders[Order ID], List_of_orders[State])</f>
        <v>Andhra Pradesh</v>
      </c>
      <c r="H591" s="10">
        <f>_xlfn.XLOOKUP(Order_Details[[#This Row],[Order ID]], List_of_orders[Order ID], List_of_orders[Order Date (Clean)])</f>
        <v>43374</v>
      </c>
      <c r="I591" s="7" t="str">
        <f>_xlfn.XLOOKUP(Order_Details[[#This Row],[Order ID]], List_of_orders[Order ID], List_of_orders[CustomerName])</f>
        <v>Shishu</v>
      </c>
      <c r="J591" s="7" t="str">
        <f>_xlfn.XLOOKUP(Order_Details[[#This Row],[Order ID]], List_of_orders[Order ID], List_of_orders[City])</f>
        <v>Hyderabad</v>
      </c>
      <c r="K591" s="8" t="str">
        <f>TEXT(Order_Details[[#This Row],[Order Date]], "YY-MMM")</f>
        <v>18-Oct</v>
      </c>
      <c r="L591" s="11">
        <f>Order_Details[[#This Row],[Profit]]/Order_Details[[#This Row],[Amount]]</f>
        <v>-0.7</v>
      </c>
      <c r="M591" s="8">
        <f>YEAR(Order_Details[[#This Row],[Order Date]])</f>
        <v>2018</v>
      </c>
      <c r="N591" s="8">
        <f>ROUNDUP(MONTH(Order_Details[[#This Row],[Order Date]])/3, 0)</f>
        <v>4</v>
      </c>
    </row>
    <row r="592" spans="1:14">
      <c r="A592" s="1" t="s">
        <v>505</v>
      </c>
      <c r="B592" s="1">
        <v>47</v>
      </c>
      <c r="C592" s="1">
        <v>-3</v>
      </c>
      <c r="D592" s="1">
        <v>2</v>
      </c>
      <c r="E592" s="1" t="s">
        <v>1076</v>
      </c>
      <c r="F592" s="1" t="s">
        <v>1102</v>
      </c>
      <c r="G592" s="7" t="str">
        <f>_xlfn.XLOOKUP(Order_Details[[#This Row],[Order ID]], List_of_orders[Order ID], List_of_orders[State])</f>
        <v>Andhra Pradesh</v>
      </c>
      <c r="H592" s="10">
        <f>_xlfn.XLOOKUP(Order_Details[[#This Row],[Order ID]], List_of_orders[Order ID], List_of_orders[Order Date (Clean)])</f>
        <v>43374</v>
      </c>
      <c r="I592" s="7" t="str">
        <f>_xlfn.XLOOKUP(Order_Details[[#This Row],[Order ID]], List_of_orders[Order ID], List_of_orders[CustomerName])</f>
        <v>Shishu</v>
      </c>
      <c r="J592" s="7" t="str">
        <f>_xlfn.XLOOKUP(Order_Details[[#This Row],[Order ID]], List_of_orders[Order ID], List_of_orders[City])</f>
        <v>Hyderabad</v>
      </c>
      <c r="K592" s="8" t="str">
        <f>TEXT(Order_Details[[#This Row],[Order Date]], "YY-MMM")</f>
        <v>18-Oct</v>
      </c>
      <c r="L592" s="11">
        <f>Order_Details[[#This Row],[Profit]]/Order_Details[[#This Row],[Amount]]</f>
        <v>-6.3829787234042548E-2</v>
      </c>
      <c r="M592" s="8">
        <f>YEAR(Order_Details[[#This Row],[Order Date]])</f>
        <v>2018</v>
      </c>
      <c r="N592" s="8">
        <f>ROUNDUP(MONTH(Order_Details[[#This Row],[Order Date]])/3, 0)</f>
        <v>4</v>
      </c>
    </row>
    <row r="593" spans="1:14">
      <c r="A593" s="1" t="s">
        <v>505</v>
      </c>
      <c r="B593" s="1">
        <v>38</v>
      </c>
      <c r="C593" s="1">
        <v>-13</v>
      </c>
      <c r="D593" s="1">
        <v>3</v>
      </c>
      <c r="E593" s="1" t="s">
        <v>1076</v>
      </c>
      <c r="F593" s="1" t="s">
        <v>1102</v>
      </c>
      <c r="G593" s="7" t="str">
        <f>_xlfn.XLOOKUP(Order_Details[[#This Row],[Order ID]], List_of_orders[Order ID], List_of_orders[State])</f>
        <v>Andhra Pradesh</v>
      </c>
      <c r="H593" s="10">
        <f>_xlfn.XLOOKUP(Order_Details[[#This Row],[Order ID]], List_of_orders[Order ID], List_of_orders[Order Date (Clean)])</f>
        <v>43374</v>
      </c>
      <c r="I593" s="7" t="str">
        <f>_xlfn.XLOOKUP(Order_Details[[#This Row],[Order ID]], List_of_orders[Order ID], List_of_orders[CustomerName])</f>
        <v>Shishu</v>
      </c>
      <c r="J593" s="7" t="str">
        <f>_xlfn.XLOOKUP(Order_Details[[#This Row],[Order ID]], List_of_orders[Order ID], List_of_orders[City])</f>
        <v>Hyderabad</v>
      </c>
      <c r="K593" s="8" t="str">
        <f>TEXT(Order_Details[[#This Row],[Order Date]], "YY-MMM")</f>
        <v>18-Oct</v>
      </c>
      <c r="L593" s="11">
        <f>Order_Details[[#This Row],[Profit]]/Order_Details[[#This Row],[Amount]]</f>
        <v>-0.34210526315789475</v>
      </c>
      <c r="M593" s="8">
        <f>YEAR(Order_Details[[#This Row],[Order Date]])</f>
        <v>2018</v>
      </c>
      <c r="N593" s="8">
        <f>ROUNDUP(MONTH(Order_Details[[#This Row],[Order Date]])/3, 0)</f>
        <v>4</v>
      </c>
    </row>
    <row r="594" spans="1:14">
      <c r="A594" s="1" t="s">
        <v>505</v>
      </c>
      <c r="B594" s="1">
        <v>61</v>
      </c>
      <c r="C594" s="1">
        <v>-50</v>
      </c>
      <c r="D594" s="1">
        <v>4</v>
      </c>
      <c r="E594" s="1" t="s">
        <v>1076</v>
      </c>
      <c r="F594" s="1" t="s">
        <v>1103</v>
      </c>
      <c r="G594" s="7" t="str">
        <f>_xlfn.XLOOKUP(Order_Details[[#This Row],[Order ID]], List_of_orders[Order ID], List_of_orders[State])</f>
        <v>Andhra Pradesh</v>
      </c>
      <c r="H594" s="10">
        <f>_xlfn.XLOOKUP(Order_Details[[#This Row],[Order ID]], List_of_orders[Order ID], List_of_orders[Order Date (Clean)])</f>
        <v>43374</v>
      </c>
      <c r="I594" s="7" t="str">
        <f>_xlfn.XLOOKUP(Order_Details[[#This Row],[Order ID]], List_of_orders[Order ID], List_of_orders[CustomerName])</f>
        <v>Shishu</v>
      </c>
      <c r="J594" s="7" t="str">
        <f>_xlfn.XLOOKUP(Order_Details[[#This Row],[Order ID]], List_of_orders[Order ID], List_of_orders[City])</f>
        <v>Hyderabad</v>
      </c>
      <c r="K594" s="8" t="str">
        <f>TEXT(Order_Details[[#This Row],[Order Date]], "YY-MMM")</f>
        <v>18-Oct</v>
      </c>
      <c r="L594" s="11">
        <f>Order_Details[[#This Row],[Profit]]/Order_Details[[#This Row],[Amount]]</f>
        <v>-0.81967213114754101</v>
      </c>
      <c r="M594" s="8">
        <f>YEAR(Order_Details[[#This Row],[Order Date]])</f>
        <v>2018</v>
      </c>
      <c r="N594" s="8">
        <f>ROUNDUP(MONTH(Order_Details[[#This Row],[Order Date]])/3, 0)</f>
        <v>4</v>
      </c>
    </row>
    <row r="595" spans="1:14">
      <c r="A595" s="1" t="s">
        <v>507</v>
      </c>
      <c r="B595" s="1">
        <v>205</v>
      </c>
      <c r="C595" s="1">
        <v>-119</v>
      </c>
      <c r="D595" s="1">
        <v>3</v>
      </c>
      <c r="E595" s="1" t="s">
        <v>1076</v>
      </c>
      <c r="F595" s="1" t="s">
        <v>1106</v>
      </c>
      <c r="G595" s="7" t="str">
        <f>_xlfn.XLOOKUP(Order_Details[[#This Row],[Order ID]], List_of_orders[Order ID], List_of_orders[State])</f>
        <v>Gujarat</v>
      </c>
      <c r="H595" s="10">
        <f>_xlfn.XLOOKUP(Order_Details[[#This Row],[Order ID]], List_of_orders[Order ID], List_of_orders[Order Date (Clean)])</f>
        <v>43374</v>
      </c>
      <c r="I595" s="7" t="str">
        <f>_xlfn.XLOOKUP(Order_Details[[#This Row],[Order ID]], List_of_orders[Order ID], List_of_orders[CustomerName])</f>
        <v>Divyansh</v>
      </c>
      <c r="J595" s="7" t="str">
        <f>_xlfn.XLOOKUP(Order_Details[[#This Row],[Order ID]], List_of_orders[Order ID], List_of_orders[City])</f>
        <v>Ahmedabad</v>
      </c>
      <c r="K595" s="8" t="str">
        <f>TEXT(Order_Details[[#This Row],[Order Date]], "YY-MMM")</f>
        <v>18-Oct</v>
      </c>
      <c r="L595" s="11">
        <f>Order_Details[[#This Row],[Profit]]/Order_Details[[#This Row],[Amount]]</f>
        <v>-0.58048780487804874</v>
      </c>
      <c r="M595" s="8">
        <f>YEAR(Order_Details[[#This Row],[Order Date]])</f>
        <v>2018</v>
      </c>
      <c r="N595" s="8">
        <f>ROUNDUP(MONTH(Order_Details[[#This Row],[Order Date]])/3, 0)</f>
        <v>4</v>
      </c>
    </row>
    <row r="596" spans="1:14">
      <c r="A596" s="1" t="s">
        <v>507</v>
      </c>
      <c r="B596" s="1">
        <v>47</v>
      </c>
      <c r="C596" s="1">
        <v>-27</v>
      </c>
      <c r="D596" s="1">
        <v>4</v>
      </c>
      <c r="E596" s="1" t="s">
        <v>1076</v>
      </c>
      <c r="F596" s="1" t="s">
        <v>1106</v>
      </c>
      <c r="G596" s="7" t="str">
        <f>_xlfn.XLOOKUP(Order_Details[[#This Row],[Order ID]], List_of_orders[Order ID], List_of_orders[State])</f>
        <v>Gujarat</v>
      </c>
      <c r="H596" s="10">
        <f>_xlfn.XLOOKUP(Order_Details[[#This Row],[Order ID]], List_of_orders[Order ID], List_of_orders[Order Date (Clean)])</f>
        <v>43374</v>
      </c>
      <c r="I596" s="7" t="str">
        <f>_xlfn.XLOOKUP(Order_Details[[#This Row],[Order ID]], List_of_orders[Order ID], List_of_orders[CustomerName])</f>
        <v>Divyansh</v>
      </c>
      <c r="J596" s="7" t="str">
        <f>_xlfn.XLOOKUP(Order_Details[[#This Row],[Order ID]], List_of_orders[Order ID], List_of_orders[City])</f>
        <v>Ahmedabad</v>
      </c>
      <c r="K596" s="8" t="str">
        <f>TEXT(Order_Details[[#This Row],[Order Date]], "YY-MMM")</f>
        <v>18-Oct</v>
      </c>
      <c r="L596" s="11">
        <f>Order_Details[[#This Row],[Profit]]/Order_Details[[#This Row],[Amount]]</f>
        <v>-0.57446808510638303</v>
      </c>
      <c r="M596" s="8">
        <f>YEAR(Order_Details[[#This Row],[Order Date]])</f>
        <v>2018</v>
      </c>
      <c r="N596" s="8">
        <f>ROUNDUP(MONTH(Order_Details[[#This Row],[Order Date]])/3, 0)</f>
        <v>4</v>
      </c>
    </row>
    <row r="597" spans="1:14">
      <c r="A597" s="1" t="s">
        <v>507</v>
      </c>
      <c r="B597" s="1">
        <v>45</v>
      </c>
      <c r="C597" s="1">
        <v>-15</v>
      </c>
      <c r="D597" s="1">
        <v>2</v>
      </c>
      <c r="E597" s="1" t="s">
        <v>1075</v>
      </c>
      <c r="F597" s="1" t="s">
        <v>1108</v>
      </c>
      <c r="G597" s="7" t="str">
        <f>_xlfn.XLOOKUP(Order_Details[[#This Row],[Order ID]], List_of_orders[Order ID], List_of_orders[State])</f>
        <v>Gujarat</v>
      </c>
      <c r="H597" s="10">
        <f>_xlfn.XLOOKUP(Order_Details[[#This Row],[Order ID]], List_of_orders[Order ID], List_of_orders[Order Date (Clean)])</f>
        <v>43374</v>
      </c>
      <c r="I597" s="7" t="str">
        <f>_xlfn.XLOOKUP(Order_Details[[#This Row],[Order ID]], List_of_orders[Order ID], List_of_orders[CustomerName])</f>
        <v>Divyansh</v>
      </c>
      <c r="J597" s="7" t="str">
        <f>_xlfn.XLOOKUP(Order_Details[[#This Row],[Order ID]], List_of_orders[Order ID], List_of_orders[City])</f>
        <v>Ahmedabad</v>
      </c>
      <c r="K597" s="8" t="str">
        <f>TEXT(Order_Details[[#This Row],[Order Date]], "YY-MMM")</f>
        <v>18-Oct</v>
      </c>
      <c r="L597" s="11">
        <f>Order_Details[[#This Row],[Profit]]/Order_Details[[#This Row],[Amount]]</f>
        <v>-0.33333333333333331</v>
      </c>
      <c r="M597" s="8">
        <f>YEAR(Order_Details[[#This Row],[Order Date]])</f>
        <v>2018</v>
      </c>
      <c r="N597" s="8">
        <f>ROUNDUP(MONTH(Order_Details[[#This Row],[Order Date]])/3, 0)</f>
        <v>4</v>
      </c>
    </row>
    <row r="598" spans="1:14">
      <c r="A598" s="1" t="s">
        <v>507</v>
      </c>
      <c r="B598" s="1">
        <v>70</v>
      </c>
      <c r="C598" s="1">
        <v>-64</v>
      </c>
      <c r="D598" s="1">
        <v>5</v>
      </c>
      <c r="E598" s="1" t="s">
        <v>1076</v>
      </c>
      <c r="F598" s="1" t="s">
        <v>1102</v>
      </c>
      <c r="G598" s="7" t="str">
        <f>_xlfn.XLOOKUP(Order_Details[[#This Row],[Order ID]], List_of_orders[Order ID], List_of_orders[State])</f>
        <v>Gujarat</v>
      </c>
      <c r="H598" s="10">
        <f>_xlfn.XLOOKUP(Order_Details[[#This Row],[Order ID]], List_of_orders[Order ID], List_of_orders[Order Date (Clean)])</f>
        <v>43374</v>
      </c>
      <c r="I598" s="7" t="str">
        <f>_xlfn.XLOOKUP(Order_Details[[#This Row],[Order ID]], List_of_orders[Order ID], List_of_orders[CustomerName])</f>
        <v>Divyansh</v>
      </c>
      <c r="J598" s="7" t="str">
        <f>_xlfn.XLOOKUP(Order_Details[[#This Row],[Order ID]], List_of_orders[Order ID], List_of_orders[City])</f>
        <v>Ahmedabad</v>
      </c>
      <c r="K598" s="8" t="str">
        <f>TEXT(Order_Details[[#This Row],[Order Date]], "YY-MMM")</f>
        <v>18-Oct</v>
      </c>
      <c r="L598" s="11">
        <f>Order_Details[[#This Row],[Profit]]/Order_Details[[#This Row],[Amount]]</f>
        <v>-0.91428571428571426</v>
      </c>
      <c r="M598" s="8">
        <f>YEAR(Order_Details[[#This Row],[Order Date]])</f>
        <v>2018</v>
      </c>
      <c r="N598" s="8">
        <f>ROUNDUP(MONTH(Order_Details[[#This Row],[Order Date]])/3, 0)</f>
        <v>4</v>
      </c>
    </row>
    <row r="599" spans="1:14">
      <c r="A599" s="1" t="s">
        <v>509</v>
      </c>
      <c r="B599" s="1">
        <v>122</v>
      </c>
      <c r="C599" s="1">
        <v>-66</v>
      </c>
      <c r="D599" s="1">
        <v>9</v>
      </c>
      <c r="E599" s="1" t="s">
        <v>1077</v>
      </c>
      <c r="F599" s="1" t="s">
        <v>1115</v>
      </c>
      <c r="G599" s="7" t="str">
        <f>_xlfn.XLOOKUP(Order_Details[[#This Row],[Order ID]], List_of_orders[Order ID], List_of_orders[State])</f>
        <v>Maharashtra</v>
      </c>
      <c r="H599" s="10">
        <f>_xlfn.XLOOKUP(Order_Details[[#This Row],[Order ID]], List_of_orders[Order ID], List_of_orders[Order Date (Clean)])</f>
        <v>43374</v>
      </c>
      <c r="I599" s="7" t="str">
        <f>_xlfn.XLOOKUP(Order_Details[[#This Row],[Order ID]], List_of_orders[Order ID], List_of_orders[CustomerName])</f>
        <v>Ishit</v>
      </c>
      <c r="J599" s="7" t="str">
        <f>_xlfn.XLOOKUP(Order_Details[[#This Row],[Order ID]], List_of_orders[Order ID], List_of_orders[City])</f>
        <v>Pune</v>
      </c>
      <c r="K599" s="8" t="str">
        <f>TEXT(Order_Details[[#This Row],[Order Date]], "YY-MMM")</f>
        <v>18-Oct</v>
      </c>
      <c r="L599" s="11">
        <f>Order_Details[[#This Row],[Profit]]/Order_Details[[#This Row],[Amount]]</f>
        <v>-0.54098360655737709</v>
      </c>
      <c r="M599" s="8">
        <f>YEAR(Order_Details[[#This Row],[Order Date]])</f>
        <v>2018</v>
      </c>
      <c r="N599" s="8">
        <f>ROUNDUP(MONTH(Order_Details[[#This Row],[Order Date]])/3, 0)</f>
        <v>4</v>
      </c>
    </row>
    <row r="600" spans="1:14">
      <c r="A600" s="1" t="s">
        <v>509</v>
      </c>
      <c r="B600" s="1">
        <v>21</v>
      </c>
      <c r="C600" s="1">
        <v>-6</v>
      </c>
      <c r="D600" s="1">
        <v>3</v>
      </c>
      <c r="E600" s="1" t="s">
        <v>1076</v>
      </c>
      <c r="F600" s="1" t="s">
        <v>1112</v>
      </c>
      <c r="G600" s="7" t="str">
        <f>_xlfn.XLOOKUP(Order_Details[[#This Row],[Order ID]], List_of_orders[Order ID], List_of_orders[State])</f>
        <v>Maharashtra</v>
      </c>
      <c r="H600" s="10">
        <f>_xlfn.XLOOKUP(Order_Details[[#This Row],[Order ID]], List_of_orders[Order ID], List_of_orders[Order Date (Clean)])</f>
        <v>43374</v>
      </c>
      <c r="I600" s="7" t="str">
        <f>_xlfn.XLOOKUP(Order_Details[[#This Row],[Order ID]], List_of_orders[Order ID], List_of_orders[CustomerName])</f>
        <v>Ishit</v>
      </c>
      <c r="J600" s="7" t="str">
        <f>_xlfn.XLOOKUP(Order_Details[[#This Row],[Order ID]], List_of_orders[Order ID], List_of_orders[City])</f>
        <v>Pune</v>
      </c>
      <c r="K600" s="8" t="str">
        <f>TEXT(Order_Details[[#This Row],[Order Date]], "YY-MMM")</f>
        <v>18-Oct</v>
      </c>
      <c r="L600" s="11">
        <f>Order_Details[[#This Row],[Profit]]/Order_Details[[#This Row],[Amount]]</f>
        <v>-0.2857142857142857</v>
      </c>
      <c r="M600" s="8">
        <f>YEAR(Order_Details[[#This Row],[Order Date]])</f>
        <v>2018</v>
      </c>
      <c r="N600" s="8">
        <f>ROUNDUP(MONTH(Order_Details[[#This Row],[Order Date]])/3, 0)</f>
        <v>4</v>
      </c>
    </row>
    <row r="601" spans="1:14">
      <c r="A601" s="1" t="s">
        <v>509</v>
      </c>
      <c r="B601" s="1">
        <v>45</v>
      </c>
      <c r="C601" s="1">
        <v>12</v>
      </c>
      <c r="D601" s="1">
        <v>7</v>
      </c>
      <c r="E601" s="1" t="s">
        <v>1076</v>
      </c>
      <c r="F601" s="1" t="s">
        <v>1103</v>
      </c>
      <c r="G601" s="7" t="str">
        <f>_xlfn.XLOOKUP(Order_Details[[#This Row],[Order ID]], List_of_orders[Order ID], List_of_orders[State])</f>
        <v>Maharashtra</v>
      </c>
      <c r="H601" s="10">
        <f>_xlfn.XLOOKUP(Order_Details[[#This Row],[Order ID]], List_of_orders[Order ID], List_of_orders[Order Date (Clean)])</f>
        <v>43374</v>
      </c>
      <c r="I601" s="7" t="str">
        <f>_xlfn.XLOOKUP(Order_Details[[#This Row],[Order ID]], List_of_orders[Order ID], List_of_orders[CustomerName])</f>
        <v>Ishit</v>
      </c>
      <c r="J601" s="7" t="str">
        <f>_xlfn.XLOOKUP(Order_Details[[#This Row],[Order ID]], List_of_orders[Order ID], List_of_orders[City])</f>
        <v>Pune</v>
      </c>
      <c r="K601" s="8" t="str">
        <f>TEXT(Order_Details[[#This Row],[Order Date]], "YY-MMM")</f>
        <v>18-Oct</v>
      </c>
      <c r="L601" s="11">
        <f>Order_Details[[#This Row],[Profit]]/Order_Details[[#This Row],[Amount]]</f>
        <v>0.26666666666666666</v>
      </c>
      <c r="M601" s="8">
        <f>YEAR(Order_Details[[#This Row],[Order Date]])</f>
        <v>2018</v>
      </c>
      <c r="N601" s="8">
        <f>ROUNDUP(MONTH(Order_Details[[#This Row],[Order Date]])/3, 0)</f>
        <v>4</v>
      </c>
    </row>
    <row r="602" spans="1:14">
      <c r="A602" s="1" t="s">
        <v>511</v>
      </c>
      <c r="B602" s="1">
        <v>64</v>
      </c>
      <c r="C602" s="1">
        <v>6</v>
      </c>
      <c r="D602" s="1">
        <v>4</v>
      </c>
      <c r="E602" s="1" t="s">
        <v>1076</v>
      </c>
      <c r="F602" s="1" t="s">
        <v>1106</v>
      </c>
      <c r="G602" s="7" t="str">
        <f>_xlfn.XLOOKUP(Order_Details[[#This Row],[Order ID]], List_of_orders[Order ID], List_of_orders[State])</f>
        <v>Madhya Pradesh</v>
      </c>
      <c r="H602" s="10">
        <f>_xlfn.XLOOKUP(Order_Details[[#This Row],[Order ID]], List_of_orders[Order ID], List_of_orders[Order Date (Clean)])</f>
        <v>43374</v>
      </c>
      <c r="I602" s="7" t="str">
        <f>_xlfn.XLOOKUP(Order_Details[[#This Row],[Order ID]], List_of_orders[Order ID], List_of_orders[CustomerName])</f>
        <v>Aryan</v>
      </c>
      <c r="J602" s="7" t="str">
        <f>_xlfn.XLOOKUP(Order_Details[[#This Row],[Order ID]], List_of_orders[Order ID], List_of_orders[City])</f>
        <v>Bhopal</v>
      </c>
      <c r="K602" s="8" t="str">
        <f>TEXT(Order_Details[[#This Row],[Order Date]], "YY-MMM")</f>
        <v>18-Oct</v>
      </c>
      <c r="L602" s="11">
        <f>Order_Details[[#This Row],[Profit]]/Order_Details[[#This Row],[Amount]]</f>
        <v>9.375E-2</v>
      </c>
      <c r="M602" s="8">
        <f>YEAR(Order_Details[[#This Row],[Order Date]])</f>
        <v>2018</v>
      </c>
      <c r="N602" s="8">
        <f>ROUNDUP(MONTH(Order_Details[[#This Row],[Order Date]])/3, 0)</f>
        <v>4</v>
      </c>
    </row>
    <row r="603" spans="1:14">
      <c r="A603" s="1" t="s">
        <v>511</v>
      </c>
      <c r="B603" s="1">
        <v>49</v>
      </c>
      <c r="C603" s="1">
        <v>-31</v>
      </c>
      <c r="D603" s="1">
        <v>2</v>
      </c>
      <c r="E603" s="1" t="s">
        <v>1076</v>
      </c>
      <c r="F603" s="1" t="s">
        <v>1102</v>
      </c>
      <c r="G603" s="7" t="str">
        <f>_xlfn.XLOOKUP(Order_Details[[#This Row],[Order ID]], List_of_orders[Order ID], List_of_orders[State])</f>
        <v>Madhya Pradesh</v>
      </c>
      <c r="H603" s="10">
        <f>_xlfn.XLOOKUP(Order_Details[[#This Row],[Order ID]], List_of_orders[Order ID], List_of_orders[Order Date (Clean)])</f>
        <v>43374</v>
      </c>
      <c r="I603" s="7" t="str">
        <f>_xlfn.XLOOKUP(Order_Details[[#This Row],[Order ID]], List_of_orders[Order ID], List_of_orders[CustomerName])</f>
        <v>Aryan</v>
      </c>
      <c r="J603" s="7" t="str">
        <f>_xlfn.XLOOKUP(Order_Details[[#This Row],[Order ID]], List_of_orders[Order ID], List_of_orders[City])</f>
        <v>Bhopal</v>
      </c>
      <c r="K603" s="8" t="str">
        <f>TEXT(Order_Details[[#This Row],[Order Date]], "YY-MMM")</f>
        <v>18-Oct</v>
      </c>
      <c r="L603" s="11">
        <f>Order_Details[[#This Row],[Profit]]/Order_Details[[#This Row],[Amount]]</f>
        <v>-0.63265306122448983</v>
      </c>
      <c r="M603" s="8">
        <f>YEAR(Order_Details[[#This Row],[Order Date]])</f>
        <v>2018</v>
      </c>
      <c r="N603" s="8">
        <f>ROUNDUP(MONTH(Order_Details[[#This Row],[Order Date]])/3, 0)</f>
        <v>4</v>
      </c>
    </row>
    <row r="604" spans="1:14">
      <c r="A604" s="1" t="s">
        <v>511</v>
      </c>
      <c r="B604" s="1">
        <v>21</v>
      </c>
      <c r="C604" s="1">
        <v>-10</v>
      </c>
      <c r="D604" s="1">
        <v>4</v>
      </c>
      <c r="E604" s="1" t="s">
        <v>1076</v>
      </c>
      <c r="F604" s="1" t="s">
        <v>1112</v>
      </c>
      <c r="G604" s="7" t="str">
        <f>_xlfn.XLOOKUP(Order_Details[[#This Row],[Order ID]], List_of_orders[Order ID], List_of_orders[State])</f>
        <v>Madhya Pradesh</v>
      </c>
      <c r="H604" s="10">
        <f>_xlfn.XLOOKUP(Order_Details[[#This Row],[Order ID]], List_of_orders[Order ID], List_of_orders[Order Date (Clean)])</f>
        <v>43374</v>
      </c>
      <c r="I604" s="7" t="str">
        <f>_xlfn.XLOOKUP(Order_Details[[#This Row],[Order ID]], List_of_orders[Order ID], List_of_orders[CustomerName])</f>
        <v>Aryan</v>
      </c>
      <c r="J604" s="7" t="str">
        <f>_xlfn.XLOOKUP(Order_Details[[#This Row],[Order ID]], List_of_orders[Order ID], List_of_orders[City])</f>
        <v>Bhopal</v>
      </c>
      <c r="K604" s="8" t="str">
        <f>TEXT(Order_Details[[#This Row],[Order Date]], "YY-MMM")</f>
        <v>18-Oct</v>
      </c>
      <c r="L604" s="11">
        <f>Order_Details[[#This Row],[Profit]]/Order_Details[[#This Row],[Amount]]</f>
        <v>-0.47619047619047616</v>
      </c>
      <c r="M604" s="8">
        <f>YEAR(Order_Details[[#This Row],[Order Date]])</f>
        <v>2018</v>
      </c>
      <c r="N604" s="8">
        <f>ROUNDUP(MONTH(Order_Details[[#This Row],[Order Date]])/3, 0)</f>
        <v>4</v>
      </c>
    </row>
    <row r="605" spans="1:14">
      <c r="A605" s="1" t="s">
        <v>511</v>
      </c>
      <c r="B605" s="1">
        <v>15</v>
      </c>
      <c r="C605" s="1">
        <v>-2</v>
      </c>
      <c r="D605" s="1">
        <v>1</v>
      </c>
      <c r="E605" s="1" t="s">
        <v>1076</v>
      </c>
      <c r="F605" s="1" t="s">
        <v>1110</v>
      </c>
      <c r="G605" s="7" t="str">
        <f>_xlfn.XLOOKUP(Order_Details[[#This Row],[Order ID]], List_of_orders[Order ID], List_of_orders[State])</f>
        <v>Madhya Pradesh</v>
      </c>
      <c r="H605" s="10">
        <f>_xlfn.XLOOKUP(Order_Details[[#This Row],[Order ID]], List_of_orders[Order ID], List_of_orders[Order Date (Clean)])</f>
        <v>43374</v>
      </c>
      <c r="I605" s="7" t="str">
        <f>_xlfn.XLOOKUP(Order_Details[[#This Row],[Order ID]], List_of_orders[Order ID], List_of_orders[CustomerName])</f>
        <v>Aryan</v>
      </c>
      <c r="J605" s="7" t="str">
        <f>_xlfn.XLOOKUP(Order_Details[[#This Row],[Order ID]], List_of_orders[Order ID], List_of_orders[City])</f>
        <v>Bhopal</v>
      </c>
      <c r="K605" s="8" t="str">
        <f>TEXT(Order_Details[[#This Row],[Order Date]], "YY-MMM")</f>
        <v>18-Oct</v>
      </c>
      <c r="L605" s="11">
        <f>Order_Details[[#This Row],[Profit]]/Order_Details[[#This Row],[Amount]]</f>
        <v>-0.13333333333333333</v>
      </c>
      <c r="M605" s="8">
        <f>YEAR(Order_Details[[#This Row],[Order Date]])</f>
        <v>2018</v>
      </c>
      <c r="N605" s="8">
        <f>ROUNDUP(MONTH(Order_Details[[#This Row],[Order Date]])/3, 0)</f>
        <v>4</v>
      </c>
    </row>
    <row r="606" spans="1:14">
      <c r="A606" s="1" t="s">
        <v>513</v>
      </c>
      <c r="B606" s="1">
        <v>27</v>
      </c>
      <c r="C606" s="1">
        <v>-7</v>
      </c>
      <c r="D606" s="1">
        <v>5</v>
      </c>
      <c r="E606" s="1" t="s">
        <v>1076</v>
      </c>
      <c r="F606" s="1" t="s">
        <v>1106</v>
      </c>
      <c r="G606" s="7" t="str">
        <f>_xlfn.XLOOKUP(Order_Details[[#This Row],[Order ID]], List_of_orders[Order ID], List_of_orders[State])</f>
        <v>Maharashtra</v>
      </c>
      <c r="H606" s="10">
        <f>_xlfn.XLOOKUP(Order_Details[[#This Row],[Order ID]], List_of_orders[Order ID], List_of_orders[Order Date (Clean)])</f>
        <v>43378</v>
      </c>
      <c r="I606" s="7" t="str">
        <f>_xlfn.XLOOKUP(Order_Details[[#This Row],[Order ID]], List_of_orders[Order ID], List_of_orders[CustomerName])</f>
        <v>Yash</v>
      </c>
      <c r="J606" s="7" t="str">
        <f>_xlfn.XLOOKUP(Order_Details[[#This Row],[Order ID]], List_of_orders[Order ID], List_of_orders[City])</f>
        <v>Mumbai</v>
      </c>
      <c r="K606" s="8" t="str">
        <f>TEXT(Order_Details[[#This Row],[Order Date]], "YY-MMM")</f>
        <v>18-Oct</v>
      </c>
      <c r="L606" s="11">
        <f>Order_Details[[#This Row],[Profit]]/Order_Details[[#This Row],[Amount]]</f>
        <v>-0.25925925925925924</v>
      </c>
      <c r="M606" s="8">
        <f>YEAR(Order_Details[[#This Row],[Order Date]])</f>
        <v>2018</v>
      </c>
      <c r="N606" s="8">
        <f>ROUNDUP(MONTH(Order_Details[[#This Row],[Order Date]])/3, 0)</f>
        <v>4</v>
      </c>
    </row>
    <row r="607" spans="1:14">
      <c r="A607" s="1" t="s">
        <v>513</v>
      </c>
      <c r="B607" s="1">
        <v>633</v>
      </c>
      <c r="C607" s="1">
        <v>-633</v>
      </c>
      <c r="D607" s="1">
        <v>11</v>
      </c>
      <c r="E607" s="1" t="s">
        <v>1077</v>
      </c>
      <c r="F607" s="1" t="s">
        <v>1115</v>
      </c>
      <c r="G607" s="7" t="str">
        <f>_xlfn.XLOOKUP(Order_Details[[#This Row],[Order ID]], List_of_orders[Order ID], List_of_orders[State])</f>
        <v>Maharashtra</v>
      </c>
      <c r="H607" s="10">
        <f>_xlfn.XLOOKUP(Order_Details[[#This Row],[Order ID]], List_of_orders[Order ID], List_of_orders[Order Date (Clean)])</f>
        <v>43378</v>
      </c>
      <c r="I607" s="7" t="str">
        <f>_xlfn.XLOOKUP(Order_Details[[#This Row],[Order ID]], List_of_orders[Order ID], List_of_orders[CustomerName])</f>
        <v>Yash</v>
      </c>
      <c r="J607" s="7" t="str">
        <f>_xlfn.XLOOKUP(Order_Details[[#This Row],[Order ID]], List_of_orders[Order ID], List_of_orders[City])</f>
        <v>Mumbai</v>
      </c>
      <c r="K607" s="8" t="str">
        <f>TEXT(Order_Details[[#This Row],[Order Date]], "YY-MMM")</f>
        <v>18-Oct</v>
      </c>
      <c r="L607" s="11">
        <f>Order_Details[[#This Row],[Profit]]/Order_Details[[#This Row],[Amount]]</f>
        <v>-1</v>
      </c>
      <c r="M607" s="8">
        <f>YEAR(Order_Details[[#This Row],[Order Date]])</f>
        <v>2018</v>
      </c>
      <c r="N607" s="8">
        <f>ROUNDUP(MONTH(Order_Details[[#This Row],[Order Date]])/3, 0)</f>
        <v>4</v>
      </c>
    </row>
    <row r="608" spans="1:14">
      <c r="A608" s="1" t="s">
        <v>513</v>
      </c>
      <c r="B608" s="1">
        <v>13</v>
      </c>
      <c r="C608" s="1">
        <v>-9</v>
      </c>
      <c r="D608" s="1">
        <v>2</v>
      </c>
      <c r="E608" s="1" t="s">
        <v>1076</v>
      </c>
      <c r="F608" s="1" t="s">
        <v>1117</v>
      </c>
      <c r="G608" s="7" t="str">
        <f>_xlfn.XLOOKUP(Order_Details[[#This Row],[Order ID]], List_of_orders[Order ID], List_of_orders[State])</f>
        <v>Maharashtra</v>
      </c>
      <c r="H608" s="10">
        <f>_xlfn.XLOOKUP(Order_Details[[#This Row],[Order ID]], List_of_orders[Order ID], List_of_orders[Order Date (Clean)])</f>
        <v>43378</v>
      </c>
      <c r="I608" s="7" t="str">
        <f>_xlfn.XLOOKUP(Order_Details[[#This Row],[Order ID]], List_of_orders[Order ID], List_of_orders[CustomerName])</f>
        <v>Yash</v>
      </c>
      <c r="J608" s="7" t="str">
        <f>_xlfn.XLOOKUP(Order_Details[[#This Row],[Order ID]], List_of_orders[Order ID], List_of_orders[City])</f>
        <v>Mumbai</v>
      </c>
      <c r="K608" s="8" t="str">
        <f>TEXT(Order_Details[[#This Row],[Order Date]], "YY-MMM")</f>
        <v>18-Oct</v>
      </c>
      <c r="L608" s="11">
        <f>Order_Details[[#This Row],[Profit]]/Order_Details[[#This Row],[Amount]]</f>
        <v>-0.69230769230769229</v>
      </c>
      <c r="M608" s="8">
        <f>YEAR(Order_Details[[#This Row],[Order Date]])</f>
        <v>2018</v>
      </c>
      <c r="N608" s="8">
        <f>ROUNDUP(MONTH(Order_Details[[#This Row],[Order Date]])/3, 0)</f>
        <v>4</v>
      </c>
    </row>
    <row r="609" spans="1:14">
      <c r="A609" s="1" t="s">
        <v>513</v>
      </c>
      <c r="B609" s="1">
        <v>23</v>
      </c>
      <c r="C609" s="1">
        <v>-3</v>
      </c>
      <c r="D609" s="1">
        <v>1</v>
      </c>
      <c r="E609" s="1" t="s">
        <v>1076</v>
      </c>
      <c r="F609" s="1" t="s">
        <v>1111</v>
      </c>
      <c r="G609" s="7" t="str">
        <f>_xlfn.XLOOKUP(Order_Details[[#This Row],[Order ID]], List_of_orders[Order ID], List_of_orders[State])</f>
        <v>Maharashtra</v>
      </c>
      <c r="H609" s="10">
        <f>_xlfn.XLOOKUP(Order_Details[[#This Row],[Order ID]], List_of_orders[Order ID], List_of_orders[Order Date (Clean)])</f>
        <v>43378</v>
      </c>
      <c r="I609" s="7" t="str">
        <f>_xlfn.XLOOKUP(Order_Details[[#This Row],[Order ID]], List_of_orders[Order ID], List_of_orders[CustomerName])</f>
        <v>Yash</v>
      </c>
      <c r="J609" s="7" t="str">
        <f>_xlfn.XLOOKUP(Order_Details[[#This Row],[Order ID]], List_of_orders[Order ID], List_of_orders[City])</f>
        <v>Mumbai</v>
      </c>
      <c r="K609" s="8" t="str">
        <f>TEXT(Order_Details[[#This Row],[Order Date]], "YY-MMM")</f>
        <v>18-Oct</v>
      </c>
      <c r="L609" s="11">
        <f>Order_Details[[#This Row],[Profit]]/Order_Details[[#This Row],[Amount]]</f>
        <v>-0.13043478260869565</v>
      </c>
      <c r="M609" s="8">
        <f>YEAR(Order_Details[[#This Row],[Order Date]])</f>
        <v>2018</v>
      </c>
      <c r="N609" s="8">
        <f>ROUNDUP(MONTH(Order_Details[[#This Row],[Order Date]])/3, 0)</f>
        <v>4</v>
      </c>
    </row>
    <row r="610" spans="1:14">
      <c r="A610" s="1" t="s">
        <v>513</v>
      </c>
      <c r="B610" s="1">
        <v>95</v>
      </c>
      <c r="C610" s="1">
        <v>5</v>
      </c>
      <c r="D610" s="1">
        <v>2</v>
      </c>
      <c r="E610" s="1" t="s">
        <v>1076</v>
      </c>
      <c r="F610" s="1" t="s">
        <v>1102</v>
      </c>
      <c r="G610" s="7" t="str">
        <f>_xlfn.XLOOKUP(Order_Details[[#This Row],[Order ID]], List_of_orders[Order ID], List_of_orders[State])</f>
        <v>Maharashtra</v>
      </c>
      <c r="H610" s="10">
        <f>_xlfn.XLOOKUP(Order_Details[[#This Row],[Order ID]], List_of_orders[Order ID], List_of_orders[Order Date (Clean)])</f>
        <v>43378</v>
      </c>
      <c r="I610" s="7" t="str">
        <f>_xlfn.XLOOKUP(Order_Details[[#This Row],[Order ID]], List_of_orders[Order ID], List_of_orders[CustomerName])</f>
        <v>Yash</v>
      </c>
      <c r="J610" s="7" t="str">
        <f>_xlfn.XLOOKUP(Order_Details[[#This Row],[Order ID]], List_of_orders[Order ID], List_of_orders[City])</f>
        <v>Mumbai</v>
      </c>
      <c r="K610" s="8" t="str">
        <f>TEXT(Order_Details[[#This Row],[Order Date]], "YY-MMM")</f>
        <v>18-Oct</v>
      </c>
      <c r="L610" s="11">
        <f>Order_Details[[#This Row],[Profit]]/Order_Details[[#This Row],[Amount]]</f>
        <v>5.2631578947368418E-2</v>
      </c>
      <c r="M610" s="8">
        <f>YEAR(Order_Details[[#This Row],[Order Date]])</f>
        <v>2018</v>
      </c>
      <c r="N610" s="8">
        <f>ROUNDUP(MONTH(Order_Details[[#This Row],[Order Date]])/3, 0)</f>
        <v>4</v>
      </c>
    </row>
    <row r="611" spans="1:14">
      <c r="A611" s="1" t="s">
        <v>515</v>
      </c>
      <c r="B611" s="1">
        <v>106</v>
      </c>
      <c r="C611" s="1">
        <v>12</v>
      </c>
      <c r="D611" s="1">
        <v>3</v>
      </c>
      <c r="E611" s="1" t="s">
        <v>1076</v>
      </c>
      <c r="F611" s="1" t="s">
        <v>1107</v>
      </c>
      <c r="G611" s="7" t="str">
        <f>_xlfn.XLOOKUP(Order_Details[[#This Row],[Order ID]], List_of_orders[Order ID], List_of_orders[State])</f>
        <v>Madhya Pradesh</v>
      </c>
      <c r="H611" s="10">
        <f>_xlfn.XLOOKUP(Order_Details[[#This Row],[Order ID]], List_of_orders[Order ID], List_of_orders[Order Date (Clean)])</f>
        <v>43378</v>
      </c>
      <c r="I611" s="7" t="str">
        <f>_xlfn.XLOOKUP(Order_Details[[#This Row],[Order ID]], List_of_orders[Order ID], List_of_orders[CustomerName])</f>
        <v>Shivanshu</v>
      </c>
      <c r="J611" s="7" t="str">
        <f>_xlfn.XLOOKUP(Order_Details[[#This Row],[Order ID]], List_of_orders[Order ID], List_of_orders[City])</f>
        <v>Indore</v>
      </c>
      <c r="K611" s="8" t="str">
        <f>TEXT(Order_Details[[#This Row],[Order Date]], "YY-MMM")</f>
        <v>18-Oct</v>
      </c>
      <c r="L611" s="11">
        <f>Order_Details[[#This Row],[Profit]]/Order_Details[[#This Row],[Amount]]</f>
        <v>0.11320754716981132</v>
      </c>
      <c r="M611" s="8">
        <f>YEAR(Order_Details[[#This Row],[Order Date]])</f>
        <v>2018</v>
      </c>
      <c r="N611" s="8">
        <f>ROUNDUP(MONTH(Order_Details[[#This Row],[Order Date]])/3, 0)</f>
        <v>4</v>
      </c>
    </row>
    <row r="612" spans="1:14">
      <c r="A612" s="1" t="s">
        <v>515</v>
      </c>
      <c r="B612" s="1">
        <v>269</v>
      </c>
      <c r="C612" s="1">
        <v>91</v>
      </c>
      <c r="D612" s="1">
        <v>1</v>
      </c>
      <c r="E612" s="1" t="s">
        <v>1077</v>
      </c>
      <c r="F612" s="1" t="s">
        <v>1104</v>
      </c>
      <c r="G612" s="7" t="str">
        <f>_xlfn.XLOOKUP(Order_Details[[#This Row],[Order ID]], List_of_orders[Order ID], List_of_orders[State])</f>
        <v>Madhya Pradesh</v>
      </c>
      <c r="H612" s="10">
        <f>_xlfn.XLOOKUP(Order_Details[[#This Row],[Order ID]], List_of_orders[Order ID], List_of_orders[Order Date (Clean)])</f>
        <v>43378</v>
      </c>
      <c r="I612" s="7" t="str">
        <f>_xlfn.XLOOKUP(Order_Details[[#This Row],[Order ID]], List_of_orders[Order ID], List_of_orders[CustomerName])</f>
        <v>Shivanshu</v>
      </c>
      <c r="J612" s="7" t="str">
        <f>_xlfn.XLOOKUP(Order_Details[[#This Row],[Order ID]], List_of_orders[Order ID], List_of_orders[City])</f>
        <v>Indore</v>
      </c>
      <c r="K612" s="8" t="str">
        <f>TEXT(Order_Details[[#This Row],[Order Date]], "YY-MMM")</f>
        <v>18-Oct</v>
      </c>
      <c r="L612" s="11">
        <f>Order_Details[[#This Row],[Profit]]/Order_Details[[#This Row],[Amount]]</f>
        <v>0.33828996282527879</v>
      </c>
      <c r="M612" s="8">
        <f>YEAR(Order_Details[[#This Row],[Order Date]])</f>
        <v>2018</v>
      </c>
      <c r="N612" s="8">
        <f>ROUNDUP(MONTH(Order_Details[[#This Row],[Order Date]])/3, 0)</f>
        <v>4</v>
      </c>
    </row>
    <row r="613" spans="1:14">
      <c r="A613" s="1" t="s">
        <v>515</v>
      </c>
      <c r="B613" s="1">
        <v>536</v>
      </c>
      <c r="C613" s="1">
        <v>91</v>
      </c>
      <c r="D613" s="1">
        <v>1</v>
      </c>
      <c r="E613" s="1" t="s">
        <v>1076</v>
      </c>
      <c r="F613" s="1" t="s">
        <v>1107</v>
      </c>
      <c r="G613" s="7" t="str">
        <f>_xlfn.XLOOKUP(Order_Details[[#This Row],[Order ID]], List_of_orders[Order ID], List_of_orders[State])</f>
        <v>Madhya Pradesh</v>
      </c>
      <c r="H613" s="10">
        <f>_xlfn.XLOOKUP(Order_Details[[#This Row],[Order ID]], List_of_orders[Order ID], List_of_orders[Order Date (Clean)])</f>
        <v>43378</v>
      </c>
      <c r="I613" s="7" t="str">
        <f>_xlfn.XLOOKUP(Order_Details[[#This Row],[Order ID]], List_of_orders[Order ID], List_of_orders[CustomerName])</f>
        <v>Shivanshu</v>
      </c>
      <c r="J613" s="7" t="str">
        <f>_xlfn.XLOOKUP(Order_Details[[#This Row],[Order ID]], List_of_orders[Order ID], List_of_orders[City])</f>
        <v>Indore</v>
      </c>
      <c r="K613" s="8" t="str">
        <f>TEXT(Order_Details[[#This Row],[Order Date]], "YY-MMM")</f>
        <v>18-Oct</v>
      </c>
      <c r="L613" s="11">
        <f>Order_Details[[#This Row],[Profit]]/Order_Details[[#This Row],[Amount]]</f>
        <v>0.16977611940298507</v>
      </c>
      <c r="M613" s="8">
        <f>YEAR(Order_Details[[#This Row],[Order Date]])</f>
        <v>2018</v>
      </c>
      <c r="N613" s="8">
        <f>ROUNDUP(MONTH(Order_Details[[#This Row],[Order Date]])/3, 0)</f>
        <v>4</v>
      </c>
    </row>
    <row r="614" spans="1:14">
      <c r="A614" s="1" t="s">
        <v>515</v>
      </c>
      <c r="B614" s="1">
        <v>137</v>
      </c>
      <c r="C614" s="1">
        <v>5</v>
      </c>
      <c r="D614" s="1">
        <v>5</v>
      </c>
      <c r="E614" s="1" t="s">
        <v>1076</v>
      </c>
      <c r="F614" s="1" t="s">
        <v>1111</v>
      </c>
      <c r="G614" s="7" t="str">
        <f>_xlfn.XLOOKUP(Order_Details[[#This Row],[Order ID]], List_of_orders[Order ID], List_of_orders[State])</f>
        <v>Madhya Pradesh</v>
      </c>
      <c r="H614" s="10">
        <f>_xlfn.XLOOKUP(Order_Details[[#This Row],[Order ID]], List_of_orders[Order ID], List_of_orders[Order Date (Clean)])</f>
        <v>43378</v>
      </c>
      <c r="I614" s="7" t="str">
        <f>_xlfn.XLOOKUP(Order_Details[[#This Row],[Order ID]], List_of_orders[Order ID], List_of_orders[CustomerName])</f>
        <v>Shivanshu</v>
      </c>
      <c r="J614" s="7" t="str">
        <f>_xlfn.XLOOKUP(Order_Details[[#This Row],[Order ID]], List_of_orders[Order ID], List_of_orders[City])</f>
        <v>Indore</v>
      </c>
      <c r="K614" s="8" t="str">
        <f>TEXT(Order_Details[[#This Row],[Order Date]], "YY-MMM")</f>
        <v>18-Oct</v>
      </c>
      <c r="L614" s="11">
        <f>Order_Details[[#This Row],[Profit]]/Order_Details[[#This Row],[Amount]]</f>
        <v>3.6496350364963501E-2</v>
      </c>
      <c r="M614" s="8">
        <f>YEAR(Order_Details[[#This Row],[Order Date]])</f>
        <v>2018</v>
      </c>
      <c r="N614" s="8">
        <f>ROUNDUP(MONTH(Order_Details[[#This Row],[Order Date]])/3, 0)</f>
        <v>4</v>
      </c>
    </row>
    <row r="615" spans="1:14">
      <c r="A615" s="1" t="s">
        <v>515</v>
      </c>
      <c r="B615" s="1">
        <v>757</v>
      </c>
      <c r="C615" s="1">
        <v>371</v>
      </c>
      <c r="D615" s="1">
        <v>2</v>
      </c>
      <c r="E615" s="1" t="s">
        <v>1077</v>
      </c>
      <c r="F615" s="1" t="s">
        <v>1114</v>
      </c>
      <c r="G615" s="7" t="str">
        <f>_xlfn.XLOOKUP(Order_Details[[#This Row],[Order ID]], List_of_orders[Order ID], List_of_orders[State])</f>
        <v>Madhya Pradesh</v>
      </c>
      <c r="H615" s="10">
        <f>_xlfn.XLOOKUP(Order_Details[[#This Row],[Order ID]], List_of_orders[Order ID], List_of_orders[Order Date (Clean)])</f>
        <v>43378</v>
      </c>
      <c r="I615" s="7" t="str">
        <f>_xlfn.XLOOKUP(Order_Details[[#This Row],[Order ID]], List_of_orders[Order ID], List_of_orders[CustomerName])</f>
        <v>Shivanshu</v>
      </c>
      <c r="J615" s="7" t="str">
        <f>_xlfn.XLOOKUP(Order_Details[[#This Row],[Order ID]], List_of_orders[Order ID], List_of_orders[City])</f>
        <v>Indore</v>
      </c>
      <c r="K615" s="8" t="str">
        <f>TEXT(Order_Details[[#This Row],[Order Date]], "YY-MMM")</f>
        <v>18-Oct</v>
      </c>
      <c r="L615" s="11">
        <f>Order_Details[[#This Row],[Profit]]/Order_Details[[#This Row],[Amount]]</f>
        <v>0.49009247027741082</v>
      </c>
      <c r="M615" s="8">
        <f>YEAR(Order_Details[[#This Row],[Order Date]])</f>
        <v>2018</v>
      </c>
      <c r="N615" s="8">
        <f>ROUNDUP(MONTH(Order_Details[[#This Row],[Order Date]])/3, 0)</f>
        <v>4</v>
      </c>
    </row>
    <row r="616" spans="1:14">
      <c r="A616" s="1" t="s">
        <v>515</v>
      </c>
      <c r="B616" s="1">
        <v>511</v>
      </c>
      <c r="C616" s="1">
        <v>194</v>
      </c>
      <c r="D616" s="1">
        <v>3</v>
      </c>
      <c r="E616" s="1" t="s">
        <v>1075</v>
      </c>
      <c r="F616" s="1" t="s">
        <v>1108</v>
      </c>
      <c r="G616" s="7" t="str">
        <f>_xlfn.XLOOKUP(Order_Details[[#This Row],[Order ID]], List_of_orders[Order ID], List_of_orders[State])</f>
        <v>Madhya Pradesh</v>
      </c>
      <c r="H616" s="10">
        <f>_xlfn.XLOOKUP(Order_Details[[#This Row],[Order ID]], List_of_orders[Order ID], List_of_orders[Order Date (Clean)])</f>
        <v>43378</v>
      </c>
      <c r="I616" s="7" t="str">
        <f>_xlfn.XLOOKUP(Order_Details[[#This Row],[Order ID]], List_of_orders[Order ID], List_of_orders[CustomerName])</f>
        <v>Shivanshu</v>
      </c>
      <c r="J616" s="7" t="str">
        <f>_xlfn.XLOOKUP(Order_Details[[#This Row],[Order ID]], List_of_orders[Order ID], List_of_orders[City])</f>
        <v>Indore</v>
      </c>
      <c r="K616" s="8" t="str">
        <f>TEXT(Order_Details[[#This Row],[Order Date]], "YY-MMM")</f>
        <v>18-Oct</v>
      </c>
      <c r="L616" s="11">
        <f>Order_Details[[#This Row],[Profit]]/Order_Details[[#This Row],[Amount]]</f>
        <v>0.37964774951076319</v>
      </c>
      <c r="M616" s="8">
        <f>YEAR(Order_Details[[#This Row],[Order Date]])</f>
        <v>2018</v>
      </c>
      <c r="N616" s="8">
        <f>ROUNDUP(MONTH(Order_Details[[#This Row],[Order Date]])/3, 0)</f>
        <v>4</v>
      </c>
    </row>
    <row r="617" spans="1:14">
      <c r="A617" s="1" t="s">
        <v>515</v>
      </c>
      <c r="B617" s="1">
        <v>185</v>
      </c>
      <c r="C617" s="1">
        <v>48</v>
      </c>
      <c r="D617" s="1">
        <v>4</v>
      </c>
      <c r="E617" s="1" t="s">
        <v>1076</v>
      </c>
      <c r="F617" s="1" t="s">
        <v>1102</v>
      </c>
      <c r="G617" s="7" t="str">
        <f>_xlfn.XLOOKUP(Order_Details[[#This Row],[Order ID]], List_of_orders[Order ID], List_of_orders[State])</f>
        <v>Madhya Pradesh</v>
      </c>
      <c r="H617" s="10">
        <f>_xlfn.XLOOKUP(Order_Details[[#This Row],[Order ID]], List_of_orders[Order ID], List_of_orders[Order Date (Clean)])</f>
        <v>43378</v>
      </c>
      <c r="I617" s="7" t="str">
        <f>_xlfn.XLOOKUP(Order_Details[[#This Row],[Order ID]], List_of_orders[Order ID], List_of_orders[CustomerName])</f>
        <v>Shivanshu</v>
      </c>
      <c r="J617" s="7" t="str">
        <f>_xlfn.XLOOKUP(Order_Details[[#This Row],[Order ID]], List_of_orders[Order ID], List_of_orders[City])</f>
        <v>Indore</v>
      </c>
      <c r="K617" s="8" t="str">
        <f>TEXT(Order_Details[[#This Row],[Order Date]], "YY-MMM")</f>
        <v>18-Oct</v>
      </c>
      <c r="L617" s="11">
        <f>Order_Details[[#This Row],[Profit]]/Order_Details[[#This Row],[Amount]]</f>
        <v>0.25945945945945947</v>
      </c>
      <c r="M617" s="8">
        <f>YEAR(Order_Details[[#This Row],[Order Date]])</f>
        <v>2018</v>
      </c>
      <c r="N617" s="8">
        <f>ROUNDUP(MONTH(Order_Details[[#This Row],[Order Date]])/3, 0)</f>
        <v>4</v>
      </c>
    </row>
    <row r="618" spans="1:14">
      <c r="A618" s="1" t="s">
        <v>515</v>
      </c>
      <c r="B618" s="1">
        <v>765</v>
      </c>
      <c r="C618" s="1">
        <v>8</v>
      </c>
      <c r="D618" s="1">
        <v>6</v>
      </c>
      <c r="E618" s="1" t="s">
        <v>1076</v>
      </c>
      <c r="F618" s="1" t="s">
        <v>1106</v>
      </c>
      <c r="G618" s="7" t="str">
        <f>_xlfn.XLOOKUP(Order_Details[[#This Row],[Order ID]], List_of_orders[Order ID], List_of_orders[State])</f>
        <v>Madhya Pradesh</v>
      </c>
      <c r="H618" s="10">
        <f>_xlfn.XLOOKUP(Order_Details[[#This Row],[Order ID]], List_of_orders[Order ID], List_of_orders[Order Date (Clean)])</f>
        <v>43378</v>
      </c>
      <c r="I618" s="7" t="str">
        <f>_xlfn.XLOOKUP(Order_Details[[#This Row],[Order ID]], List_of_orders[Order ID], List_of_orders[CustomerName])</f>
        <v>Shivanshu</v>
      </c>
      <c r="J618" s="7" t="str">
        <f>_xlfn.XLOOKUP(Order_Details[[#This Row],[Order ID]], List_of_orders[Order ID], List_of_orders[City])</f>
        <v>Indore</v>
      </c>
      <c r="K618" s="8" t="str">
        <f>TEXT(Order_Details[[#This Row],[Order Date]], "YY-MMM")</f>
        <v>18-Oct</v>
      </c>
      <c r="L618" s="11">
        <f>Order_Details[[#This Row],[Profit]]/Order_Details[[#This Row],[Amount]]</f>
        <v>1.045751633986928E-2</v>
      </c>
      <c r="M618" s="8">
        <f>YEAR(Order_Details[[#This Row],[Order Date]])</f>
        <v>2018</v>
      </c>
      <c r="N618" s="8">
        <f>ROUNDUP(MONTH(Order_Details[[#This Row],[Order Date]])/3, 0)</f>
        <v>4</v>
      </c>
    </row>
    <row r="619" spans="1:14">
      <c r="A619" s="1" t="s">
        <v>517</v>
      </c>
      <c r="B619" s="1">
        <v>156</v>
      </c>
      <c r="C619" s="1">
        <v>36</v>
      </c>
      <c r="D619" s="1">
        <v>5</v>
      </c>
      <c r="E619" s="1" t="s">
        <v>1076</v>
      </c>
      <c r="F619" s="1" t="s">
        <v>1110</v>
      </c>
      <c r="G619" s="7" t="str">
        <f>_xlfn.XLOOKUP(Order_Details[[#This Row],[Order ID]], List_of_orders[Order ID], List_of_orders[State])</f>
        <v>Karnataka</v>
      </c>
      <c r="H619" s="10">
        <f>_xlfn.XLOOKUP(Order_Details[[#This Row],[Order ID]], List_of_orders[Order ID], List_of_orders[Order Date (Clean)])</f>
        <v>43378</v>
      </c>
      <c r="I619" s="7" t="str">
        <f>_xlfn.XLOOKUP(Order_Details[[#This Row],[Order ID]], List_of_orders[Order ID], List_of_orders[CustomerName])</f>
        <v>Sudheer</v>
      </c>
      <c r="J619" s="7" t="str">
        <f>_xlfn.XLOOKUP(Order_Details[[#This Row],[Order ID]], List_of_orders[Order ID], List_of_orders[City])</f>
        <v>Bangalore</v>
      </c>
      <c r="K619" s="8" t="str">
        <f>TEXT(Order_Details[[#This Row],[Order Date]], "YY-MMM")</f>
        <v>18-Oct</v>
      </c>
      <c r="L619" s="11">
        <f>Order_Details[[#This Row],[Profit]]/Order_Details[[#This Row],[Amount]]</f>
        <v>0.23076923076923078</v>
      </c>
      <c r="M619" s="8">
        <f>YEAR(Order_Details[[#This Row],[Order Date]])</f>
        <v>2018</v>
      </c>
      <c r="N619" s="8">
        <f>ROUNDUP(MONTH(Order_Details[[#This Row],[Order Date]])/3, 0)</f>
        <v>4</v>
      </c>
    </row>
    <row r="620" spans="1:14">
      <c r="A620" s="1" t="s">
        <v>517</v>
      </c>
      <c r="B620" s="1">
        <v>321</v>
      </c>
      <c r="C620" s="1">
        <v>26</v>
      </c>
      <c r="D620" s="1">
        <v>3</v>
      </c>
      <c r="E620" s="1" t="s">
        <v>1077</v>
      </c>
      <c r="F620" s="1" t="s">
        <v>1114</v>
      </c>
      <c r="G620" s="7" t="str">
        <f>_xlfn.XLOOKUP(Order_Details[[#This Row],[Order ID]], List_of_orders[Order ID], List_of_orders[State])</f>
        <v>Karnataka</v>
      </c>
      <c r="H620" s="10">
        <f>_xlfn.XLOOKUP(Order_Details[[#This Row],[Order ID]], List_of_orders[Order ID], List_of_orders[Order Date (Clean)])</f>
        <v>43378</v>
      </c>
      <c r="I620" s="7" t="str">
        <f>_xlfn.XLOOKUP(Order_Details[[#This Row],[Order ID]], List_of_orders[Order ID], List_of_orders[CustomerName])</f>
        <v>Sudheer</v>
      </c>
      <c r="J620" s="7" t="str">
        <f>_xlfn.XLOOKUP(Order_Details[[#This Row],[Order ID]], List_of_orders[Order ID], List_of_orders[City])</f>
        <v>Bangalore</v>
      </c>
      <c r="K620" s="8" t="str">
        <f>TEXT(Order_Details[[#This Row],[Order Date]], "YY-MMM")</f>
        <v>18-Oct</v>
      </c>
      <c r="L620" s="11">
        <f>Order_Details[[#This Row],[Profit]]/Order_Details[[#This Row],[Amount]]</f>
        <v>8.0996884735202487E-2</v>
      </c>
      <c r="M620" s="8">
        <f>YEAR(Order_Details[[#This Row],[Order Date]])</f>
        <v>2018</v>
      </c>
      <c r="N620" s="8">
        <f>ROUNDUP(MONTH(Order_Details[[#This Row],[Order Date]])/3, 0)</f>
        <v>4</v>
      </c>
    </row>
    <row r="621" spans="1:14">
      <c r="A621" s="1" t="s">
        <v>519</v>
      </c>
      <c r="B621" s="1">
        <v>112</v>
      </c>
      <c r="C621" s="1">
        <v>15</v>
      </c>
      <c r="D621" s="1">
        <v>2</v>
      </c>
      <c r="E621" s="1" t="s">
        <v>1075</v>
      </c>
      <c r="F621" s="1" t="s">
        <v>1108</v>
      </c>
      <c r="G621" s="7" t="str">
        <f>_xlfn.XLOOKUP(Order_Details[[#This Row],[Order ID]], List_of_orders[Order ID], List_of_orders[State])</f>
        <v>Maharashtra</v>
      </c>
      <c r="H621" s="10">
        <f>_xlfn.XLOOKUP(Order_Details[[#This Row],[Order ID]], List_of_orders[Order ID], List_of_orders[Order Date (Clean)])</f>
        <v>43378</v>
      </c>
      <c r="I621" s="7" t="str">
        <f>_xlfn.XLOOKUP(Order_Details[[#This Row],[Order ID]], List_of_orders[Order ID], List_of_orders[CustomerName])</f>
        <v>Ankit</v>
      </c>
      <c r="J621" s="7" t="str">
        <f>_xlfn.XLOOKUP(Order_Details[[#This Row],[Order ID]], List_of_orders[Order ID], List_of_orders[City])</f>
        <v>Mumbai</v>
      </c>
      <c r="K621" s="8" t="str">
        <f>TEXT(Order_Details[[#This Row],[Order Date]], "YY-MMM")</f>
        <v>18-Oct</v>
      </c>
      <c r="L621" s="11">
        <f>Order_Details[[#This Row],[Profit]]/Order_Details[[#This Row],[Amount]]</f>
        <v>0.13392857142857142</v>
      </c>
      <c r="M621" s="8">
        <f>YEAR(Order_Details[[#This Row],[Order Date]])</f>
        <v>2018</v>
      </c>
      <c r="N621" s="8">
        <f>ROUNDUP(MONTH(Order_Details[[#This Row],[Order Date]])/3, 0)</f>
        <v>4</v>
      </c>
    </row>
    <row r="622" spans="1:14">
      <c r="A622" s="1" t="s">
        <v>521</v>
      </c>
      <c r="B622" s="1">
        <v>632</v>
      </c>
      <c r="C622" s="1">
        <v>-114</v>
      </c>
      <c r="D622" s="1">
        <v>4</v>
      </c>
      <c r="E622" s="1" t="s">
        <v>1075</v>
      </c>
      <c r="F622" s="1" t="s">
        <v>1113</v>
      </c>
      <c r="G622" s="7" t="str">
        <f>_xlfn.XLOOKUP(Order_Details[[#This Row],[Order ID]], List_of_orders[Order ID], List_of_orders[State])</f>
        <v>Madhya Pradesh</v>
      </c>
      <c r="H622" s="10">
        <f>_xlfn.XLOOKUP(Order_Details[[#This Row],[Order ID]], List_of_orders[Order ID], List_of_orders[Order Date (Clean)])</f>
        <v>43379</v>
      </c>
      <c r="I622" s="7" t="str">
        <f>_xlfn.XLOOKUP(Order_Details[[#This Row],[Order ID]], List_of_orders[Order ID], List_of_orders[CustomerName])</f>
        <v>Dhanraj</v>
      </c>
      <c r="J622" s="7" t="str">
        <f>_xlfn.XLOOKUP(Order_Details[[#This Row],[Order ID]], List_of_orders[Order ID], List_of_orders[City])</f>
        <v>Indore</v>
      </c>
      <c r="K622" s="8" t="str">
        <f>TEXT(Order_Details[[#This Row],[Order Date]], "YY-MMM")</f>
        <v>18-Oct</v>
      </c>
      <c r="L622" s="11">
        <f>Order_Details[[#This Row],[Profit]]/Order_Details[[#This Row],[Amount]]</f>
        <v>-0.18037974683544303</v>
      </c>
      <c r="M622" s="8">
        <f>YEAR(Order_Details[[#This Row],[Order Date]])</f>
        <v>2018</v>
      </c>
      <c r="N622" s="8">
        <f>ROUNDUP(MONTH(Order_Details[[#This Row],[Order Date]])/3, 0)</f>
        <v>4</v>
      </c>
    </row>
    <row r="623" spans="1:14">
      <c r="A623" s="1" t="s">
        <v>523</v>
      </c>
      <c r="B623" s="1">
        <v>16</v>
      </c>
      <c r="C623" s="1">
        <v>6</v>
      </c>
      <c r="D623" s="1">
        <v>1</v>
      </c>
      <c r="E623" s="1" t="s">
        <v>1076</v>
      </c>
      <c r="F623" s="1" t="s">
        <v>1102</v>
      </c>
      <c r="G623" s="7" t="str">
        <f>_xlfn.XLOOKUP(Order_Details[[#This Row],[Order ID]], List_of_orders[Order ID], List_of_orders[State])</f>
        <v>Uttar Pradesh</v>
      </c>
      <c r="H623" s="10">
        <f>_xlfn.XLOOKUP(Order_Details[[#This Row],[Order ID]], List_of_orders[Order ID], List_of_orders[Order Date (Clean)])</f>
        <v>43380</v>
      </c>
      <c r="I623" s="7" t="str">
        <f>_xlfn.XLOOKUP(Order_Details[[#This Row],[Order ID]], List_of_orders[Order ID], List_of_orders[CustomerName])</f>
        <v>Vipul</v>
      </c>
      <c r="J623" s="7" t="str">
        <f>_xlfn.XLOOKUP(Order_Details[[#This Row],[Order ID]], List_of_orders[Order ID], List_of_orders[City])</f>
        <v>Lucknow</v>
      </c>
      <c r="K623" s="8" t="str">
        <f>TEXT(Order_Details[[#This Row],[Order Date]], "YY-MMM")</f>
        <v>18-Oct</v>
      </c>
      <c r="L623" s="11">
        <f>Order_Details[[#This Row],[Profit]]/Order_Details[[#This Row],[Amount]]</f>
        <v>0.375</v>
      </c>
      <c r="M623" s="8">
        <f>YEAR(Order_Details[[#This Row],[Order Date]])</f>
        <v>2018</v>
      </c>
      <c r="N623" s="8">
        <f>ROUNDUP(MONTH(Order_Details[[#This Row],[Order Date]])/3, 0)</f>
        <v>4</v>
      </c>
    </row>
    <row r="624" spans="1:14">
      <c r="A624" s="1" t="s">
        <v>525</v>
      </c>
      <c r="B624" s="1">
        <v>63</v>
      </c>
      <c r="C624" s="1">
        <v>17</v>
      </c>
      <c r="D624" s="1">
        <v>6</v>
      </c>
      <c r="E624" s="1" t="s">
        <v>1076</v>
      </c>
      <c r="F624" s="1" t="s">
        <v>1112</v>
      </c>
      <c r="G624" s="7" t="str">
        <f>_xlfn.XLOOKUP(Order_Details[[#This Row],[Order ID]], List_of_orders[Order ID], List_of_orders[State])</f>
        <v>Bihar</v>
      </c>
      <c r="H624" s="10">
        <f>_xlfn.XLOOKUP(Order_Details[[#This Row],[Order ID]], List_of_orders[Order ID], List_of_orders[Order Date (Clean)])</f>
        <v>43381</v>
      </c>
      <c r="I624" s="7" t="str">
        <f>_xlfn.XLOOKUP(Order_Details[[#This Row],[Order ID]], List_of_orders[Order ID], List_of_orders[CustomerName])</f>
        <v>Apsingekar</v>
      </c>
      <c r="J624" s="7" t="str">
        <f>_xlfn.XLOOKUP(Order_Details[[#This Row],[Order ID]], List_of_orders[Order ID], List_of_orders[City])</f>
        <v>Patna</v>
      </c>
      <c r="K624" s="8" t="str">
        <f>TEXT(Order_Details[[#This Row],[Order Date]], "YY-MMM")</f>
        <v>18-Oct</v>
      </c>
      <c r="L624" s="11">
        <f>Order_Details[[#This Row],[Profit]]/Order_Details[[#This Row],[Amount]]</f>
        <v>0.26984126984126983</v>
      </c>
      <c r="M624" s="8">
        <f>YEAR(Order_Details[[#This Row],[Order Date]])</f>
        <v>2018</v>
      </c>
      <c r="N624" s="8">
        <f>ROUNDUP(MONTH(Order_Details[[#This Row],[Order Date]])/3, 0)</f>
        <v>4</v>
      </c>
    </row>
    <row r="625" spans="1:14">
      <c r="A625" s="1" t="s">
        <v>525</v>
      </c>
      <c r="B625" s="1">
        <v>146</v>
      </c>
      <c r="C625" s="1">
        <v>-63</v>
      </c>
      <c r="D625" s="1">
        <v>3</v>
      </c>
      <c r="E625" s="1" t="s">
        <v>1077</v>
      </c>
      <c r="F625" s="1" t="s">
        <v>1104</v>
      </c>
      <c r="G625" s="7" t="str">
        <f>_xlfn.XLOOKUP(Order_Details[[#This Row],[Order ID]], List_of_orders[Order ID], List_of_orders[State])</f>
        <v>Bihar</v>
      </c>
      <c r="H625" s="10">
        <f>_xlfn.XLOOKUP(Order_Details[[#This Row],[Order ID]], List_of_orders[Order ID], List_of_orders[Order Date (Clean)])</f>
        <v>43381</v>
      </c>
      <c r="I625" s="7" t="str">
        <f>_xlfn.XLOOKUP(Order_Details[[#This Row],[Order ID]], List_of_orders[Order ID], List_of_orders[CustomerName])</f>
        <v>Apsingekar</v>
      </c>
      <c r="J625" s="7" t="str">
        <f>_xlfn.XLOOKUP(Order_Details[[#This Row],[Order ID]], List_of_orders[Order ID], List_of_orders[City])</f>
        <v>Patna</v>
      </c>
      <c r="K625" s="8" t="str">
        <f>TEXT(Order_Details[[#This Row],[Order Date]], "YY-MMM")</f>
        <v>18-Oct</v>
      </c>
      <c r="L625" s="11">
        <f>Order_Details[[#This Row],[Profit]]/Order_Details[[#This Row],[Amount]]</f>
        <v>-0.4315068493150685</v>
      </c>
      <c r="M625" s="8">
        <f>YEAR(Order_Details[[#This Row],[Order Date]])</f>
        <v>2018</v>
      </c>
      <c r="N625" s="8">
        <f>ROUNDUP(MONTH(Order_Details[[#This Row],[Order Date]])/3, 0)</f>
        <v>4</v>
      </c>
    </row>
    <row r="626" spans="1:14">
      <c r="A626" s="1" t="s">
        <v>525</v>
      </c>
      <c r="B626" s="1">
        <v>59</v>
      </c>
      <c r="C626" s="1">
        <v>21</v>
      </c>
      <c r="D626" s="1">
        <v>2</v>
      </c>
      <c r="E626" s="1" t="s">
        <v>1076</v>
      </c>
      <c r="F626" s="1" t="s">
        <v>1102</v>
      </c>
      <c r="G626" s="7" t="str">
        <f>_xlfn.XLOOKUP(Order_Details[[#This Row],[Order ID]], List_of_orders[Order ID], List_of_orders[State])</f>
        <v>Bihar</v>
      </c>
      <c r="H626" s="10">
        <f>_xlfn.XLOOKUP(Order_Details[[#This Row],[Order ID]], List_of_orders[Order ID], List_of_orders[Order Date (Clean)])</f>
        <v>43381</v>
      </c>
      <c r="I626" s="7" t="str">
        <f>_xlfn.XLOOKUP(Order_Details[[#This Row],[Order ID]], List_of_orders[Order ID], List_of_orders[CustomerName])</f>
        <v>Apsingekar</v>
      </c>
      <c r="J626" s="7" t="str">
        <f>_xlfn.XLOOKUP(Order_Details[[#This Row],[Order ID]], List_of_orders[Order ID], List_of_orders[City])</f>
        <v>Patna</v>
      </c>
      <c r="K626" s="8" t="str">
        <f>TEXT(Order_Details[[#This Row],[Order Date]], "YY-MMM")</f>
        <v>18-Oct</v>
      </c>
      <c r="L626" s="11">
        <f>Order_Details[[#This Row],[Profit]]/Order_Details[[#This Row],[Amount]]</f>
        <v>0.3559322033898305</v>
      </c>
      <c r="M626" s="8">
        <f>YEAR(Order_Details[[#This Row],[Order Date]])</f>
        <v>2018</v>
      </c>
      <c r="N626" s="8">
        <f>ROUNDUP(MONTH(Order_Details[[#This Row],[Order Date]])/3, 0)</f>
        <v>4</v>
      </c>
    </row>
    <row r="627" spans="1:14">
      <c r="A627" s="1" t="s">
        <v>525</v>
      </c>
      <c r="B627" s="1">
        <v>210</v>
      </c>
      <c r="C627" s="1">
        <v>50</v>
      </c>
      <c r="D627" s="1">
        <v>4</v>
      </c>
      <c r="E627" s="1" t="s">
        <v>1076</v>
      </c>
      <c r="F627" s="1" t="s">
        <v>1103</v>
      </c>
      <c r="G627" s="7" t="str">
        <f>_xlfn.XLOOKUP(Order_Details[[#This Row],[Order ID]], List_of_orders[Order ID], List_of_orders[State])</f>
        <v>Bihar</v>
      </c>
      <c r="H627" s="10">
        <f>_xlfn.XLOOKUP(Order_Details[[#This Row],[Order ID]], List_of_orders[Order ID], List_of_orders[Order Date (Clean)])</f>
        <v>43381</v>
      </c>
      <c r="I627" s="7" t="str">
        <f>_xlfn.XLOOKUP(Order_Details[[#This Row],[Order ID]], List_of_orders[Order ID], List_of_orders[CustomerName])</f>
        <v>Apsingekar</v>
      </c>
      <c r="J627" s="7" t="str">
        <f>_xlfn.XLOOKUP(Order_Details[[#This Row],[Order ID]], List_of_orders[Order ID], List_of_orders[City])</f>
        <v>Patna</v>
      </c>
      <c r="K627" s="8" t="str">
        <f>TEXT(Order_Details[[#This Row],[Order Date]], "YY-MMM")</f>
        <v>18-Oct</v>
      </c>
      <c r="L627" s="11">
        <f>Order_Details[[#This Row],[Profit]]/Order_Details[[#This Row],[Amount]]</f>
        <v>0.23809523809523808</v>
      </c>
      <c r="M627" s="8">
        <f>YEAR(Order_Details[[#This Row],[Order Date]])</f>
        <v>2018</v>
      </c>
      <c r="N627" s="8">
        <f>ROUNDUP(MONTH(Order_Details[[#This Row],[Order Date]])/3, 0)</f>
        <v>4</v>
      </c>
    </row>
    <row r="628" spans="1:14">
      <c r="A628" s="1" t="s">
        <v>527</v>
      </c>
      <c r="B628" s="1">
        <v>154</v>
      </c>
      <c r="C628" s="1">
        <v>54</v>
      </c>
      <c r="D628" s="1">
        <v>3</v>
      </c>
      <c r="E628" s="1" t="s">
        <v>1076</v>
      </c>
      <c r="F628" s="1" t="s">
        <v>1103</v>
      </c>
      <c r="G628" s="7" t="str">
        <f>_xlfn.XLOOKUP(Order_Details[[#This Row],[Order ID]], List_of_orders[Order ID], List_of_orders[State])</f>
        <v xml:space="preserve">Kerala </v>
      </c>
      <c r="H628" s="10">
        <f>_xlfn.XLOOKUP(Order_Details[[#This Row],[Order ID]], List_of_orders[Order ID], List_of_orders[Order Date (Clean)])</f>
        <v>43382</v>
      </c>
      <c r="I628" s="7" t="str">
        <f>_xlfn.XLOOKUP(Order_Details[[#This Row],[Order ID]], List_of_orders[Order ID], List_of_orders[CustomerName])</f>
        <v>Suman</v>
      </c>
      <c r="J628" s="7" t="str">
        <f>_xlfn.XLOOKUP(Order_Details[[#This Row],[Order ID]], List_of_orders[Order ID], List_of_orders[City])</f>
        <v>Thiruvananthapuram</v>
      </c>
      <c r="K628" s="8" t="str">
        <f>TEXT(Order_Details[[#This Row],[Order Date]], "YY-MMM")</f>
        <v>18-Oct</v>
      </c>
      <c r="L628" s="11">
        <f>Order_Details[[#This Row],[Profit]]/Order_Details[[#This Row],[Amount]]</f>
        <v>0.35064935064935066</v>
      </c>
      <c r="M628" s="8">
        <f>YEAR(Order_Details[[#This Row],[Order Date]])</f>
        <v>2018</v>
      </c>
      <c r="N628" s="8">
        <f>ROUNDUP(MONTH(Order_Details[[#This Row],[Order Date]])/3, 0)</f>
        <v>4</v>
      </c>
    </row>
    <row r="629" spans="1:14">
      <c r="A629" s="1" t="s">
        <v>527</v>
      </c>
      <c r="B629" s="1">
        <v>53</v>
      </c>
      <c r="C629" s="1">
        <v>24</v>
      </c>
      <c r="D629" s="1">
        <v>1</v>
      </c>
      <c r="E629" s="1" t="s">
        <v>1076</v>
      </c>
      <c r="F629" s="1" t="s">
        <v>1103</v>
      </c>
      <c r="G629" s="7" t="str">
        <f>_xlfn.XLOOKUP(Order_Details[[#This Row],[Order ID]], List_of_orders[Order ID], List_of_orders[State])</f>
        <v xml:space="preserve">Kerala </v>
      </c>
      <c r="H629" s="10">
        <f>_xlfn.XLOOKUP(Order_Details[[#This Row],[Order ID]], List_of_orders[Order ID], List_of_orders[Order Date (Clean)])</f>
        <v>43382</v>
      </c>
      <c r="I629" s="7" t="str">
        <f>_xlfn.XLOOKUP(Order_Details[[#This Row],[Order ID]], List_of_orders[Order ID], List_of_orders[CustomerName])</f>
        <v>Suman</v>
      </c>
      <c r="J629" s="7" t="str">
        <f>_xlfn.XLOOKUP(Order_Details[[#This Row],[Order ID]], List_of_orders[Order ID], List_of_orders[City])</f>
        <v>Thiruvananthapuram</v>
      </c>
      <c r="K629" s="8" t="str">
        <f>TEXT(Order_Details[[#This Row],[Order Date]], "YY-MMM")</f>
        <v>18-Oct</v>
      </c>
      <c r="L629" s="11">
        <f>Order_Details[[#This Row],[Profit]]/Order_Details[[#This Row],[Amount]]</f>
        <v>0.45283018867924529</v>
      </c>
      <c r="M629" s="8">
        <f>YEAR(Order_Details[[#This Row],[Order Date]])</f>
        <v>2018</v>
      </c>
      <c r="N629" s="8">
        <f>ROUNDUP(MONTH(Order_Details[[#This Row],[Order Date]])/3, 0)</f>
        <v>4</v>
      </c>
    </row>
    <row r="630" spans="1:14">
      <c r="A630" s="1" t="s">
        <v>529</v>
      </c>
      <c r="B630" s="1">
        <v>26</v>
      </c>
      <c r="C630" s="1">
        <v>10</v>
      </c>
      <c r="D630" s="1">
        <v>4</v>
      </c>
      <c r="E630" s="1" t="s">
        <v>1076</v>
      </c>
      <c r="F630" s="1" t="s">
        <v>1103</v>
      </c>
      <c r="G630" s="7" t="str">
        <f>_xlfn.XLOOKUP(Order_Details[[#This Row],[Order ID]], List_of_orders[Order ID], List_of_orders[State])</f>
        <v>Punjab</v>
      </c>
      <c r="H630" s="10">
        <f>_xlfn.XLOOKUP(Order_Details[[#This Row],[Order ID]], List_of_orders[Order ID], List_of_orders[Order Date (Clean)])</f>
        <v>43383</v>
      </c>
      <c r="I630" s="7" t="str">
        <f>_xlfn.XLOOKUP(Order_Details[[#This Row],[Order ID]], List_of_orders[Order ID], List_of_orders[CustomerName])</f>
        <v>Nripraj</v>
      </c>
      <c r="J630" s="7" t="str">
        <f>_xlfn.XLOOKUP(Order_Details[[#This Row],[Order ID]], List_of_orders[Order ID], List_of_orders[City])</f>
        <v>Chandigarh</v>
      </c>
      <c r="K630" s="8" t="str">
        <f>TEXT(Order_Details[[#This Row],[Order Date]], "YY-MMM")</f>
        <v>18-Oct</v>
      </c>
      <c r="L630" s="11">
        <f>Order_Details[[#This Row],[Profit]]/Order_Details[[#This Row],[Amount]]</f>
        <v>0.38461538461538464</v>
      </c>
      <c r="M630" s="8">
        <f>YEAR(Order_Details[[#This Row],[Order Date]])</f>
        <v>2018</v>
      </c>
      <c r="N630" s="8">
        <f>ROUNDUP(MONTH(Order_Details[[#This Row],[Order Date]])/3, 0)</f>
        <v>4</v>
      </c>
    </row>
    <row r="631" spans="1:14">
      <c r="A631" s="1" t="s">
        <v>529</v>
      </c>
      <c r="B631" s="1">
        <v>1120</v>
      </c>
      <c r="C631" s="1">
        <v>199</v>
      </c>
      <c r="D631" s="1">
        <v>6</v>
      </c>
      <c r="E631" s="1" t="s">
        <v>1076</v>
      </c>
      <c r="F631" s="1" t="s">
        <v>1106</v>
      </c>
      <c r="G631" s="7" t="str">
        <f>_xlfn.XLOOKUP(Order_Details[[#This Row],[Order ID]], List_of_orders[Order ID], List_of_orders[State])</f>
        <v>Punjab</v>
      </c>
      <c r="H631" s="10">
        <f>_xlfn.XLOOKUP(Order_Details[[#This Row],[Order ID]], List_of_orders[Order ID], List_of_orders[Order Date (Clean)])</f>
        <v>43383</v>
      </c>
      <c r="I631" s="7" t="str">
        <f>_xlfn.XLOOKUP(Order_Details[[#This Row],[Order ID]], List_of_orders[Order ID], List_of_orders[CustomerName])</f>
        <v>Nripraj</v>
      </c>
      <c r="J631" s="7" t="str">
        <f>_xlfn.XLOOKUP(Order_Details[[#This Row],[Order ID]], List_of_orders[Order ID], List_of_orders[City])</f>
        <v>Chandigarh</v>
      </c>
      <c r="K631" s="8" t="str">
        <f>TEXT(Order_Details[[#This Row],[Order Date]], "YY-MMM")</f>
        <v>18-Oct</v>
      </c>
      <c r="L631" s="11">
        <f>Order_Details[[#This Row],[Profit]]/Order_Details[[#This Row],[Amount]]</f>
        <v>0.17767857142857144</v>
      </c>
      <c r="M631" s="8">
        <f>YEAR(Order_Details[[#This Row],[Order Date]])</f>
        <v>2018</v>
      </c>
      <c r="N631" s="8">
        <f>ROUNDUP(MONTH(Order_Details[[#This Row],[Order Date]])/3, 0)</f>
        <v>4</v>
      </c>
    </row>
    <row r="632" spans="1:14">
      <c r="A632" s="1" t="s">
        <v>529</v>
      </c>
      <c r="B632" s="1">
        <v>45</v>
      </c>
      <c r="C632" s="1">
        <v>6</v>
      </c>
      <c r="D632" s="1">
        <v>3</v>
      </c>
      <c r="E632" s="1" t="s">
        <v>1076</v>
      </c>
      <c r="F632" s="1" t="s">
        <v>1111</v>
      </c>
      <c r="G632" s="7" t="str">
        <f>_xlfn.XLOOKUP(Order_Details[[#This Row],[Order ID]], List_of_orders[Order ID], List_of_orders[State])</f>
        <v>Punjab</v>
      </c>
      <c r="H632" s="10">
        <f>_xlfn.XLOOKUP(Order_Details[[#This Row],[Order ID]], List_of_orders[Order ID], List_of_orders[Order Date (Clean)])</f>
        <v>43383</v>
      </c>
      <c r="I632" s="7" t="str">
        <f>_xlfn.XLOOKUP(Order_Details[[#This Row],[Order ID]], List_of_orders[Order ID], List_of_orders[CustomerName])</f>
        <v>Nripraj</v>
      </c>
      <c r="J632" s="7" t="str">
        <f>_xlfn.XLOOKUP(Order_Details[[#This Row],[Order ID]], List_of_orders[Order ID], List_of_orders[City])</f>
        <v>Chandigarh</v>
      </c>
      <c r="K632" s="8" t="str">
        <f>TEXT(Order_Details[[#This Row],[Order Date]], "YY-MMM")</f>
        <v>18-Oct</v>
      </c>
      <c r="L632" s="11">
        <f>Order_Details[[#This Row],[Profit]]/Order_Details[[#This Row],[Amount]]</f>
        <v>0.13333333333333333</v>
      </c>
      <c r="M632" s="8">
        <f>YEAR(Order_Details[[#This Row],[Order Date]])</f>
        <v>2018</v>
      </c>
      <c r="N632" s="8">
        <f>ROUNDUP(MONTH(Order_Details[[#This Row],[Order Date]])/3, 0)</f>
        <v>4</v>
      </c>
    </row>
    <row r="633" spans="1:14">
      <c r="A633" s="1" t="s">
        <v>529</v>
      </c>
      <c r="B633" s="1">
        <v>307</v>
      </c>
      <c r="C633" s="1">
        <v>74</v>
      </c>
      <c r="D633" s="1">
        <v>3</v>
      </c>
      <c r="E633" s="1" t="s">
        <v>1077</v>
      </c>
      <c r="F633" s="1" t="s">
        <v>1115</v>
      </c>
      <c r="G633" s="7" t="str">
        <f>_xlfn.XLOOKUP(Order_Details[[#This Row],[Order ID]], List_of_orders[Order ID], List_of_orders[State])</f>
        <v>Punjab</v>
      </c>
      <c r="H633" s="10">
        <f>_xlfn.XLOOKUP(Order_Details[[#This Row],[Order ID]], List_of_orders[Order ID], List_of_orders[Order Date (Clean)])</f>
        <v>43383</v>
      </c>
      <c r="I633" s="7" t="str">
        <f>_xlfn.XLOOKUP(Order_Details[[#This Row],[Order ID]], List_of_orders[Order ID], List_of_orders[CustomerName])</f>
        <v>Nripraj</v>
      </c>
      <c r="J633" s="7" t="str">
        <f>_xlfn.XLOOKUP(Order_Details[[#This Row],[Order ID]], List_of_orders[Order ID], List_of_orders[City])</f>
        <v>Chandigarh</v>
      </c>
      <c r="K633" s="8" t="str">
        <f>TEXT(Order_Details[[#This Row],[Order Date]], "YY-MMM")</f>
        <v>18-Oct</v>
      </c>
      <c r="L633" s="11">
        <f>Order_Details[[#This Row],[Profit]]/Order_Details[[#This Row],[Amount]]</f>
        <v>0.24104234527687296</v>
      </c>
      <c r="M633" s="8">
        <f>YEAR(Order_Details[[#This Row],[Order Date]])</f>
        <v>2018</v>
      </c>
      <c r="N633" s="8">
        <f>ROUNDUP(MONTH(Order_Details[[#This Row],[Order Date]])/3, 0)</f>
        <v>4</v>
      </c>
    </row>
    <row r="634" spans="1:14">
      <c r="A634" s="1" t="s">
        <v>529</v>
      </c>
      <c r="B634" s="1">
        <v>92</v>
      </c>
      <c r="C634" s="1">
        <v>42</v>
      </c>
      <c r="D634" s="1">
        <v>2</v>
      </c>
      <c r="E634" s="1" t="s">
        <v>1076</v>
      </c>
      <c r="F634" s="1" t="s">
        <v>1102</v>
      </c>
      <c r="G634" s="7" t="str">
        <f>_xlfn.XLOOKUP(Order_Details[[#This Row],[Order ID]], List_of_orders[Order ID], List_of_orders[State])</f>
        <v>Punjab</v>
      </c>
      <c r="H634" s="10">
        <f>_xlfn.XLOOKUP(Order_Details[[#This Row],[Order ID]], List_of_orders[Order ID], List_of_orders[Order Date (Clean)])</f>
        <v>43383</v>
      </c>
      <c r="I634" s="7" t="str">
        <f>_xlfn.XLOOKUP(Order_Details[[#This Row],[Order ID]], List_of_orders[Order ID], List_of_orders[CustomerName])</f>
        <v>Nripraj</v>
      </c>
      <c r="J634" s="7" t="str">
        <f>_xlfn.XLOOKUP(Order_Details[[#This Row],[Order ID]], List_of_orders[Order ID], List_of_orders[City])</f>
        <v>Chandigarh</v>
      </c>
      <c r="K634" s="8" t="str">
        <f>TEXT(Order_Details[[#This Row],[Order Date]], "YY-MMM")</f>
        <v>18-Oct</v>
      </c>
      <c r="L634" s="11">
        <f>Order_Details[[#This Row],[Profit]]/Order_Details[[#This Row],[Amount]]</f>
        <v>0.45652173913043476</v>
      </c>
      <c r="M634" s="8">
        <f>YEAR(Order_Details[[#This Row],[Order Date]])</f>
        <v>2018</v>
      </c>
      <c r="N634" s="8">
        <f>ROUNDUP(MONTH(Order_Details[[#This Row],[Order Date]])/3, 0)</f>
        <v>4</v>
      </c>
    </row>
    <row r="635" spans="1:14">
      <c r="A635" s="1" t="s">
        <v>529</v>
      </c>
      <c r="B635" s="1">
        <v>29</v>
      </c>
      <c r="C635" s="1">
        <v>8</v>
      </c>
      <c r="D635" s="1">
        <v>5</v>
      </c>
      <c r="E635" s="1" t="s">
        <v>1076</v>
      </c>
      <c r="F635" s="1" t="s">
        <v>1103</v>
      </c>
      <c r="G635" s="7" t="str">
        <f>_xlfn.XLOOKUP(Order_Details[[#This Row],[Order ID]], List_of_orders[Order ID], List_of_orders[State])</f>
        <v>Punjab</v>
      </c>
      <c r="H635" s="10">
        <f>_xlfn.XLOOKUP(Order_Details[[#This Row],[Order ID]], List_of_orders[Order ID], List_of_orders[Order Date (Clean)])</f>
        <v>43383</v>
      </c>
      <c r="I635" s="7" t="str">
        <f>_xlfn.XLOOKUP(Order_Details[[#This Row],[Order ID]], List_of_orders[Order ID], List_of_orders[CustomerName])</f>
        <v>Nripraj</v>
      </c>
      <c r="J635" s="7" t="str">
        <f>_xlfn.XLOOKUP(Order_Details[[#This Row],[Order ID]], List_of_orders[Order ID], List_of_orders[City])</f>
        <v>Chandigarh</v>
      </c>
      <c r="K635" s="8" t="str">
        <f>TEXT(Order_Details[[#This Row],[Order Date]], "YY-MMM")</f>
        <v>18-Oct</v>
      </c>
      <c r="L635" s="11">
        <f>Order_Details[[#This Row],[Profit]]/Order_Details[[#This Row],[Amount]]</f>
        <v>0.27586206896551724</v>
      </c>
      <c r="M635" s="8">
        <f>YEAR(Order_Details[[#This Row],[Order Date]])</f>
        <v>2018</v>
      </c>
      <c r="N635" s="8">
        <f>ROUNDUP(MONTH(Order_Details[[#This Row],[Order Date]])/3, 0)</f>
        <v>4</v>
      </c>
    </row>
    <row r="636" spans="1:14">
      <c r="A636" s="1" t="s">
        <v>531</v>
      </c>
      <c r="B636" s="1">
        <v>126</v>
      </c>
      <c r="C636" s="1">
        <v>52</v>
      </c>
      <c r="D636" s="1">
        <v>4</v>
      </c>
      <c r="E636" s="1" t="s">
        <v>1076</v>
      </c>
      <c r="F636" s="1" t="s">
        <v>1103</v>
      </c>
      <c r="G636" s="7" t="str">
        <f>_xlfn.XLOOKUP(Order_Details[[#This Row],[Order ID]], List_of_orders[Order ID], List_of_orders[State])</f>
        <v>Maharashtra</v>
      </c>
      <c r="H636" s="10">
        <f>_xlfn.XLOOKUP(Order_Details[[#This Row],[Order ID]], List_of_orders[Order ID], List_of_orders[Order Date (Clean)])</f>
        <v>43383</v>
      </c>
      <c r="I636" s="7" t="str">
        <f>_xlfn.XLOOKUP(Order_Details[[#This Row],[Order ID]], List_of_orders[Order ID], List_of_orders[CustomerName])</f>
        <v>Utsav</v>
      </c>
      <c r="J636" s="7" t="str">
        <f>_xlfn.XLOOKUP(Order_Details[[#This Row],[Order ID]], List_of_orders[Order ID], List_of_orders[City])</f>
        <v>Mumbai</v>
      </c>
      <c r="K636" s="8" t="str">
        <f>TEXT(Order_Details[[#This Row],[Order Date]], "YY-MMM")</f>
        <v>18-Oct</v>
      </c>
      <c r="L636" s="11">
        <f>Order_Details[[#This Row],[Profit]]/Order_Details[[#This Row],[Amount]]</f>
        <v>0.41269841269841268</v>
      </c>
      <c r="M636" s="8">
        <f>YEAR(Order_Details[[#This Row],[Order Date]])</f>
        <v>2018</v>
      </c>
      <c r="N636" s="8">
        <f>ROUNDUP(MONTH(Order_Details[[#This Row],[Order Date]])/3, 0)</f>
        <v>4</v>
      </c>
    </row>
    <row r="637" spans="1:14">
      <c r="A637" s="1" t="s">
        <v>533</v>
      </c>
      <c r="B637" s="1">
        <v>259</v>
      </c>
      <c r="C637" s="1">
        <v>47</v>
      </c>
      <c r="D637" s="1">
        <v>5</v>
      </c>
      <c r="E637" s="1" t="s">
        <v>1076</v>
      </c>
      <c r="F637" s="1" t="s">
        <v>1103</v>
      </c>
      <c r="G637" s="7" t="str">
        <f>_xlfn.XLOOKUP(Order_Details[[#This Row],[Order ID]], List_of_orders[Order ID], List_of_orders[State])</f>
        <v>Madhya Pradesh</v>
      </c>
      <c r="H637" s="10">
        <f>_xlfn.XLOOKUP(Order_Details[[#This Row],[Order ID]], List_of_orders[Order ID], List_of_orders[Order Date (Clean)])</f>
        <v>43383</v>
      </c>
      <c r="I637" s="7" t="str">
        <f>_xlfn.XLOOKUP(Order_Details[[#This Row],[Order ID]], List_of_orders[Order ID], List_of_orders[CustomerName])</f>
        <v>Kshitij</v>
      </c>
      <c r="J637" s="7" t="str">
        <f>_xlfn.XLOOKUP(Order_Details[[#This Row],[Order ID]], List_of_orders[Order ID], List_of_orders[City])</f>
        <v>Indore</v>
      </c>
      <c r="K637" s="8" t="str">
        <f>TEXT(Order_Details[[#This Row],[Order Date]], "YY-MMM")</f>
        <v>18-Oct</v>
      </c>
      <c r="L637" s="11">
        <f>Order_Details[[#This Row],[Profit]]/Order_Details[[#This Row],[Amount]]</f>
        <v>0.18146718146718147</v>
      </c>
      <c r="M637" s="8">
        <f>YEAR(Order_Details[[#This Row],[Order Date]])</f>
        <v>2018</v>
      </c>
      <c r="N637" s="8">
        <f>ROUNDUP(MONTH(Order_Details[[#This Row],[Order Date]])/3, 0)</f>
        <v>4</v>
      </c>
    </row>
    <row r="638" spans="1:14">
      <c r="A638" s="1" t="s">
        <v>535</v>
      </c>
      <c r="B638" s="1">
        <v>911</v>
      </c>
      <c r="C638" s="1">
        <v>202</v>
      </c>
      <c r="D638" s="1">
        <v>7</v>
      </c>
      <c r="E638" s="1" t="s">
        <v>1075</v>
      </c>
      <c r="F638" s="1" t="s">
        <v>1108</v>
      </c>
      <c r="G638" s="7" t="str">
        <f>_xlfn.XLOOKUP(Order_Details[[#This Row],[Order ID]], List_of_orders[Order ID], List_of_orders[State])</f>
        <v>Maharashtra</v>
      </c>
      <c r="H638" s="10">
        <f>_xlfn.XLOOKUP(Order_Details[[#This Row],[Order ID]], List_of_orders[Order ID], List_of_orders[Order Date (Clean)])</f>
        <v>43383</v>
      </c>
      <c r="I638" s="7" t="str">
        <f>_xlfn.XLOOKUP(Order_Details[[#This Row],[Order ID]], List_of_orders[Order ID], List_of_orders[CustomerName])</f>
        <v>Hrisheekesh</v>
      </c>
      <c r="J638" s="7" t="str">
        <f>_xlfn.XLOOKUP(Order_Details[[#This Row],[Order ID]], List_of_orders[Order ID], List_of_orders[City])</f>
        <v>Mumbai</v>
      </c>
      <c r="K638" s="8" t="str">
        <f>TEXT(Order_Details[[#This Row],[Order Date]], "YY-MMM")</f>
        <v>18-Oct</v>
      </c>
      <c r="L638" s="11">
        <f>Order_Details[[#This Row],[Profit]]/Order_Details[[#This Row],[Amount]]</f>
        <v>0.22173435784851811</v>
      </c>
      <c r="M638" s="8">
        <f>YEAR(Order_Details[[#This Row],[Order Date]])</f>
        <v>2018</v>
      </c>
      <c r="N638" s="8">
        <f>ROUNDUP(MONTH(Order_Details[[#This Row],[Order Date]])/3, 0)</f>
        <v>4</v>
      </c>
    </row>
    <row r="639" spans="1:14">
      <c r="A639" s="1" t="s">
        <v>537</v>
      </c>
      <c r="B639" s="1">
        <v>118</v>
      </c>
      <c r="C639" s="1">
        <v>35</v>
      </c>
      <c r="D639" s="1">
        <v>7</v>
      </c>
      <c r="E639" s="1" t="s">
        <v>1076</v>
      </c>
      <c r="F639" s="1" t="s">
        <v>1110</v>
      </c>
      <c r="G639" s="7" t="str">
        <f>_xlfn.XLOOKUP(Order_Details[[#This Row],[Order ID]], List_of_orders[Order ID], List_of_orders[State])</f>
        <v>Madhya Pradesh</v>
      </c>
      <c r="H639" s="10">
        <f>_xlfn.XLOOKUP(Order_Details[[#This Row],[Order ID]], List_of_orders[Order ID], List_of_orders[Order Date (Clean)])</f>
        <v>43383</v>
      </c>
      <c r="I639" s="7" t="str">
        <f>_xlfn.XLOOKUP(Order_Details[[#This Row],[Order ID]], List_of_orders[Order ID], List_of_orders[CustomerName])</f>
        <v>Swapnil</v>
      </c>
      <c r="J639" s="7" t="str">
        <f>_xlfn.XLOOKUP(Order_Details[[#This Row],[Order ID]], List_of_orders[Order ID], List_of_orders[City])</f>
        <v>Indore</v>
      </c>
      <c r="K639" s="8" t="str">
        <f>TEXT(Order_Details[[#This Row],[Order Date]], "YY-MMM")</f>
        <v>18-Oct</v>
      </c>
      <c r="L639" s="11">
        <f>Order_Details[[#This Row],[Profit]]/Order_Details[[#This Row],[Amount]]</f>
        <v>0.29661016949152541</v>
      </c>
      <c r="M639" s="8">
        <f>YEAR(Order_Details[[#This Row],[Order Date]])</f>
        <v>2018</v>
      </c>
      <c r="N639" s="8">
        <f>ROUNDUP(MONTH(Order_Details[[#This Row],[Order Date]])/3, 0)</f>
        <v>4</v>
      </c>
    </row>
    <row r="640" spans="1:14">
      <c r="A640" s="1" t="s">
        <v>537</v>
      </c>
      <c r="B640" s="1">
        <v>462</v>
      </c>
      <c r="C640" s="1">
        <v>169</v>
      </c>
      <c r="D640" s="1">
        <v>4</v>
      </c>
      <c r="E640" s="1" t="s">
        <v>1076</v>
      </c>
      <c r="F640" s="1" t="s">
        <v>1106</v>
      </c>
      <c r="G640" s="7" t="str">
        <f>_xlfn.XLOOKUP(Order_Details[[#This Row],[Order ID]], List_of_orders[Order ID], List_of_orders[State])</f>
        <v>Madhya Pradesh</v>
      </c>
      <c r="H640" s="10">
        <f>_xlfn.XLOOKUP(Order_Details[[#This Row],[Order ID]], List_of_orders[Order ID], List_of_orders[Order Date (Clean)])</f>
        <v>43383</v>
      </c>
      <c r="I640" s="7" t="str">
        <f>_xlfn.XLOOKUP(Order_Details[[#This Row],[Order ID]], List_of_orders[Order ID], List_of_orders[CustomerName])</f>
        <v>Swapnil</v>
      </c>
      <c r="J640" s="7" t="str">
        <f>_xlfn.XLOOKUP(Order_Details[[#This Row],[Order ID]], List_of_orders[Order ID], List_of_orders[City])</f>
        <v>Indore</v>
      </c>
      <c r="K640" s="8" t="str">
        <f>TEXT(Order_Details[[#This Row],[Order Date]], "YY-MMM")</f>
        <v>18-Oct</v>
      </c>
      <c r="L640" s="11">
        <f>Order_Details[[#This Row],[Profit]]/Order_Details[[#This Row],[Amount]]</f>
        <v>0.36580086580086579</v>
      </c>
      <c r="M640" s="8">
        <f>YEAR(Order_Details[[#This Row],[Order Date]])</f>
        <v>2018</v>
      </c>
      <c r="N640" s="8">
        <f>ROUNDUP(MONTH(Order_Details[[#This Row],[Order Date]])/3, 0)</f>
        <v>4</v>
      </c>
    </row>
    <row r="641" spans="1:14">
      <c r="A641" s="1" t="s">
        <v>539</v>
      </c>
      <c r="B641" s="1">
        <v>35</v>
      </c>
      <c r="C641" s="1">
        <v>14</v>
      </c>
      <c r="D641" s="1">
        <v>2</v>
      </c>
      <c r="E641" s="1" t="s">
        <v>1076</v>
      </c>
      <c r="F641" s="1" t="s">
        <v>1102</v>
      </c>
      <c r="G641" s="7" t="str">
        <f>_xlfn.XLOOKUP(Order_Details[[#This Row],[Order ID]], List_of_orders[Order ID], List_of_orders[State])</f>
        <v>Nagaland</v>
      </c>
      <c r="H641" s="10">
        <f>_xlfn.XLOOKUP(Order_Details[[#This Row],[Order ID]], List_of_orders[Order ID], List_of_orders[Order Date (Clean)])</f>
        <v>43383</v>
      </c>
      <c r="I641" s="7" t="str">
        <f>_xlfn.XLOOKUP(Order_Details[[#This Row],[Order ID]], List_of_orders[Order ID], List_of_orders[CustomerName])</f>
        <v>Harsh</v>
      </c>
      <c r="J641" s="7" t="str">
        <f>_xlfn.XLOOKUP(Order_Details[[#This Row],[Order ID]], List_of_orders[Order ID], List_of_orders[City])</f>
        <v>Kohima</v>
      </c>
      <c r="K641" s="8" t="str">
        <f>TEXT(Order_Details[[#This Row],[Order Date]], "YY-MMM")</f>
        <v>18-Oct</v>
      </c>
      <c r="L641" s="11">
        <f>Order_Details[[#This Row],[Profit]]/Order_Details[[#This Row],[Amount]]</f>
        <v>0.4</v>
      </c>
      <c r="M641" s="8">
        <f>YEAR(Order_Details[[#This Row],[Order Date]])</f>
        <v>2018</v>
      </c>
      <c r="N641" s="8">
        <f>ROUNDUP(MONTH(Order_Details[[#This Row],[Order Date]])/3, 0)</f>
        <v>4</v>
      </c>
    </row>
    <row r="642" spans="1:14">
      <c r="A642" s="1" t="s">
        <v>540</v>
      </c>
      <c r="B642" s="1">
        <v>391</v>
      </c>
      <c r="C642" s="1">
        <v>113</v>
      </c>
      <c r="D642" s="1">
        <v>8</v>
      </c>
      <c r="E642" s="1" t="s">
        <v>1076</v>
      </c>
      <c r="F642" s="1" t="s">
        <v>1102</v>
      </c>
      <c r="G642" s="7" t="str">
        <f>_xlfn.XLOOKUP(Order_Details[[#This Row],[Order ID]], List_of_orders[Order ID], List_of_orders[State])</f>
        <v>Andhra Pradesh</v>
      </c>
      <c r="H642" s="10">
        <f>_xlfn.XLOOKUP(Order_Details[[#This Row],[Order ID]], List_of_orders[Order ID], List_of_orders[Order Date (Clean)])</f>
        <v>43385</v>
      </c>
      <c r="I642" s="7" t="str">
        <f>_xlfn.XLOOKUP(Order_Details[[#This Row],[Order ID]], List_of_orders[Order ID], List_of_orders[CustomerName])</f>
        <v>Mane</v>
      </c>
      <c r="J642" s="7" t="str">
        <f>_xlfn.XLOOKUP(Order_Details[[#This Row],[Order ID]], List_of_orders[Order ID], List_of_orders[City])</f>
        <v>Hyderabad</v>
      </c>
      <c r="K642" s="8" t="str">
        <f>TEXT(Order_Details[[#This Row],[Order Date]], "YY-MMM")</f>
        <v>18-Oct</v>
      </c>
      <c r="L642" s="11">
        <f>Order_Details[[#This Row],[Profit]]/Order_Details[[#This Row],[Amount]]</f>
        <v>0.28900255754475701</v>
      </c>
      <c r="M642" s="8">
        <f>YEAR(Order_Details[[#This Row],[Order Date]])</f>
        <v>2018</v>
      </c>
      <c r="N642" s="8">
        <f>ROUNDUP(MONTH(Order_Details[[#This Row],[Order Date]])/3, 0)</f>
        <v>4</v>
      </c>
    </row>
    <row r="643" spans="1:14">
      <c r="A643" s="1" t="s">
        <v>542</v>
      </c>
      <c r="B643" s="1">
        <v>743</v>
      </c>
      <c r="C643" s="1">
        <v>89</v>
      </c>
      <c r="D643" s="1">
        <v>5</v>
      </c>
      <c r="E643" s="1" t="s">
        <v>1077</v>
      </c>
      <c r="F643" s="1" t="s">
        <v>1114</v>
      </c>
      <c r="G643" s="7" t="str">
        <f>_xlfn.XLOOKUP(Order_Details[[#This Row],[Order ID]], List_of_orders[Order ID], List_of_orders[State])</f>
        <v>Maharashtra</v>
      </c>
      <c r="H643" s="10">
        <f>_xlfn.XLOOKUP(Order_Details[[#This Row],[Order ID]], List_of_orders[Order ID], List_of_orders[Order Date (Clean)])</f>
        <v>43386</v>
      </c>
      <c r="I643" s="7" t="str">
        <f>_xlfn.XLOOKUP(Order_Details[[#This Row],[Order ID]], List_of_orders[Order ID], List_of_orders[CustomerName])</f>
        <v>Praneet</v>
      </c>
      <c r="J643" s="7" t="str">
        <f>_xlfn.XLOOKUP(Order_Details[[#This Row],[Order ID]], List_of_orders[Order ID], List_of_orders[City])</f>
        <v>Mumbai</v>
      </c>
      <c r="K643" s="8" t="str">
        <f>TEXT(Order_Details[[#This Row],[Order Date]], "YY-MMM")</f>
        <v>18-Oct</v>
      </c>
      <c r="L643" s="11">
        <f>Order_Details[[#This Row],[Profit]]/Order_Details[[#This Row],[Amount]]</f>
        <v>0.11978465679676985</v>
      </c>
      <c r="M643" s="8">
        <f>YEAR(Order_Details[[#This Row],[Order Date]])</f>
        <v>2018</v>
      </c>
      <c r="N643" s="8">
        <f>ROUNDUP(MONTH(Order_Details[[#This Row],[Order Date]])/3, 0)</f>
        <v>4</v>
      </c>
    </row>
    <row r="644" spans="1:14">
      <c r="A644" s="1" t="s">
        <v>545</v>
      </c>
      <c r="B644" s="1">
        <v>75</v>
      </c>
      <c r="C644" s="1">
        <v>28</v>
      </c>
      <c r="D644" s="1">
        <v>9</v>
      </c>
      <c r="E644" s="1" t="s">
        <v>1076</v>
      </c>
      <c r="F644" s="1" t="s">
        <v>1103</v>
      </c>
      <c r="G644" s="7" t="str">
        <f>_xlfn.XLOOKUP(Order_Details[[#This Row],[Order ID]], List_of_orders[Order ID], List_of_orders[State])</f>
        <v>Madhya Pradesh</v>
      </c>
      <c r="H644" s="10">
        <f>_xlfn.XLOOKUP(Order_Details[[#This Row],[Order ID]], List_of_orders[Order ID], List_of_orders[Order Date (Clean)])</f>
        <v>43387</v>
      </c>
      <c r="I644" s="7" t="str">
        <f>_xlfn.XLOOKUP(Order_Details[[#This Row],[Order ID]], List_of_orders[Order ID], List_of_orders[CustomerName])</f>
        <v>Sandeep</v>
      </c>
      <c r="J644" s="7" t="str">
        <f>_xlfn.XLOOKUP(Order_Details[[#This Row],[Order ID]], List_of_orders[Order ID], List_of_orders[City])</f>
        <v>Indore</v>
      </c>
      <c r="K644" s="8" t="str">
        <f>TEXT(Order_Details[[#This Row],[Order Date]], "YY-MMM")</f>
        <v>18-Oct</v>
      </c>
      <c r="L644" s="11">
        <f>Order_Details[[#This Row],[Profit]]/Order_Details[[#This Row],[Amount]]</f>
        <v>0.37333333333333335</v>
      </c>
      <c r="M644" s="8">
        <f>YEAR(Order_Details[[#This Row],[Order Date]])</f>
        <v>2018</v>
      </c>
      <c r="N644" s="8">
        <f>ROUNDUP(MONTH(Order_Details[[#This Row],[Order Date]])/3, 0)</f>
        <v>4</v>
      </c>
    </row>
    <row r="645" spans="1:14">
      <c r="A645" s="1" t="s">
        <v>545</v>
      </c>
      <c r="B645" s="1">
        <v>36</v>
      </c>
      <c r="C645" s="1">
        <v>0</v>
      </c>
      <c r="D645" s="1">
        <v>4</v>
      </c>
      <c r="E645" s="1" t="s">
        <v>1076</v>
      </c>
      <c r="F645" s="1" t="s">
        <v>1109</v>
      </c>
      <c r="G645" s="7" t="str">
        <f>_xlfn.XLOOKUP(Order_Details[[#This Row],[Order ID]], List_of_orders[Order ID], List_of_orders[State])</f>
        <v>Madhya Pradesh</v>
      </c>
      <c r="H645" s="10">
        <f>_xlfn.XLOOKUP(Order_Details[[#This Row],[Order ID]], List_of_orders[Order ID], List_of_orders[Order Date (Clean)])</f>
        <v>43387</v>
      </c>
      <c r="I645" s="7" t="str">
        <f>_xlfn.XLOOKUP(Order_Details[[#This Row],[Order ID]], List_of_orders[Order ID], List_of_orders[CustomerName])</f>
        <v>Sandeep</v>
      </c>
      <c r="J645" s="7" t="str">
        <f>_xlfn.XLOOKUP(Order_Details[[#This Row],[Order ID]], List_of_orders[Order ID], List_of_orders[City])</f>
        <v>Indore</v>
      </c>
      <c r="K645" s="8" t="str">
        <f>TEXT(Order_Details[[#This Row],[Order Date]], "YY-MMM")</f>
        <v>18-Oct</v>
      </c>
      <c r="L645" s="11">
        <f>Order_Details[[#This Row],[Profit]]/Order_Details[[#This Row],[Amount]]</f>
        <v>0</v>
      </c>
      <c r="M645" s="8">
        <f>YEAR(Order_Details[[#This Row],[Order Date]])</f>
        <v>2018</v>
      </c>
      <c r="N645" s="8">
        <f>ROUNDUP(MONTH(Order_Details[[#This Row],[Order Date]])/3, 0)</f>
        <v>4</v>
      </c>
    </row>
    <row r="646" spans="1:14">
      <c r="A646" s="1" t="s">
        <v>545</v>
      </c>
      <c r="B646" s="1">
        <v>32</v>
      </c>
      <c r="C646" s="1">
        <v>11</v>
      </c>
      <c r="D646" s="1">
        <v>2</v>
      </c>
      <c r="E646" s="1" t="s">
        <v>1076</v>
      </c>
      <c r="F646" s="1" t="s">
        <v>1112</v>
      </c>
      <c r="G646" s="7" t="str">
        <f>_xlfn.XLOOKUP(Order_Details[[#This Row],[Order ID]], List_of_orders[Order ID], List_of_orders[State])</f>
        <v>Madhya Pradesh</v>
      </c>
      <c r="H646" s="10">
        <f>_xlfn.XLOOKUP(Order_Details[[#This Row],[Order ID]], List_of_orders[Order ID], List_of_orders[Order Date (Clean)])</f>
        <v>43387</v>
      </c>
      <c r="I646" s="7" t="str">
        <f>_xlfn.XLOOKUP(Order_Details[[#This Row],[Order ID]], List_of_orders[Order ID], List_of_orders[CustomerName])</f>
        <v>Sandeep</v>
      </c>
      <c r="J646" s="7" t="str">
        <f>_xlfn.XLOOKUP(Order_Details[[#This Row],[Order ID]], List_of_orders[Order ID], List_of_orders[City])</f>
        <v>Indore</v>
      </c>
      <c r="K646" s="8" t="str">
        <f>TEXT(Order_Details[[#This Row],[Order Date]], "YY-MMM")</f>
        <v>18-Oct</v>
      </c>
      <c r="L646" s="11">
        <f>Order_Details[[#This Row],[Profit]]/Order_Details[[#This Row],[Amount]]</f>
        <v>0.34375</v>
      </c>
      <c r="M646" s="8">
        <f>YEAR(Order_Details[[#This Row],[Order Date]])</f>
        <v>2018</v>
      </c>
      <c r="N646" s="8">
        <f>ROUNDUP(MONTH(Order_Details[[#This Row],[Order Date]])/3, 0)</f>
        <v>4</v>
      </c>
    </row>
    <row r="647" spans="1:14">
      <c r="A647" s="1" t="s">
        <v>545</v>
      </c>
      <c r="B647" s="1">
        <v>94</v>
      </c>
      <c r="C647" s="1">
        <v>20</v>
      </c>
      <c r="D647" s="1">
        <v>2</v>
      </c>
      <c r="E647" s="1" t="s">
        <v>1075</v>
      </c>
      <c r="F647" s="1" t="s">
        <v>1116</v>
      </c>
      <c r="G647" s="7" t="str">
        <f>_xlfn.XLOOKUP(Order_Details[[#This Row],[Order ID]], List_of_orders[Order ID], List_of_orders[State])</f>
        <v>Madhya Pradesh</v>
      </c>
      <c r="H647" s="10">
        <f>_xlfn.XLOOKUP(Order_Details[[#This Row],[Order ID]], List_of_orders[Order ID], List_of_orders[Order Date (Clean)])</f>
        <v>43387</v>
      </c>
      <c r="I647" s="7" t="str">
        <f>_xlfn.XLOOKUP(Order_Details[[#This Row],[Order ID]], List_of_orders[Order ID], List_of_orders[CustomerName])</f>
        <v>Sandeep</v>
      </c>
      <c r="J647" s="7" t="str">
        <f>_xlfn.XLOOKUP(Order_Details[[#This Row],[Order ID]], List_of_orders[Order ID], List_of_orders[City])</f>
        <v>Indore</v>
      </c>
      <c r="K647" s="8" t="str">
        <f>TEXT(Order_Details[[#This Row],[Order Date]], "YY-MMM")</f>
        <v>18-Oct</v>
      </c>
      <c r="L647" s="11">
        <f>Order_Details[[#This Row],[Profit]]/Order_Details[[#This Row],[Amount]]</f>
        <v>0.21276595744680851</v>
      </c>
      <c r="M647" s="8">
        <f>YEAR(Order_Details[[#This Row],[Order Date]])</f>
        <v>2018</v>
      </c>
      <c r="N647" s="8">
        <f>ROUNDUP(MONTH(Order_Details[[#This Row],[Order Date]])/3, 0)</f>
        <v>4</v>
      </c>
    </row>
    <row r="648" spans="1:14">
      <c r="A648" s="1" t="s">
        <v>545</v>
      </c>
      <c r="B648" s="1">
        <v>28</v>
      </c>
      <c r="C648" s="1">
        <v>14</v>
      </c>
      <c r="D648" s="1">
        <v>4</v>
      </c>
      <c r="E648" s="1" t="s">
        <v>1076</v>
      </c>
      <c r="F648" s="1" t="s">
        <v>1103</v>
      </c>
      <c r="G648" s="7" t="str">
        <f>_xlfn.XLOOKUP(Order_Details[[#This Row],[Order ID]], List_of_orders[Order ID], List_of_orders[State])</f>
        <v>Madhya Pradesh</v>
      </c>
      <c r="H648" s="10">
        <f>_xlfn.XLOOKUP(Order_Details[[#This Row],[Order ID]], List_of_orders[Order ID], List_of_orders[Order Date (Clean)])</f>
        <v>43387</v>
      </c>
      <c r="I648" s="7" t="str">
        <f>_xlfn.XLOOKUP(Order_Details[[#This Row],[Order ID]], List_of_orders[Order ID], List_of_orders[CustomerName])</f>
        <v>Sandeep</v>
      </c>
      <c r="J648" s="7" t="str">
        <f>_xlfn.XLOOKUP(Order_Details[[#This Row],[Order ID]], List_of_orders[Order ID], List_of_orders[City])</f>
        <v>Indore</v>
      </c>
      <c r="K648" s="8" t="str">
        <f>TEXT(Order_Details[[#This Row],[Order Date]], "YY-MMM")</f>
        <v>18-Oct</v>
      </c>
      <c r="L648" s="11">
        <f>Order_Details[[#This Row],[Profit]]/Order_Details[[#This Row],[Amount]]</f>
        <v>0.5</v>
      </c>
      <c r="M648" s="8">
        <f>YEAR(Order_Details[[#This Row],[Order Date]])</f>
        <v>2018</v>
      </c>
      <c r="N648" s="8">
        <f>ROUNDUP(MONTH(Order_Details[[#This Row],[Order Date]])/3, 0)</f>
        <v>4</v>
      </c>
    </row>
    <row r="649" spans="1:14">
      <c r="A649" s="1" t="s">
        <v>548</v>
      </c>
      <c r="B649" s="1">
        <v>417</v>
      </c>
      <c r="C649" s="1">
        <v>49</v>
      </c>
      <c r="D649" s="1">
        <v>3</v>
      </c>
      <c r="E649" s="1" t="s">
        <v>1077</v>
      </c>
      <c r="F649" s="1" t="s">
        <v>1104</v>
      </c>
      <c r="G649" s="7" t="str">
        <f>_xlfn.XLOOKUP(Order_Details[[#This Row],[Order ID]], List_of_orders[Order ID], List_of_orders[State])</f>
        <v>Madhya Pradesh</v>
      </c>
      <c r="H649" s="10">
        <f>_xlfn.XLOOKUP(Order_Details[[#This Row],[Order ID]], List_of_orders[Order ID], List_of_orders[Order Date (Clean)])</f>
        <v>43388</v>
      </c>
      <c r="I649" s="7" t="str">
        <f>_xlfn.XLOOKUP(Order_Details[[#This Row],[Order ID]], List_of_orders[Order ID], List_of_orders[CustomerName])</f>
        <v>Ankur</v>
      </c>
      <c r="J649" s="7" t="str">
        <f>_xlfn.XLOOKUP(Order_Details[[#This Row],[Order ID]], List_of_orders[Order ID], List_of_orders[City])</f>
        <v>Bhopal</v>
      </c>
      <c r="K649" s="8" t="str">
        <f>TEXT(Order_Details[[#This Row],[Order Date]], "YY-MMM")</f>
        <v>18-Oct</v>
      </c>
      <c r="L649" s="11">
        <f>Order_Details[[#This Row],[Profit]]/Order_Details[[#This Row],[Amount]]</f>
        <v>0.11750599520383694</v>
      </c>
      <c r="M649" s="8">
        <f>YEAR(Order_Details[[#This Row],[Order Date]])</f>
        <v>2018</v>
      </c>
      <c r="N649" s="8">
        <f>ROUNDUP(MONTH(Order_Details[[#This Row],[Order Date]])/3, 0)</f>
        <v>4</v>
      </c>
    </row>
    <row r="650" spans="1:14">
      <c r="A650" s="1" t="s">
        <v>551</v>
      </c>
      <c r="B650" s="1">
        <v>119</v>
      </c>
      <c r="C650" s="1">
        <v>1</v>
      </c>
      <c r="D650" s="1">
        <v>1</v>
      </c>
      <c r="E650" s="1" t="s">
        <v>1075</v>
      </c>
      <c r="F650" s="1" t="s">
        <v>1108</v>
      </c>
      <c r="G650" s="7" t="str">
        <f>_xlfn.XLOOKUP(Order_Details[[#This Row],[Order ID]], List_of_orders[Order ID], List_of_orders[State])</f>
        <v>Rajasthan</v>
      </c>
      <c r="H650" s="10">
        <f>_xlfn.XLOOKUP(Order_Details[[#This Row],[Order ID]], List_of_orders[Order ID], List_of_orders[Order Date (Clean)])</f>
        <v>43389</v>
      </c>
      <c r="I650" s="7" t="str">
        <f>_xlfn.XLOOKUP(Order_Details[[#This Row],[Order ID]], List_of_orders[Order ID], List_of_orders[CustomerName])</f>
        <v>Dheeraj</v>
      </c>
      <c r="J650" s="7" t="str">
        <f>_xlfn.XLOOKUP(Order_Details[[#This Row],[Order ID]], List_of_orders[Order ID], List_of_orders[City])</f>
        <v>Jaipur</v>
      </c>
      <c r="K650" s="8" t="str">
        <f>TEXT(Order_Details[[#This Row],[Order Date]], "YY-MMM")</f>
        <v>18-Oct</v>
      </c>
      <c r="L650" s="11">
        <f>Order_Details[[#This Row],[Profit]]/Order_Details[[#This Row],[Amount]]</f>
        <v>8.4033613445378148E-3</v>
      </c>
      <c r="M650" s="8">
        <f>YEAR(Order_Details[[#This Row],[Order Date]])</f>
        <v>2018</v>
      </c>
      <c r="N650" s="8">
        <f>ROUNDUP(MONTH(Order_Details[[#This Row],[Order Date]])/3, 0)</f>
        <v>4</v>
      </c>
    </row>
    <row r="651" spans="1:14">
      <c r="A651" s="1" t="s">
        <v>554</v>
      </c>
      <c r="B651" s="1">
        <v>60</v>
      </c>
      <c r="C651" s="1">
        <v>21</v>
      </c>
      <c r="D651" s="1">
        <v>4</v>
      </c>
      <c r="E651" s="1" t="s">
        <v>1076</v>
      </c>
      <c r="F651" s="1" t="s">
        <v>1102</v>
      </c>
      <c r="G651" s="7" t="str">
        <f>_xlfn.XLOOKUP(Order_Details[[#This Row],[Order ID]], List_of_orders[Order ID], List_of_orders[State])</f>
        <v>West Bengal</v>
      </c>
      <c r="H651" s="10">
        <f>_xlfn.XLOOKUP(Order_Details[[#This Row],[Order ID]], List_of_orders[Order ID], List_of_orders[Order Date (Clean)])</f>
        <v>43389</v>
      </c>
      <c r="I651" s="7" t="str">
        <f>_xlfn.XLOOKUP(Order_Details[[#This Row],[Order ID]], List_of_orders[Order ID], List_of_orders[CustomerName])</f>
        <v>Ajay</v>
      </c>
      <c r="J651" s="7" t="str">
        <f>_xlfn.XLOOKUP(Order_Details[[#This Row],[Order ID]], List_of_orders[Order ID], List_of_orders[City])</f>
        <v>Kolkata</v>
      </c>
      <c r="K651" s="8" t="str">
        <f>TEXT(Order_Details[[#This Row],[Order Date]], "YY-MMM")</f>
        <v>18-Oct</v>
      </c>
      <c r="L651" s="11">
        <f>Order_Details[[#This Row],[Profit]]/Order_Details[[#This Row],[Amount]]</f>
        <v>0.35</v>
      </c>
      <c r="M651" s="8">
        <f>YEAR(Order_Details[[#This Row],[Order Date]])</f>
        <v>2018</v>
      </c>
      <c r="N651" s="8">
        <f>ROUNDUP(MONTH(Order_Details[[#This Row],[Order Date]])/3, 0)</f>
        <v>4</v>
      </c>
    </row>
    <row r="652" spans="1:14">
      <c r="A652" s="1" t="s">
        <v>554</v>
      </c>
      <c r="B652" s="1">
        <v>17</v>
      </c>
      <c r="C652" s="1">
        <v>0</v>
      </c>
      <c r="D652" s="1">
        <v>1</v>
      </c>
      <c r="E652" s="1" t="s">
        <v>1076</v>
      </c>
      <c r="F652" s="1" t="s">
        <v>1103</v>
      </c>
      <c r="G652" s="7" t="str">
        <f>_xlfn.XLOOKUP(Order_Details[[#This Row],[Order ID]], List_of_orders[Order ID], List_of_orders[State])</f>
        <v>West Bengal</v>
      </c>
      <c r="H652" s="10">
        <f>_xlfn.XLOOKUP(Order_Details[[#This Row],[Order ID]], List_of_orders[Order ID], List_of_orders[Order Date (Clean)])</f>
        <v>43389</v>
      </c>
      <c r="I652" s="7" t="str">
        <f>_xlfn.XLOOKUP(Order_Details[[#This Row],[Order ID]], List_of_orders[Order ID], List_of_orders[CustomerName])</f>
        <v>Ajay</v>
      </c>
      <c r="J652" s="7" t="str">
        <f>_xlfn.XLOOKUP(Order_Details[[#This Row],[Order ID]], List_of_orders[Order ID], List_of_orders[City])</f>
        <v>Kolkata</v>
      </c>
      <c r="K652" s="8" t="str">
        <f>TEXT(Order_Details[[#This Row],[Order Date]], "YY-MMM")</f>
        <v>18-Oct</v>
      </c>
      <c r="L652" s="11">
        <f>Order_Details[[#This Row],[Profit]]/Order_Details[[#This Row],[Amount]]</f>
        <v>0</v>
      </c>
      <c r="M652" s="8">
        <f>YEAR(Order_Details[[#This Row],[Order Date]])</f>
        <v>2018</v>
      </c>
      <c r="N652" s="8">
        <f>ROUNDUP(MONTH(Order_Details[[#This Row],[Order Date]])/3, 0)</f>
        <v>4</v>
      </c>
    </row>
    <row r="653" spans="1:14">
      <c r="A653" s="1" t="s">
        <v>554</v>
      </c>
      <c r="B653" s="1">
        <v>125</v>
      </c>
      <c r="C653" s="1">
        <v>0</v>
      </c>
      <c r="D653" s="1">
        <v>3</v>
      </c>
      <c r="E653" s="1" t="s">
        <v>1077</v>
      </c>
      <c r="F653" s="1" t="s">
        <v>1115</v>
      </c>
      <c r="G653" s="7" t="str">
        <f>_xlfn.XLOOKUP(Order_Details[[#This Row],[Order ID]], List_of_orders[Order ID], List_of_orders[State])</f>
        <v>West Bengal</v>
      </c>
      <c r="H653" s="10">
        <f>_xlfn.XLOOKUP(Order_Details[[#This Row],[Order ID]], List_of_orders[Order ID], List_of_orders[Order Date (Clean)])</f>
        <v>43389</v>
      </c>
      <c r="I653" s="7" t="str">
        <f>_xlfn.XLOOKUP(Order_Details[[#This Row],[Order ID]], List_of_orders[Order ID], List_of_orders[CustomerName])</f>
        <v>Ajay</v>
      </c>
      <c r="J653" s="7" t="str">
        <f>_xlfn.XLOOKUP(Order_Details[[#This Row],[Order ID]], List_of_orders[Order ID], List_of_orders[City])</f>
        <v>Kolkata</v>
      </c>
      <c r="K653" s="8" t="str">
        <f>TEXT(Order_Details[[#This Row],[Order Date]], "YY-MMM")</f>
        <v>18-Oct</v>
      </c>
      <c r="L653" s="11">
        <f>Order_Details[[#This Row],[Profit]]/Order_Details[[#This Row],[Amount]]</f>
        <v>0</v>
      </c>
      <c r="M653" s="8">
        <f>YEAR(Order_Details[[#This Row],[Order Date]])</f>
        <v>2018</v>
      </c>
      <c r="N653" s="8">
        <f>ROUNDUP(MONTH(Order_Details[[#This Row],[Order Date]])/3, 0)</f>
        <v>4</v>
      </c>
    </row>
    <row r="654" spans="1:14">
      <c r="A654" s="1" t="s">
        <v>555</v>
      </c>
      <c r="B654" s="1">
        <v>34</v>
      </c>
      <c r="C654" s="1">
        <v>13</v>
      </c>
      <c r="D654" s="1">
        <v>2</v>
      </c>
      <c r="E654" s="1" t="s">
        <v>1076</v>
      </c>
      <c r="F654" s="1" t="s">
        <v>1106</v>
      </c>
      <c r="G654" s="7" t="str">
        <f>_xlfn.XLOOKUP(Order_Details[[#This Row],[Order ID]], List_of_orders[Order ID], List_of_orders[State])</f>
        <v>Karnataka</v>
      </c>
      <c r="H654" s="10">
        <f>_xlfn.XLOOKUP(Order_Details[[#This Row],[Order ID]], List_of_orders[Order ID], List_of_orders[Order Date (Clean)])</f>
        <v>43391</v>
      </c>
      <c r="I654" s="7" t="str">
        <f>_xlfn.XLOOKUP(Order_Details[[#This Row],[Order ID]], List_of_orders[Order ID], List_of_orders[CustomerName])</f>
        <v>Tejas</v>
      </c>
      <c r="J654" s="7" t="str">
        <f>_xlfn.XLOOKUP(Order_Details[[#This Row],[Order ID]], List_of_orders[Order ID], List_of_orders[City])</f>
        <v>Bangalore</v>
      </c>
      <c r="K654" s="8" t="str">
        <f>TEXT(Order_Details[[#This Row],[Order Date]], "YY-MMM")</f>
        <v>18-Oct</v>
      </c>
      <c r="L654" s="11">
        <f>Order_Details[[#This Row],[Profit]]/Order_Details[[#This Row],[Amount]]</f>
        <v>0.38235294117647056</v>
      </c>
      <c r="M654" s="8">
        <f>YEAR(Order_Details[[#This Row],[Order Date]])</f>
        <v>2018</v>
      </c>
      <c r="N654" s="8">
        <f>ROUNDUP(MONTH(Order_Details[[#This Row],[Order Date]])/3, 0)</f>
        <v>4</v>
      </c>
    </row>
    <row r="655" spans="1:14">
      <c r="A655" s="1" t="s">
        <v>558</v>
      </c>
      <c r="B655" s="1">
        <v>2103</v>
      </c>
      <c r="C655" s="1">
        <v>322</v>
      </c>
      <c r="D655" s="1">
        <v>8</v>
      </c>
      <c r="E655" s="1" t="s">
        <v>1077</v>
      </c>
      <c r="F655" s="1" t="s">
        <v>1104</v>
      </c>
      <c r="G655" s="7" t="str">
        <f>_xlfn.XLOOKUP(Order_Details[[#This Row],[Order ID]], List_of_orders[Order ID], List_of_orders[State])</f>
        <v>Maharashtra</v>
      </c>
      <c r="H655" s="10">
        <f>_xlfn.XLOOKUP(Order_Details[[#This Row],[Order ID]], List_of_orders[Order ID], List_of_orders[Order Date (Clean)])</f>
        <v>43391</v>
      </c>
      <c r="I655" s="7" t="str">
        <f>_xlfn.XLOOKUP(Order_Details[[#This Row],[Order ID]], List_of_orders[Order ID], List_of_orders[CustomerName])</f>
        <v>Rohan</v>
      </c>
      <c r="J655" s="7" t="str">
        <f>_xlfn.XLOOKUP(Order_Details[[#This Row],[Order ID]], List_of_orders[Order ID], List_of_orders[City])</f>
        <v>Mumbai</v>
      </c>
      <c r="K655" s="8" t="str">
        <f>TEXT(Order_Details[[#This Row],[Order Date]], "YY-MMM")</f>
        <v>18-Oct</v>
      </c>
      <c r="L655" s="11">
        <f>Order_Details[[#This Row],[Profit]]/Order_Details[[#This Row],[Amount]]</f>
        <v>0.15311459819305753</v>
      </c>
      <c r="M655" s="8">
        <f>YEAR(Order_Details[[#This Row],[Order Date]])</f>
        <v>2018</v>
      </c>
      <c r="N655" s="8">
        <f>ROUNDUP(MONTH(Order_Details[[#This Row],[Order Date]])/3, 0)</f>
        <v>4</v>
      </c>
    </row>
    <row r="656" spans="1:14">
      <c r="A656" s="1" t="s">
        <v>558</v>
      </c>
      <c r="B656" s="1">
        <v>104</v>
      </c>
      <c r="C656" s="1">
        <v>2</v>
      </c>
      <c r="D656" s="1">
        <v>2</v>
      </c>
      <c r="E656" s="1" t="s">
        <v>1075</v>
      </c>
      <c r="F656" s="1" t="s">
        <v>1116</v>
      </c>
      <c r="G656" s="7" t="str">
        <f>_xlfn.XLOOKUP(Order_Details[[#This Row],[Order ID]], List_of_orders[Order ID], List_of_orders[State])</f>
        <v>Maharashtra</v>
      </c>
      <c r="H656" s="10">
        <f>_xlfn.XLOOKUP(Order_Details[[#This Row],[Order ID]], List_of_orders[Order ID], List_of_orders[Order Date (Clean)])</f>
        <v>43391</v>
      </c>
      <c r="I656" s="7" t="str">
        <f>_xlfn.XLOOKUP(Order_Details[[#This Row],[Order ID]], List_of_orders[Order ID], List_of_orders[CustomerName])</f>
        <v>Rohan</v>
      </c>
      <c r="J656" s="7" t="str">
        <f>_xlfn.XLOOKUP(Order_Details[[#This Row],[Order ID]], List_of_orders[Order ID], List_of_orders[City])</f>
        <v>Mumbai</v>
      </c>
      <c r="K656" s="8" t="str">
        <f>TEXT(Order_Details[[#This Row],[Order Date]], "YY-MMM")</f>
        <v>18-Oct</v>
      </c>
      <c r="L656" s="11">
        <f>Order_Details[[#This Row],[Profit]]/Order_Details[[#This Row],[Amount]]</f>
        <v>1.9230769230769232E-2</v>
      </c>
      <c r="M656" s="8">
        <f>YEAR(Order_Details[[#This Row],[Order Date]])</f>
        <v>2018</v>
      </c>
      <c r="N656" s="8">
        <f>ROUNDUP(MONTH(Order_Details[[#This Row],[Order Date]])/3, 0)</f>
        <v>4</v>
      </c>
    </row>
    <row r="657" spans="1:14">
      <c r="A657" s="1" t="s">
        <v>558</v>
      </c>
      <c r="B657" s="1">
        <v>59</v>
      </c>
      <c r="C657" s="1">
        <v>6</v>
      </c>
      <c r="D657" s="1">
        <v>1</v>
      </c>
      <c r="E657" s="1" t="s">
        <v>1077</v>
      </c>
      <c r="F657" s="1" t="s">
        <v>1115</v>
      </c>
      <c r="G657" s="7" t="str">
        <f>_xlfn.XLOOKUP(Order_Details[[#This Row],[Order ID]], List_of_orders[Order ID], List_of_orders[State])</f>
        <v>Maharashtra</v>
      </c>
      <c r="H657" s="10">
        <f>_xlfn.XLOOKUP(Order_Details[[#This Row],[Order ID]], List_of_orders[Order ID], List_of_orders[Order Date (Clean)])</f>
        <v>43391</v>
      </c>
      <c r="I657" s="7" t="str">
        <f>_xlfn.XLOOKUP(Order_Details[[#This Row],[Order ID]], List_of_orders[Order ID], List_of_orders[CustomerName])</f>
        <v>Rohan</v>
      </c>
      <c r="J657" s="7" t="str">
        <f>_xlfn.XLOOKUP(Order_Details[[#This Row],[Order ID]], List_of_orders[Order ID], List_of_orders[City])</f>
        <v>Mumbai</v>
      </c>
      <c r="K657" s="8" t="str">
        <f>TEXT(Order_Details[[#This Row],[Order Date]], "YY-MMM")</f>
        <v>18-Oct</v>
      </c>
      <c r="L657" s="11">
        <f>Order_Details[[#This Row],[Profit]]/Order_Details[[#This Row],[Amount]]</f>
        <v>0.10169491525423729</v>
      </c>
      <c r="M657" s="8">
        <f>YEAR(Order_Details[[#This Row],[Order Date]])</f>
        <v>2018</v>
      </c>
      <c r="N657" s="8">
        <f>ROUNDUP(MONTH(Order_Details[[#This Row],[Order Date]])/3, 0)</f>
        <v>4</v>
      </c>
    </row>
    <row r="658" spans="1:14">
      <c r="A658" s="1" t="s">
        <v>558</v>
      </c>
      <c r="B658" s="1">
        <v>103</v>
      </c>
      <c r="C658" s="1">
        <v>50</v>
      </c>
      <c r="D658" s="1">
        <v>2</v>
      </c>
      <c r="E658" s="1" t="s">
        <v>1075</v>
      </c>
      <c r="F658" s="1" t="s">
        <v>1116</v>
      </c>
      <c r="G658" s="7" t="str">
        <f>_xlfn.XLOOKUP(Order_Details[[#This Row],[Order ID]], List_of_orders[Order ID], List_of_orders[State])</f>
        <v>Maharashtra</v>
      </c>
      <c r="H658" s="10">
        <f>_xlfn.XLOOKUP(Order_Details[[#This Row],[Order ID]], List_of_orders[Order ID], List_of_orders[Order Date (Clean)])</f>
        <v>43391</v>
      </c>
      <c r="I658" s="7" t="str">
        <f>_xlfn.XLOOKUP(Order_Details[[#This Row],[Order ID]], List_of_orders[Order ID], List_of_orders[CustomerName])</f>
        <v>Rohan</v>
      </c>
      <c r="J658" s="7" t="str">
        <f>_xlfn.XLOOKUP(Order_Details[[#This Row],[Order ID]], List_of_orders[Order ID], List_of_orders[City])</f>
        <v>Mumbai</v>
      </c>
      <c r="K658" s="8" t="str">
        <f>TEXT(Order_Details[[#This Row],[Order Date]], "YY-MMM")</f>
        <v>18-Oct</v>
      </c>
      <c r="L658" s="11">
        <f>Order_Details[[#This Row],[Profit]]/Order_Details[[#This Row],[Amount]]</f>
        <v>0.4854368932038835</v>
      </c>
      <c r="M658" s="8">
        <f>YEAR(Order_Details[[#This Row],[Order Date]])</f>
        <v>2018</v>
      </c>
      <c r="N658" s="8">
        <f>ROUNDUP(MONTH(Order_Details[[#This Row],[Order Date]])/3, 0)</f>
        <v>4</v>
      </c>
    </row>
    <row r="659" spans="1:14">
      <c r="A659" s="1" t="s">
        <v>560</v>
      </c>
      <c r="B659" s="1">
        <v>101</v>
      </c>
      <c r="C659" s="1">
        <v>38</v>
      </c>
      <c r="D659" s="1">
        <v>2</v>
      </c>
      <c r="E659" s="1" t="s">
        <v>1075</v>
      </c>
      <c r="F659" s="1" t="s">
        <v>1116</v>
      </c>
      <c r="G659" s="7" t="str">
        <f>_xlfn.XLOOKUP(Order_Details[[#This Row],[Order ID]], List_of_orders[Order ID], List_of_orders[State])</f>
        <v>Madhya Pradesh</v>
      </c>
      <c r="H659" s="10">
        <f>_xlfn.XLOOKUP(Order_Details[[#This Row],[Order ID]], List_of_orders[Order ID], List_of_orders[Order Date (Clean)])</f>
        <v>43393</v>
      </c>
      <c r="I659" s="7" t="str">
        <f>_xlfn.XLOOKUP(Order_Details[[#This Row],[Order ID]], List_of_orders[Order ID], List_of_orders[CustomerName])</f>
        <v>Shyam</v>
      </c>
      <c r="J659" s="7" t="str">
        <f>_xlfn.XLOOKUP(Order_Details[[#This Row],[Order ID]], List_of_orders[Order ID], List_of_orders[City])</f>
        <v>Indore</v>
      </c>
      <c r="K659" s="8" t="str">
        <f>TEXT(Order_Details[[#This Row],[Order Date]], "YY-MMM")</f>
        <v>18-Oct</v>
      </c>
      <c r="L659" s="11">
        <f>Order_Details[[#This Row],[Profit]]/Order_Details[[#This Row],[Amount]]</f>
        <v>0.37623762376237624</v>
      </c>
      <c r="M659" s="8">
        <f>YEAR(Order_Details[[#This Row],[Order Date]])</f>
        <v>2018</v>
      </c>
      <c r="N659" s="8">
        <f>ROUNDUP(MONTH(Order_Details[[#This Row],[Order Date]])/3, 0)</f>
        <v>4</v>
      </c>
    </row>
    <row r="660" spans="1:14">
      <c r="A660" s="1" t="s">
        <v>563</v>
      </c>
      <c r="B660" s="1">
        <v>911</v>
      </c>
      <c r="C660" s="1">
        <v>355</v>
      </c>
      <c r="D660" s="1">
        <v>5</v>
      </c>
      <c r="E660" s="1" t="s">
        <v>1077</v>
      </c>
      <c r="F660" s="1" t="s">
        <v>1105</v>
      </c>
      <c r="G660" s="7" t="str">
        <f>_xlfn.XLOOKUP(Order_Details[[#This Row],[Order ID]], List_of_orders[Order ID], List_of_orders[State])</f>
        <v>Madhya Pradesh</v>
      </c>
      <c r="H660" s="10">
        <f>_xlfn.XLOOKUP(Order_Details[[#This Row],[Order ID]], List_of_orders[Order ID], List_of_orders[Order Date (Clean)])</f>
        <v>43394</v>
      </c>
      <c r="I660" s="7" t="str">
        <f>_xlfn.XLOOKUP(Order_Details[[#This Row],[Order ID]], List_of_orders[Order ID], List_of_orders[CustomerName])</f>
        <v>Kartik</v>
      </c>
      <c r="J660" s="7" t="str">
        <f>_xlfn.XLOOKUP(Order_Details[[#This Row],[Order ID]], List_of_orders[Order ID], List_of_orders[City])</f>
        <v>Indore</v>
      </c>
      <c r="K660" s="8" t="str">
        <f>TEXT(Order_Details[[#This Row],[Order Date]], "YY-MMM")</f>
        <v>18-Oct</v>
      </c>
      <c r="L660" s="11">
        <f>Order_Details[[#This Row],[Profit]]/Order_Details[[#This Row],[Amount]]</f>
        <v>0.3896816684961581</v>
      </c>
      <c r="M660" s="8">
        <f>YEAR(Order_Details[[#This Row],[Order Date]])</f>
        <v>2018</v>
      </c>
      <c r="N660" s="8">
        <f>ROUNDUP(MONTH(Order_Details[[#This Row],[Order Date]])/3, 0)</f>
        <v>4</v>
      </c>
    </row>
    <row r="661" spans="1:14">
      <c r="A661" s="1" t="s">
        <v>563</v>
      </c>
      <c r="B661" s="1">
        <v>115</v>
      </c>
      <c r="C661" s="1">
        <v>25</v>
      </c>
      <c r="D661" s="1">
        <v>6</v>
      </c>
      <c r="E661" s="1" t="s">
        <v>1076</v>
      </c>
      <c r="F661" s="1" t="s">
        <v>1102</v>
      </c>
      <c r="G661" s="7" t="str">
        <f>_xlfn.XLOOKUP(Order_Details[[#This Row],[Order ID]], List_of_orders[Order ID], List_of_orders[State])</f>
        <v>Madhya Pradesh</v>
      </c>
      <c r="H661" s="10">
        <f>_xlfn.XLOOKUP(Order_Details[[#This Row],[Order ID]], List_of_orders[Order ID], List_of_orders[Order Date (Clean)])</f>
        <v>43394</v>
      </c>
      <c r="I661" s="7" t="str">
        <f>_xlfn.XLOOKUP(Order_Details[[#This Row],[Order ID]], List_of_orders[Order ID], List_of_orders[CustomerName])</f>
        <v>Kartik</v>
      </c>
      <c r="J661" s="7" t="str">
        <f>_xlfn.XLOOKUP(Order_Details[[#This Row],[Order ID]], List_of_orders[Order ID], List_of_orders[City])</f>
        <v>Indore</v>
      </c>
      <c r="K661" s="8" t="str">
        <f>TEXT(Order_Details[[#This Row],[Order Date]], "YY-MMM")</f>
        <v>18-Oct</v>
      </c>
      <c r="L661" s="11">
        <f>Order_Details[[#This Row],[Profit]]/Order_Details[[#This Row],[Amount]]</f>
        <v>0.21739130434782608</v>
      </c>
      <c r="M661" s="8">
        <f>YEAR(Order_Details[[#This Row],[Order Date]])</f>
        <v>2018</v>
      </c>
      <c r="N661" s="8">
        <f>ROUNDUP(MONTH(Order_Details[[#This Row],[Order Date]])/3, 0)</f>
        <v>4</v>
      </c>
    </row>
    <row r="662" spans="1:14">
      <c r="A662" s="1" t="s">
        <v>563</v>
      </c>
      <c r="B662" s="1">
        <v>140</v>
      </c>
      <c r="C662" s="1">
        <v>6</v>
      </c>
      <c r="D662" s="1">
        <v>5</v>
      </c>
      <c r="E662" s="1" t="s">
        <v>1076</v>
      </c>
      <c r="F662" s="1" t="s">
        <v>1106</v>
      </c>
      <c r="G662" s="7" t="str">
        <f>_xlfn.XLOOKUP(Order_Details[[#This Row],[Order ID]], List_of_orders[Order ID], List_of_orders[State])</f>
        <v>Madhya Pradesh</v>
      </c>
      <c r="H662" s="10">
        <f>_xlfn.XLOOKUP(Order_Details[[#This Row],[Order ID]], List_of_orders[Order ID], List_of_orders[Order Date (Clean)])</f>
        <v>43394</v>
      </c>
      <c r="I662" s="7" t="str">
        <f>_xlfn.XLOOKUP(Order_Details[[#This Row],[Order ID]], List_of_orders[Order ID], List_of_orders[CustomerName])</f>
        <v>Kartik</v>
      </c>
      <c r="J662" s="7" t="str">
        <f>_xlfn.XLOOKUP(Order_Details[[#This Row],[Order ID]], List_of_orders[Order ID], List_of_orders[City])</f>
        <v>Indore</v>
      </c>
      <c r="K662" s="8" t="str">
        <f>TEXT(Order_Details[[#This Row],[Order Date]], "YY-MMM")</f>
        <v>18-Oct</v>
      </c>
      <c r="L662" s="11">
        <f>Order_Details[[#This Row],[Profit]]/Order_Details[[#This Row],[Amount]]</f>
        <v>4.2857142857142858E-2</v>
      </c>
      <c r="M662" s="8">
        <f>YEAR(Order_Details[[#This Row],[Order Date]])</f>
        <v>2018</v>
      </c>
      <c r="N662" s="8">
        <f>ROUNDUP(MONTH(Order_Details[[#This Row],[Order Date]])/3, 0)</f>
        <v>4</v>
      </c>
    </row>
    <row r="663" spans="1:14">
      <c r="A663" s="1" t="s">
        <v>565</v>
      </c>
      <c r="B663" s="1">
        <v>637</v>
      </c>
      <c r="C663" s="1">
        <v>261</v>
      </c>
      <c r="D663" s="1">
        <v>2</v>
      </c>
      <c r="E663" s="1" t="s">
        <v>1077</v>
      </c>
      <c r="F663" s="1" t="s">
        <v>1114</v>
      </c>
      <c r="G663" s="7" t="str">
        <f>_xlfn.XLOOKUP(Order_Details[[#This Row],[Order ID]], List_of_orders[Order ID], List_of_orders[State])</f>
        <v>Maharashtra</v>
      </c>
      <c r="H663" s="10">
        <f>_xlfn.XLOOKUP(Order_Details[[#This Row],[Order ID]], List_of_orders[Order ID], List_of_orders[Order Date (Clean)])</f>
        <v>43395</v>
      </c>
      <c r="I663" s="7" t="str">
        <f>_xlfn.XLOOKUP(Order_Details[[#This Row],[Order ID]], List_of_orders[Order ID], List_of_orders[CustomerName])</f>
        <v>Tanushree</v>
      </c>
      <c r="J663" s="7" t="str">
        <f>_xlfn.XLOOKUP(Order_Details[[#This Row],[Order ID]], List_of_orders[Order ID], List_of_orders[City])</f>
        <v>Mumbai</v>
      </c>
      <c r="K663" s="8" t="str">
        <f>TEXT(Order_Details[[#This Row],[Order Date]], "YY-MMM")</f>
        <v>18-Oct</v>
      </c>
      <c r="L663" s="11">
        <f>Order_Details[[#This Row],[Profit]]/Order_Details[[#This Row],[Amount]]</f>
        <v>0.40973312401883832</v>
      </c>
      <c r="M663" s="8">
        <f>YEAR(Order_Details[[#This Row],[Order Date]])</f>
        <v>2018</v>
      </c>
      <c r="N663" s="8">
        <f>ROUNDUP(MONTH(Order_Details[[#This Row],[Order Date]])/3, 0)</f>
        <v>4</v>
      </c>
    </row>
    <row r="664" spans="1:14">
      <c r="A664" s="1" t="s">
        <v>568</v>
      </c>
      <c r="B664" s="1">
        <v>156</v>
      </c>
      <c r="C664" s="1">
        <v>21</v>
      </c>
      <c r="D664" s="1">
        <v>3</v>
      </c>
      <c r="E664" s="1" t="s">
        <v>1075</v>
      </c>
      <c r="F664" s="1" t="s">
        <v>1108</v>
      </c>
      <c r="G664" s="7" t="str">
        <f>_xlfn.XLOOKUP(Order_Details[[#This Row],[Order ID]], List_of_orders[Order ID], List_of_orders[State])</f>
        <v>Madhya Pradesh</v>
      </c>
      <c r="H664" s="10">
        <f>_xlfn.XLOOKUP(Order_Details[[#This Row],[Order ID]], List_of_orders[Order ID], List_of_orders[Order Date (Clean)])</f>
        <v>43396</v>
      </c>
      <c r="I664" s="7" t="str">
        <f>_xlfn.XLOOKUP(Order_Details[[#This Row],[Order ID]], List_of_orders[Order ID], List_of_orders[CustomerName])</f>
        <v>Sheetal</v>
      </c>
      <c r="J664" s="7" t="str">
        <f>_xlfn.XLOOKUP(Order_Details[[#This Row],[Order ID]], List_of_orders[Order ID], List_of_orders[City])</f>
        <v>Indore</v>
      </c>
      <c r="K664" s="8" t="str">
        <f>TEXT(Order_Details[[#This Row],[Order Date]], "YY-MMM")</f>
        <v>18-Oct</v>
      </c>
      <c r="L664" s="11">
        <f>Order_Details[[#This Row],[Profit]]/Order_Details[[#This Row],[Amount]]</f>
        <v>0.13461538461538461</v>
      </c>
      <c r="M664" s="8">
        <f>YEAR(Order_Details[[#This Row],[Order Date]])</f>
        <v>2018</v>
      </c>
      <c r="N664" s="8">
        <f>ROUNDUP(MONTH(Order_Details[[#This Row],[Order Date]])/3, 0)</f>
        <v>4</v>
      </c>
    </row>
    <row r="665" spans="1:14">
      <c r="A665" s="1" t="s">
        <v>570</v>
      </c>
      <c r="B665" s="1">
        <v>537</v>
      </c>
      <c r="C665" s="1">
        <v>107</v>
      </c>
      <c r="D665" s="1">
        <v>3</v>
      </c>
      <c r="E665" s="1" t="s">
        <v>1076</v>
      </c>
      <c r="F665" s="1" t="s">
        <v>1106</v>
      </c>
      <c r="G665" s="7" t="str">
        <f>_xlfn.XLOOKUP(Order_Details[[#This Row],[Order ID]], List_of_orders[Order ID], List_of_orders[State])</f>
        <v>Punjab</v>
      </c>
      <c r="H665" s="10">
        <f>_xlfn.XLOOKUP(Order_Details[[#This Row],[Order ID]], List_of_orders[Order ID], List_of_orders[Order Date (Clean)])</f>
        <v>43397</v>
      </c>
      <c r="I665" s="7" t="str">
        <f>_xlfn.XLOOKUP(Order_Details[[#This Row],[Order ID]], List_of_orders[Order ID], List_of_orders[CustomerName])</f>
        <v>Nikita</v>
      </c>
      <c r="J665" s="7" t="str">
        <f>_xlfn.XLOOKUP(Order_Details[[#This Row],[Order ID]], List_of_orders[Order ID], List_of_orders[City])</f>
        <v>Chandigarh</v>
      </c>
      <c r="K665" s="8" t="str">
        <f>TEXT(Order_Details[[#This Row],[Order Date]], "YY-MMM")</f>
        <v>18-Oct</v>
      </c>
      <c r="L665" s="11">
        <f>Order_Details[[#This Row],[Profit]]/Order_Details[[#This Row],[Amount]]</f>
        <v>0.19925512104283055</v>
      </c>
      <c r="M665" s="8">
        <f>YEAR(Order_Details[[#This Row],[Order Date]])</f>
        <v>2018</v>
      </c>
      <c r="N665" s="8">
        <f>ROUNDUP(MONTH(Order_Details[[#This Row],[Order Date]])/3, 0)</f>
        <v>4</v>
      </c>
    </row>
    <row r="666" spans="1:14">
      <c r="A666" s="1" t="s">
        <v>570</v>
      </c>
      <c r="B666" s="1">
        <v>15</v>
      </c>
      <c r="C666" s="1">
        <v>2</v>
      </c>
      <c r="D666" s="1">
        <v>1</v>
      </c>
      <c r="E666" s="1" t="s">
        <v>1076</v>
      </c>
      <c r="F666" s="1" t="s">
        <v>1112</v>
      </c>
      <c r="G666" s="7" t="str">
        <f>_xlfn.XLOOKUP(Order_Details[[#This Row],[Order ID]], List_of_orders[Order ID], List_of_orders[State])</f>
        <v>Punjab</v>
      </c>
      <c r="H666" s="10">
        <f>_xlfn.XLOOKUP(Order_Details[[#This Row],[Order ID]], List_of_orders[Order ID], List_of_orders[Order Date (Clean)])</f>
        <v>43397</v>
      </c>
      <c r="I666" s="7" t="str">
        <f>_xlfn.XLOOKUP(Order_Details[[#This Row],[Order ID]], List_of_orders[Order ID], List_of_orders[CustomerName])</f>
        <v>Nikita</v>
      </c>
      <c r="J666" s="7" t="str">
        <f>_xlfn.XLOOKUP(Order_Details[[#This Row],[Order ID]], List_of_orders[Order ID], List_of_orders[City])</f>
        <v>Chandigarh</v>
      </c>
      <c r="K666" s="8" t="str">
        <f>TEXT(Order_Details[[#This Row],[Order Date]], "YY-MMM")</f>
        <v>18-Oct</v>
      </c>
      <c r="L666" s="11">
        <f>Order_Details[[#This Row],[Profit]]/Order_Details[[#This Row],[Amount]]</f>
        <v>0.13333333333333333</v>
      </c>
      <c r="M666" s="8">
        <f>YEAR(Order_Details[[#This Row],[Order Date]])</f>
        <v>2018</v>
      </c>
      <c r="N666" s="8">
        <f>ROUNDUP(MONTH(Order_Details[[#This Row],[Order Date]])/3, 0)</f>
        <v>4</v>
      </c>
    </row>
    <row r="667" spans="1:14">
      <c r="A667" s="1" t="s">
        <v>570</v>
      </c>
      <c r="B667" s="1">
        <v>128</v>
      </c>
      <c r="C667" s="1">
        <v>-3</v>
      </c>
      <c r="D667" s="1">
        <v>3</v>
      </c>
      <c r="E667" s="1" t="s">
        <v>1076</v>
      </c>
      <c r="F667" s="1" t="s">
        <v>1106</v>
      </c>
      <c r="G667" s="7" t="str">
        <f>_xlfn.XLOOKUP(Order_Details[[#This Row],[Order ID]], List_of_orders[Order ID], List_of_orders[State])</f>
        <v>Punjab</v>
      </c>
      <c r="H667" s="10">
        <f>_xlfn.XLOOKUP(Order_Details[[#This Row],[Order ID]], List_of_orders[Order ID], List_of_orders[Order Date (Clean)])</f>
        <v>43397</v>
      </c>
      <c r="I667" s="7" t="str">
        <f>_xlfn.XLOOKUP(Order_Details[[#This Row],[Order ID]], List_of_orders[Order ID], List_of_orders[CustomerName])</f>
        <v>Nikita</v>
      </c>
      <c r="J667" s="7" t="str">
        <f>_xlfn.XLOOKUP(Order_Details[[#This Row],[Order ID]], List_of_orders[Order ID], List_of_orders[City])</f>
        <v>Chandigarh</v>
      </c>
      <c r="K667" s="8" t="str">
        <f>TEXT(Order_Details[[#This Row],[Order Date]], "YY-MMM")</f>
        <v>18-Oct</v>
      </c>
      <c r="L667" s="11">
        <f>Order_Details[[#This Row],[Profit]]/Order_Details[[#This Row],[Amount]]</f>
        <v>-2.34375E-2</v>
      </c>
      <c r="M667" s="8">
        <f>YEAR(Order_Details[[#This Row],[Order Date]])</f>
        <v>2018</v>
      </c>
      <c r="N667" s="8">
        <f>ROUNDUP(MONTH(Order_Details[[#This Row],[Order Date]])/3, 0)</f>
        <v>4</v>
      </c>
    </row>
    <row r="668" spans="1:14">
      <c r="A668" s="1" t="s">
        <v>570</v>
      </c>
      <c r="B668" s="1">
        <v>222</v>
      </c>
      <c r="C668" s="1">
        <v>35</v>
      </c>
      <c r="D668" s="1">
        <v>5</v>
      </c>
      <c r="E668" s="1" t="s">
        <v>1076</v>
      </c>
      <c r="F668" s="1" t="s">
        <v>1106</v>
      </c>
      <c r="G668" s="7" t="str">
        <f>_xlfn.XLOOKUP(Order_Details[[#This Row],[Order ID]], List_of_orders[Order ID], List_of_orders[State])</f>
        <v>Punjab</v>
      </c>
      <c r="H668" s="10">
        <f>_xlfn.XLOOKUP(Order_Details[[#This Row],[Order ID]], List_of_orders[Order ID], List_of_orders[Order Date (Clean)])</f>
        <v>43397</v>
      </c>
      <c r="I668" s="7" t="str">
        <f>_xlfn.XLOOKUP(Order_Details[[#This Row],[Order ID]], List_of_orders[Order ID], List_of_orders[CustomerName])</f>
        <v>Nikita</v>
      </c>
      <c r="J668" s="7" t="str">
        <f>_xlfn.XLOOKUP(Order_Details[[#This Row],[Order ID]], List_of_orders[Order ID], List_of_orders[City])</f>
        <v>Chandigarh</v>
      </c>
      <c r="K668" s="8" t="str">
        <f>TEXT(Order_Details[[#This Row],[Order Date]], "YY-MMM")</f>
        <v>18-Oct</v>
      </c>
      <c r="L668" s="11">
        <f>Order_Details[[#This Row],[Profit]]/Order_Details[[#This Row],[Amount]]</f>
        <v>0.15765765765765766</v>
      </c>
      <c r="M668" s="8">
        <f>YEAR(Order_Details[[#This Row],[Order Date]])</f>
        <v>2018</v>
      </c>
      <c r="N668" s="8">
        <f>ROUNDUP(MONTH(Order_Details[[#This Row],[Order Date]])/3, 0)</f>
        <v>4</v>
      </c>
    </row>
    <row r="669" spans="1:14">
      <c r="A669" s="1" t="s">
        <v>573</v>
      </c>
      <c r="B669" s="1">
        <v>345</v>
      </c>
      <c r="C669" s="1">
        <v>38</v>
      </c>
      <c r="D669" s="1">
        <v>7</v>
      </c>
      <c r="E669" s="1" t="s">
        <v>1076</v>
      </c>
      <c r="F669" s="1" t="s">
        <v>1103</v>
      </c>
      <c r="G669" s="7" t="str">
        <f>_xlfn.XLOOKUP(Order_Details[[#This Row],[Order ID]], List_of_orders[Order ID], List_of_orders[State])</f>
        <v>Haryana</v>
      </c>
      <c r="H669" s="10">
        <f>_xlfn.XLOOKUP(Order_Details[[#This Row],[Order ID]], List_of_orders[Order ID], List_of_orders[Order Date (Clean)])</f>
        <v>43398</v>
      </c>
      <c r="I669" s="7" t="str">
        <f>_xlfn.XLOOKUP(Order_Details[[#This Row],[Order ID]], List_of_orders[Order ID], List_of_orders[CustomerName])</f>
        <v>Apoorva</v>
      </c>
      <c r="J669" s="7" t="str">
        <f>_xlfn.XLOOKUP(Order_Details[[#This Row],[Order ID]], List_of_orders[Order ID], List_of_orders[City])</f>
        <v>Chandigarh</v>
      </c>
      <c r="K669" s="8" t="str">
        <f>TEXT(Order_Details[[#This Row],[Order Date]], "YY-MMM")</f>
        <v>18-Oct</v>
      </c>
      <c r="L669" s="11">
        <f>Order_Details[[#This Row],[Profit]]/Order_Details[[#This Row],[Amount]]</f>
        <v>0.11014492753623188</v>
      </c>
      <c r="M669" s="8">
        <f>YEAR(Order_Details[[#This Row],[Order Date]])</f>
        <v>2018</v>
      </c>
      <c r="N669" s="8">
        <f>ROUNDUP(MONTH(Order_Details[[#This Row],[Order Date]])/3, 0)</f>
        <v>4</v>
      </c>
    </row>
    <row r="670" spans="1:14">
      <c r="A670" s="1" t="s">
        <v>576</v>
      </c>
      <c r="B670" s="1">
        <v>41</v>
      </c>
      <c r="C670" s="1">
        <v>11</v>
      </c>
      <c r="D670" s="1">
        <v>6</v>
      </c>
      <c r="E670" s="1" t="s">
        <v>1076</v>
      </c>
      <c r="F670" s="1" t="s">
        <v>1103</v>
      </c>
      <c r="G670" s="7" t="str">
        <f>_xlfn.XLOOKUP(Order_Details[[#This Row],[Order ID]], List_of_orders[Order ID], List_of_orders[State])</f>
        <v>Himachal Pradesh</v>
      </c>
      <c r="H670" s="10">
        <f>_xlfn.XLOOKUP(Order_Details[[#This Row],[Order ID]], List_of_orders[Order ID], List_of_orders[Order Date (Clean)])</f>
        <v>43399</v>
      </c>
      <c r="I670" s="7" t="str">
        <f>_xlfn.XLOOKUP(Order_Details[[#This Row],[Order ID]], List_of_orders[Order ID], List_of_orders[CustomerName])</f>
        <v>Aastha</v>
      </c>
      <c r="J670" s="7" t="str">
        <f>_xlfn.XLOOKUP(Order_Details[[#This Row],[Order ID]], List_of_orders[Order ID], List_of_orders[City])</f>
        <v>Simla</v>
      </c>
      <c r="K670" s="8" t="str">
        <f>TEXT(Order_Details[[#This Row],[Order Date]], "YY-MMM")</f>
        <v>18-Oct</v>
      </c>
      <c r="L670" s="11">
        <f>Order_Details[[#This Row],[Profit]]/Order_Details[[#This Row],[Amount]]</f>
        <v>0.26829268292682928</v>
      </c>
      <c r="M670" s="8">
        <f>YEAR(Order_Details[[#This Row],[Order Date]])</f>
        <v>2018</v>
      </c>
      <c r="N670" s="8">
        <f>ROUNDUP(MONTH(Order_Details[[#This Row],[Order Date]])/3, 0)</f>
        <v>4</v>
      </c>
    </row>
    <row r="671" spans="1:14">
      <c r="A671" s="1" t="s">
        <v>576</v>
      </c>
      <c r="B671" s="1">
        <v>54</v>
      </c>
      <c r="C671" s="1">
        <v>1</v>
      </c>
      <c r="D671" s="1">
        <v>2</v>
      </c>
      <c r="E671" s="1" t="s">
        <v>1076</v>
      </c>
      <c r="F671" s="1" t="s">
        <v>1106</v>
      </c>
      <c r="G671" s="7" t="str">
        <f>_xlfn.XLOOKUP(Order_Details[[#This Row],[Order ID]], List_of_orders[Order ID], List_of_orders[State])</f>
        <v>Himachal Pradesh</v>
      </c>
      <c r="H671" s="10">
        <f>_xlfn.XLOOKUP(Order_Details[[#This Row],[Order ID]], List_of_orders[Order ID], List_of_orders[Order Date (Clean)])</f>
        <v>43399</v>
      </c>
      <c r="I671" s="7" t="str">
        <f>_xlfn.XLOOKUP(Order_Details[[#This Row],[Order ID]], List_of_orders[Order ID], List_of_orders[CustomerName])</f>
        <v>Aastha</v>
      </c>
      <c r="J671" s="7" t="str">
        <f>_xlfn.XLOOKUP(Order_Details[[#This Row],[Order ID]], List_of_orders[Order ID], List_of_orders[City])</f>
        <v>Simla</v>
      </c>
      <c r="K671" s="8" t="str">
        <f>TEXT(Order_Details[[#This Row],[Order Date]], "YY-MMM")</f>
        <v>18-Oct</v>
      </c>
      <c r="L671" s="11">
        <f>Order_Details[[#This Row],[Profit]]/Order_Details[[#This Row],[Amount]]</f>
        <v>1.8518518518518517E-2</v>
      </c>
      <c r="M671" s="8">
        <f>YEAR(Order_Details[[#This Row],[Order Date]])</f>
        <v>2018</v>
      </c>
      <c r="N671" s="8">
        <f>ROUNDUP(MONTH(Order_Details[[#This Row],[Order Date]])/3, 0)</f>
        <v>4</v>
      </c>
    </row>
    <row r="672" spans="1:14">
      <c r="A672" s="1" t="s">
        <v>576</v>
      </c>
      <c r="B672" s="1">
        <v>71</v>
      </c>
      <c r="C672" s="1">
        <v>0</v>
      </c>
      <c r="D672" s="1">
        <v>8</v>
      </c>
      <c r="E672" s="1" t="s">
        <v>1076</v>
      </c>
      <c r="F672" s="1" t="s">
        <v>1117</v>
      </c>
      <c r="G672" s="7" t="str">
        <f>_xlfn.XLOOKUP(Order_Details[[#This Row],[Order ID]], List_of_orders[Order ID], List_of_orders[State])</f>
        <v>Himachal Pradesh</v>
      </c>
      <c r="H672" s="10">
        <f>_xlfn.XLOOKUP(Order_Details[[#This Row],[Order ID]], List_of_orders[Order ID], List_of_orders[Order Date (Clean)])</f>
        <v>43399</v>
      </c>
      <c r="I672" s="7" t="str">
        <f>_xlfn.XLOOKUP(Order_Details[[#This Row],[Order ID]], List_of_orders[Order ID], List_of_orders[CustomerName])</f>
        <v>Aastha</v>
      </c>
      <c r="J672" s="7" t="str">
        <f>_xlfn.XLOOKUP(Order_Details[[#This Row],[Order ID]], List_of_orders[Order ID], List_of_orders[City])</f>
        <v>Simla</v>
      </c>
      <c r="K672" s="8" t="str">
        <f>TEXT(Order_Details[[#This Row],[Order Date]], "YY-MMM")</f>
        <v>18-Oct</v>
      </c>
      <c r="L672" s="11">
        <f>Order_Details[[#This Row],[Profit]]/Order_Details[[#This Row],[Amount]]</f>
        <v>0</v>
      </c>
      <c r="M672" s="8">
        <f>YEAR(Order_Details[[#This Row],[Order Date]])</f>
        <v>2018</v>
      </c>
      <c r="N672" s="8">
        <f>ROUNDUP(MONTH(Order_Details[[#This Row],[Order Date]])/3, 0)</f>
        <v>4</v>
      </c>
    </row>
    <row r="673" spans="1:14">
      <c r="A673" s="1" t="s">
        <v>576</v>
      </c>
      <c r="B673" s="1">
        <v>93</v>
      </c>
      <c r="C673" s="1">
        <v>15</v>
      </c>
      <c r="D673" s="1">
        <v>2</v>
      </c>
      <c r="E673" s="1" t="s">
        <v>1077</v>
      </c>
      <c r="F673" s="1" t="s">
        <v>1115</v>
      </c>
      <c r="G673" s="7" t="str">
        <f>_xlfn.XLOOKUP(Order_Details[[#This Row],[Order ID]], List_of_orders[Order ID], List_of_orders[State])</f>
        <v>Himachal Pradesh</v>
      </c>
      <c r="H673" s="10">
        <f>_xlfn.XLOOKUP(Order_Details[[#This Row],[Order ID]], List_of_orders[Order ID], List_of_orders[Order Date (Clean)])</f>
        <v>43399</v>
      </c>
      <c r="I673" s="7" t="str">
        <f>_xlfn.XLOOKUP(Order_Details[[#This Row],[Order ID]], List_of_orders[Order ID], List_of_orders[CustomerName])</f>
        <v>Aastha</v>
      </c>
      <c r="J673" s="7" t="str">
        <f>_xlfn.XLOOKUP(Order_Details[[#This Row],[Order ID]], List_of_orders[Order ID], List_of_orders[City])</f>
        <v>Simla</v>
      </c>
      <c r="K673" s="8" t="str">
        <f>TEXT(Order_Details[[#This Row],[Order Date]], "YY-MMM")</f>
        <v>18-Oct</v>
      </c>
      <c r="L673" s="11">
        <f>Order_Details[[#This Row],[Profit]]/Order_Details[[#This Row],[Amount]]</f>
        <v>0.16129032258064516</v>
      </c>
      <c r="M673" s="8">
        <f>YEAR(Order_Details[[#This Row],[Order Date]])</f>
        <v>2018</v>
      </c>
      <c r="N673" s="8">
        <f>ROUNDUP(MONTH(Order_Details[[#This Row],[Order Date]])/3, 0)</f>
        <v>4</v>
      </c>
    </row>
    <row r="674" spans="1:14">
      <c r="A674" s="1" t="s">
        <v>576</v>
      </c>
      <c r="B674" s="1">
        <v>1063</v>
      </c>
      <c r="C674" s="1">
        <v>64</v>
      </c>
      <c r="D674" s="1">
        <v>7</v>
      </c>
      <c r="E674" s="1" t="s">
        <v>1077</v>
      </c>
      <c r="F674" s="1" t="s">
        <v>1105</v>
      </c>
      <c r="G674" s="7" t="str">
        <f>_xlfn.XLOOKUP(Order_Details[[#This Row],[Order ID]], List_of_orders[Order ID], List_of_orders[State])</f>
        <v>Himachal Pradesh</v>
      </c>
      <c r="H674" s="10">
        <f>_xlfn.XLOOKUP(Order_Details[[#This Row],[Order ID]], List_of_orders[Order ID], List_of_orders[Order Date (Clean)])</f>
        <v>43399</v>
      </c>
      <c r="I674" s="7" t="str">
        <f>_xlfn.XLOOKUP(Order_Details[[#This Row],[Order ID]], List_of_orders[Order ID], List_of_orders[CustomerName])</f>
        <v>Aastha</v>
      </c>
      <c r="J674" s="7" t="str">
        <f>_xlfn.XLOOKUP(Order_Details[[#This Row],[Order ID]], List_of_orders[Order ID], List_of_orders[City])</f>
        <v>Simla</v>
      </c>
      <c r="K674" s="8" t="str">
        <f>TEXT(Order_Details[[#This Row],[Order Date]], "YY-MMM")</f>
        <v>18-Oct</v>
      </c>
      <c r="L674" s="11">
        <f>Order_Details[[#This Row],[Profit]]/Order_Details[[#This Row],[Amount]]</f>
        <v>6.0206961429915336E-2</v>
      </c>
      <c r="M674" s="8">
        <f>YEAR(Order_Details[[#This Row],[Order Date]])</f>
        <v>2018</v>
      </c>
      <c r="N674" s="8">
        <f>ROUNDUP(MONTH(Order_Details[[#This Row],[Order Date]])/3, 0)</f>
        <v>4</v>
      </c>
    </row>
    <row r="675" spans="1:14">
      <c r="A675" s="1" t="s">
        <v>576</v>
      </c>
      <c r="B675" s="1">
        <v>1954</v>
      </c>
      <c r="C675" s="1">
        <v>782</v>
      </c>
      <c r="D675" s="1">
        <v>3</v>
      </c>
      <c r="E675" s="1" t="s">
        <v>1077</v>
      </c>
      <c r="F675" s="1" t="s">
        <v>1105</v>
      </c>
      <c r="G675" s="7" t="str">
        <f>_xlfn.XLOOKUP(Order_Details[[#This Row],[Order ID]], List_of_orders[Order ID], List_of_orders[State])</f>
        <v>Himachal Pradesh</v>
      </c>
      <c r="H675" s="10">
        <f>_xlfn.XLOOKUP(Order_Details[[#This Row],[Order ID]], List_of_orders[Order ID], List_of_orders[Order Date (Clean)])</f>
        <v>43399</v>
      </c>
      <c r="I675" s="7" t="str">
        <f>_xlfn.XLOOKUP(Order_Details[[#This Row],[Order ID]], List_of_orders[Order ID], List_of_orders[CustomerName])</f>
        <v>Aastha</v>
      </c>
      <c r="J675" s="7" t="str">
        <f>_xlfn.XLOOKUP(Order_Details[[#This Row],[Order ID]], List_of_orders[Order ID], List_of_orders[City])</f>
        <v>Simla</v>
      </c>
      <c r="K675" s="8" t="str">
        <f>TEXT(Order_Details[[#This Row],[Order Date]], "YY-MMM")</f>
        <v>18-Oct</v>
      </c>
      <c r="L675" s="11">
        <f>Order_Details[[#This Row],[Profit]]/Order_Details[[#This Row],[Amount]]</f>
        <v>0.40020470829068577</v>
      </c>
      <c r="M675" s="8">
        <f>YEAR(Order_Details[[#This Row],[Order Date]])</f>
        <v>2018</v>
      </c>
      <c r="N675" s="8">
        <f>ROUNDUP(MONTH(Order_Details[[#This Row],[Order Date]])/3, 0)</f>
        <v>4</v>
      </c>
    </row>
    <row r="676" spans="1:14">
      <c r="A676" s="1" t="s">
        <v>579</v>
      </c>
      <c r="B676" s="1">
        <v>693</v>
      </c>
      <c r="C676" s="1">
        <v>254</v>
      </c>
      <c r="D676" s="1">
        <v>6</v>
      </c>
      <c r="E676" s="1" t="s">
        <v>1076</v>
      </c>
      <c r="F676" s="1" t="s">
        <v>1106</v>
      </c>
      <c r="G676" s="7" t="str">
        <f>_xlfn.XLOOKUP(Order_Details[[#This Row],[Order ID]], List_of_orders[Order ID], List_of_orders[State])</f>
        <v>Sikkim</v>
      </c>
      <c r="H676" s="10">
        <f>_xlfn.XLOOKUP(Order_Details[[#This Row],[Order ID]], List_of_orders[Order ID], List_of_orders[Order Date (Clean)])</f>
        <v>43400</v>
      </c>
      <c r="I676" s="7" t="str">
        <f>_xlfn.XLOOKUP(Order_Details[[#This Row],[Order ID]], List_of_orders[Order ID], List_of_orders[CustomerName])</f>
        <v>Mahima</v>
      </c>
      <c r="J676" s="7" t="str">
        <f>_xlfn.XLOOKUP(Order_Details[[#This Row],[Order ID]], List_of_orders[Order ID], List_of_orders[City])</f>
        <v>Gangtok</v>
      </c>
      <c r="K676" s="8" t="str">
        <f>TEXT(Order_Details[[#This Row],[Order Date]], "YY-MMM")</f>
        <v>18-Oct</v>
      </c>
      <c r="L676" s="11">
        <f>Order_Details[[#This Row],[Profit]]/Order_Details[[#This Row],[Amount]]</f>
        <v>0.36652236652236653</v>
      </c>
      <c r="M676" s="8">
        <f>YEAR(Order_Details[[#This Row],[Order Date]])</f>
        <v>2018</v>
      </c>
      <c r="N676" s="8">
        <f>ROUNDUP(MONTH(Order_Details[[#This Row],[Order Date]])/3, 0)</f>
        <v>4</v>
      </c>
    </row>
    <row r="677" spans="1:14">
      <c r="A677" s="1" t="s">
        <v>581</v>
      </c>
      <c r="B677" s="1">
        <v>504</v>
      </c>
      <c r="C677" s="1">
        <v>116</v>
      </c>
      <c r="D677" s="1">
        <v>3</v>
      </c>
      <c r="E677" s="1" t="s">
        <v>1075</v>
      </c>
      <c r="F677" s="1" t="s">
        <v>1101</v>
      </c>
      <c r="G677" s="7" t="str">
        <f>_xlfn.XLOOKUP(Order_Details[[#This Row],[Order ID]], List_of_orders[Order ID], List_of_orders[State])</f>
        <v>Maharashtra</v>
      </c>
      <c r="H677" s="10">
        <f>_xlfn.XLOOKUP(Order_Details[[#This Row],[Order ID]], List_of_orders[Order ID], List_of_orders[Order Date (Clean)])</f>
        <v>43401</v>
      </c>
      <c r="I677" s="7" t="str">
        <f>_xlfn.XLOOKUP(Order_Details[[#This Row],[Order ID]], List_of_orders[Order ID], List_of_orders[CustomerName])</f>
        <v>Harshita</v>
      </c>
      <c r="J677" s="7" t="str">
        <f>_xlfn.XLOOKUP(Order_Details[[#This Row],[Order ID]], List_of_orders[Order ID], List_of_orders[City])</f>
        <v>Mumbai</v>
      </c>
      <c r="K677" s="8" t="str">
        <f>TEXT(Order_Details[[#This Row],[Order Date]], "YY-MMM")</f>
        <v>18-Oct</v>
      </c>
      <c r="L677" s="11">
        <f>Order_Details[[#This Row],[Profit]]/Order_Details[[#This Row],[Amount]]</f>
        <v>0.23015873015873015</v>
      </c>
      <c r="M677" s="8">
        <f>YEAR(Order_Details[[#This Row],[Order Date]])</f>
        <v>2018</v>
      </c>
      <c r="N677" s="8">
        <f>ROUNDUP(MONTH(Order_Details[[#This Row],[Order Date]])/3, 0)</f>
        <v>4</v>
      </c>
    </row>
    <row r="678" spans="1:14">
      <c r="A678" s="1" t="s">
        <v>584</v>
      </c>
      <c r="B678" s="1">
        <v>64</v>
      </c>
      <c r="C678" s="1">
        <v>27</v>
      </c>
      <c r="D678" s="1">
        <v>5</v>
      </c>
      <c r="E678" s="1" t="s">
        <v>1076</v>
      </c>
      <c r="F678" s="1" t="s">
        <v>1103</v>
      </c>
      <c r="G678" s="7" t="str">
        <f>_xlfn.XLOOKUP(Order_Details[[#This Row],[Order ID]], List_of_orders[Order ID], List_of_orders[State])</f>
        <v>Madhya Pradesh</v>
      </c>
      <c r="H678" s="10">
        <f>_xlfn.XLOOKUP(Order_Details[[#This Row],[Order ID]], List_of_orders[Order ID], List_of_orders[Order Date (Clean)])</f>
        <v>43402</v>
      </c>
      <c r="I678" s="7" t="str">
        <f>_xlfn.XLOOKUP(Order_Details[[#This Row],[Order ID]], List_of_orders[Order ID], List_of_orders[CustomerName])</f>
        <v>Krishna</v>
      </c>
      <c r="J678" s="7" t="str">
        <f>_xlfn.XLOOKUP(Order_Details[[#This Row],[Order ID]], List_of_orders[Order ID], List_of_orders[City])</f>
        <v>Indore</v>
      </c>
      <c r="K678" s="8" t="str">
        <f>TEXT(Order_Details[[#This Row],[Order Date]], "YY-MMM")</f>
        <v>18-Oct</v>
      </c>
      <c r="L678" s="11">
        <f>Order_Details[[#This Row],[Profit]]/Order_Details[[#This Row],[Amount]]</f>
        <v>0.421875</v>
      </c>
      <c r="M678" s="8">
        <f>YEAR(Order_Details[[#This Row],[Order Date]])</f>
        <v>2018</v>
      </c>
      <c r="N678" s="8">
        <f>ROUNDUP(MONTH(Order_Details[[#This Row],[Order Date]])/3, 0)</f>
        <v>4</v>
      </c>
    </row>
    <row r="679" spans="1:14">
      <c r="A679" s="1" t="s">
        <v>584</v>
      </c>
      <c r="B679" s="1">
        <v>36</v>
      </c>
      <c r="C679" s="1">
        <v>4</v>
      </c>
      <c r="D679" s="1">
        <v>9</v>
      </c>
      <c r="E679" s="1" t="s">
        <v>1076</v>
      </c>
      <c r="F679" s="1" t="s">
        <v>1103</v>
      </c>
      <c r="G679" s="7" t="str">
        <f>_xlfn.XLOOKUP(Order_Details[[#This Row],[Order ID]], List_of_orders[Order ID], List_of_orders[State])</f>
        <v>Madhya Pradesh</v>
      </c>
      <c r="H679" s="10">
        <f>_xlfn.XLOOKUP(Order_Details[[#This Row],[Order ID]], List_of_orders[Order ID], List_of_orders[Order Date (Clean)])</f>
        <v>43402</v>
      </c>
      <c r="I679" s="7" t="str">
        <f>_xlfn.XLOOKUP(Order_Details[[#This Row],[Order ID]], List_of_orders[Order ID], List_of_orders[CustomerName])</f>
        <v>Krishna</v>
      </c>
      <c r="J679" s="7" t="str">
        <f>_xlfn.XLOOKUP(Order_Details[[#This Row],[Order ID]], List_of_orders[Order ID], List_of_orders[City])</f>
        <v>Indore</v>
      </c>
      <c r="K679" s="8" t="str">
        <f>TEXT(Order_Details[[#This Row],[Order Date]], "YY-MMM")</f>
        <v>18-Oct</v>
      </c>
      <c r="L679" s="11">
        <f>Order_Details[[#This Row],[Profit]]/Order_Details[[#This Row],[Amount]]</f>
        <v>0.1111111111111111</v>
      </c>
      <c r="M679" s="8">
        <f>YEAR(Order_Details[[#This Row],[Order Date]])</f>
        <v>2018</v>
      </c>
      <c r="N679" s="8">
        <f>ROUNDUP(MONTH(Order_Details[[#This Row],[Order Date]])/3, 0)</f>
        <v>4</v>
      </c>
    </row>
    <row r="680" spans="1:14">
      <c r="A680" s="1" t="s">
        <v>584</v>
      </c>
      <c r="B680" s="1">
        <v>45</v>
      </c>
      <c r="C680" s="1">
        <v>16</v>
      </c>
      <c r="D680" s="1">
        <v>3</v>
      </c>
      <c r="E680" s="1" t="s">
        <v>1076</v>
      </c>
      <c r="F680" s="1" t="s">
        <v>1102</v>
      </c>
      <c r="G680" s="7" t="str">
        <f>_xlfn.XLOOKUP(Order_Details[[#This Row],[Order ID]], List_of_orders[Order ID], List_of_orders[State])</f>
        <v>Madhya Pradesh</v>
      </c>
      <c r="H680" s="10">
        <f>_xlfn.XLOOKUP(Order_Details[[#This Row],[Order ID]], List_of_orders[Order ID], List_of_orders[Order Date (Clean)])</f>
        <v>43402</v>
      </c>
      <c r="I680" s="7" t="str">
        <f>_xlfn.XLOOKUP(Order_Details[[#This Row],[Order ID]], List_of_orders[Order ID], List_of_orders[CustomerName])</f>
        <v>Krishna</v>
      </c>
      <c r="J680" s="7" t="str">
        <f>_xlfn.XLOOKUP(Order_Details[[#This Row],[Order ID]], List_of_orders[Order ID], List_of_orders[City])</f>
        <v>Indore</v>
      </c>
      <c r="K680" s="8" t="str">
        <f>TEXT(Order_Details[[#This Row],[Order Date]], "YY-MMM")</f>
        <v>18-Oct</v>
      </c>
      <c r="L680" s="11">
        <f>Order_Details[[#This Row],[Profit]]/Order_Details[[#This Row],[Amount]]</f>
        <v>0.35555555555555557</v>
      </c>
      <c r="M680" s="8">
        <f>YEAR(Order_Details[[#This Row],[Order Date]])</f>
        <v>2018</v>
      </c>
      <c r="N680" s="8">
        <f>ROUNDUP(MONTH(Order_Details[[#This Row],[Order Date]])/3, 0)</f>
        <v>4</v>
      </c>
    </row>
    <row r="681" spans="1:14">
      <c r="A681" s="1" t="s">
        <v>587</v>
      </c>
      <c r="B681" s="1">
        <v>16</v>
      </c>
      <c r="C681" s="1">
        <v>5</v>
      </c>
      <c r="D681" s="1">
        <v>1</v>
      </c>
      <c r="E681" s="1" t="s">
        <v>1076</v>
      </c>
      <c r="F681" s="1" t="s">
        <v>1102</v>
      </c>
      <c r="G681" s="7" t="str">
        <f>_xlfn.XLOOKUP(Order_Details[[#This Row],[Order ID]], List_of_orders[Order ID], List_of_orders[State])</f>
        <v>Andhra Pradesh</v>
      </c>
      <c r="H681" s="10">
        <f>_xlfn.XLOOKUP(Order_Details[[#This Row],[Order ID]], List_of_orders[Order ID], List_of_orders[Order Date (Clean)])</f>
        <v>43402</v>
      </c>
      <c r="I681" s="7" t="str">
        <f>_xlfn.XLOOKUP(Order_Details[[#This Row],[Order ID]], List_of_orders[Order ID], List_of_orders[CustomerName])</f>
        <v>Ananya</v>
      </c>
      <c r="J681" s="7" t="str">
        <f>_xlfn.XLOOKUP(Order_Details[[#This Row],[Order ID]], List_of_orders[Order ID], List_of_orders[City])</f>
        <v>Hyderabad</v>
      </c>
      <c r="K681" s="8" t="str">
        <f>TEXT(Order_Details[[#This Row],[Order Date]], "YY-MMM")</f>
        <v>18-Oct</v>
      </c>
      <c r="L681" s="11">
        <f>Order_Details[[#This Row],[Profit]]/Order_Details[[#This Row],[Amount]]</f>
        <v>0.3125</v>
      </c>
      <c r="M681" s="8">
        <f>YEAR(Order_Details[[#This Row],[Order Date]])</f>
        <v>2018</v>
      </c>
      <c r="N681" s="8">
        <f>ROUNDUP(MONTH(Order_Details[[#This Row],[Order Date]])/3, 0)</f>
        <v>4</v>
      </c>
    </row>
    <row r="682" spans="1:14">
      <c r="A682" s="1" t="s">
        <v>589</v>
      </c>
      <c r="B682" s="1">
        <v>52</v>
      </c>
      <c r="C682" s="1">
        <v>11</v>
      </c>
      <c r="D682" s="1">
        <v>5</v>
      </c>
      <c r="E682" s="1" t="s">
        <v>1076</v>
      </c>
      <c r="F682" s="1" t="s">
        <v>1112</v>
      </c>
      <c r="G682" s="7" t="str">
        <f>_xlfn.XLOOKUP(Order_Details[[#This Row],[Order ID]], List_of_orders[Order ID], List_of_orders[State])</f>
        <v>Gujarat</v>
      </c>
      <c r="H682" s="10">
        <f>_xlfn.XLOOKUP(Order_Details[[#This Row],[Order ID]], List_of_orders[Order ID], List_of_orders[Order Date (Clean)])</f>
        <v>43402</v>
      </c>
      <c r="I682" s="7" t="str">
        <f>_xlfn.XLOOKUP(Order_Details[[#This Row],[Order ID]], List_of_orders[Order ID], List_of_orders[CustomerName])</f>
        <v>Moumita</v>
      </c>
      <c r="J682" s="7" t="str">
        <f>_xlfn.XLOOKUP(Order_Details[[#This Row],[Order ID]], List_of_orders[Order ID], List_of_orders[City])</f>
        <v>Ahmedabad</v>
      </c>
      <c r="K682" s="8" t="str">
        <f>TEXT(Order_Details[[#This Row],[Order Date]], "YY-MMM")</f>
        <v>18-Oct</v>
      </c>
      <c r="L682" s="11">
        <f>Order_Details[[#This Row],[Profit]]/Order_Details[[#This Row],[Amount]]</f>
        <v>0.21153846153846154</v>
      </c>
      <c r="M682" s="8">
        <f>YEAR(Order_Details[[#This Row],[Order Date]])</f>
        <v>2018</v>
      </c>
      <c r="N682" s="8">
        <f>ROUNDUP(MONTH(Order_Details[[#This Row],[Order Date]])/3, 0)</f>
        <v>4</v>
      </c>
    </row>
    <row r="683" spans="1:14">
      <c r="A683" s="1" t="s">
        <v>589</v>
      </c>
      <c r="B683" s="1">
        <v>27</v>
      </c>
      <c r="C683" s="1">
        <v>2</v>
      </c>
      <c r="D683" s="1">
        <v>2</v>
      </c>
      <c r="E683" s="1" t="s">
        <v>1076</v>
      </c>
      <c r="F683" s="1" t="s">
        <v>1112</v>
      </c>
      <c r="G683" s="7" t="str">
        <f>_xlfn.XLOOKUP(Order_Details[[#This Row],[Order ID]], List_of_orders[Order ID], List_of_orders[State])</f>
        <v>Gujarat</v>
      </c>
      <c r="H683" s="10">
        <f>_xlfn.XLOOKUP(Order_Details[[#This Row],[Order ID]], List_of_orders[Order ID], List_of_orders[Order Date (Clean)])</f>
        <v>43402</v>
      </c>
      <c r="I683" s="7" t="str">
        <f>_xlfn.XLOOKUP(Order_Details[[#This Row],[Order ID]], List_of_orders[Order ID], List_of_orders[CustomerName])</f>
        <v>Moumita</v>
      </c>
      <c r="J683" s="7" t="str">
        <f>_xlfn.XLOOKUP(Order_Details[[#This Row],[Order ID]], List_of_orders[Order ID], List_of_orders[City])</f>
        <v>Ahmedabad</v>
      </c>
      <c r="K683" s="8" t="str">
        <f>TEXT(Order_Details[[#This Row],[Order Date]], "YY-MMM")</f>
        <v>18-Oct</v>
      </c>
      <c r="L683" s="11">
        <f>Order_Details[[#This Row],[Profit]]/Order_Details[[#This Row],[Amount]]</f>
        <v>7.407407407407407E-2</v>
      </c>
      <c r="M683" s="8">
        <f>YEAR(Order_Details[[#This Row],[Order Date]])</f>
        <v>2018</v>
      </c>
      <c r="N683" s="8">
        <f>ROUNDUP(MONTH(Order_Details[[#This Row],[Order Date]])/3, 0)</f>
        <v>4</v>
      </c>
    </row>
    <row r="684" spans="1:14">
      <c r="A684" s="1" t="s">
        <v>589</v>
      </c>
      <c r="B684" s="1">
        <v>155</v>
      </c>
      <c r="C684" s="1">
        <v>26</v>
      </c>
      <c r="D684" s="1">
        <v>3</v>
      </c>
      <c r="E684" s="1" t="s">
        <v>1076</v>
      </c>
      <c r="F684" s="1" t="s">
        <v>1102</v>
      </c>
      <c r="G684" s="7" t="str">
        <f>_xlfn.XLOOKUP(Order_Details[[#This Row],[Order ID]], List_of_orders[Order ID], List_of_orders[State])</f>
        <v>Gujarat</v>
      </c>
      <c r="H684" s="10">
        <f>_xlfn.XLOOKUP(Order_Details[[#This Row],[Order ID]], List_of_orders[Order ID], List_of_orders[Order Date (Clean)])</f>
        <v>43402</v>
      </c>
      <c r="I684" s="7" t="str">
        <f>_xlfn.XLOOKUP(Order_Details[[#This Row],[Order ID]], List_of_orders[Order ID], List_of_orders[CustomerName])</f>
        <v>Moumita</v>
      </c>
      <c r="J684" s="7" t="str">
        <f>_xlfn.XLOOKUP(Order_Details[[#This Row],[Order ID]], List_of_orders[Order ID], List_of_orders[City])</f>
        <v>Ahmedabad</v>
      </c>
      <c r="K684" s="8" t="str">
        <f>TEXT(Order_Details[[#This Row],[Order Date]], "YY-MMM")</f>
        <v>18-Oct</v>
      </c>
      <c r="L684" s="11">
        <f>Order_Details[[#This Row],[Profit]]/Order_Details[[#This Row],[Amount]]</f>
        <v>0.16774193548387098</v>
      </c>
      <c r="M684" s="8">
        <f>YEAR(Order_Details[[#This Row],[Order Date]])</f>
        <v>2018</v>
      </c>
      <c r="N684" s="8">
        <f>ROUNDUP(MONTH(Order_Details[[#This Row],[Order Date]])/3, 0)</f>
        <v>4</v>
      </c>
    </row>
    <row r="685" spans="1:14">
      <c r="A685" s="1" t="s">
        <v>591</v>
      </c>
      <c r="B685" s="1">
        <v>1298</v>
      </c>
      <c r="C685" s="1">
        <v>65</v>
      </c>
      <c r="D685" s="1">
        <v>9</v>
      </c>
      <c r="E685" s="1" t="s">
        <v>1077</v>
      </c>
      <c r="F685" s="1" t="s">
        <v>1114</v>
      </c>
      <c r="G685" s="7" t="str">
        <f>_xlfn.XLOOKUP(Order_Details[[#This Row],[Order ID]], List_of_orders[Order ID], List_of_orders[State])</f>
        <v>Maharashtra</v>
      </c>
      <c r="H685" s="10">
        <f>_xlfn.XLOOKUP(Order_Details[[#This Row],[Order ID]], List_of_orders[Order ID], List_of_orders[Order Date (Clean)])</f>
        <v>43402</v>
      </c>
      <c r="I685" s="7" t="str">
        <f>_xlfn.XLOOKUP(Order_Details[[#This Row],[Order ID]], List_of_orders[Order ID], List_of_orders[CustomerName])</f>
        <v>Arti</v>
      </c>
      <c r="J685" s="7" t="str">
        <f>_xlfn.XLOOKUP(Order_Details[[#This Row],[Order ID]], List_of_orders[Order ID], List_of_orders[City])</f>
        <v>Pune</v>
      </c>
      <c r="K685" s="8" t="str">
        <f>TEXT(Order_Details[[#This Row],[Order Date]], "YY-MMM")</f>
        <v>18-Oct</v>
      </c>
      <c r="L685" s="11">
        <f>Order_Details[[#This Row],[Profit]]/Order_Details[[#This Row],[Amount]]</f>
        <v>5.007704160246533E-2</v>
      </c>
      <c r="M685" s="8">
        <f>YEAR(Order_Details[[#This Row],[Order Date]])</f>
        <v>2018</v>
      </c>
      <c r="N685" s="8">
        <f>ROUNDUP(MONTH(Order_Details[[#This Row],[Order Date]])/3, 0)</f>
        <v>4</v>
      </c>
    </row>
    <row r="686" spans="1:14">
      <c r="A686" s="1" t="s">
        <v>593</v>
      </c>
      <c r="B686" s="1">
        <v>263</v>
      </c>
      <c r="C686" s="1">
        <v>50</v>
      </c>
      <c r="D686" s="1">
        <v>5</v>
      </c>
      <c r="E686" s="1" t="s">
        <v>1076</v>
      </c>
      <c r="F686" s="1" t="s">
        <v>1102</v>
      </c>
      <c r="G686" s="7" t="str">
        <f>_xlfn.XLOOKUP(Order_Details[[#This Row],[Order ID]], List_of_orders[Order ID], List_of_orders[State])</f>
        <v>Maharashtra</v>
      </c>
      <c r="H686" s="10">
        <f>_xlfn.XLOOKUP(Order_Details[[#This Row],[Order ID]], List_of_orders[Order ID], List_of_orders[Order Date (Clean)])</f>
        <v>43402</v>
      </c>
      <c r="I686" s="7" t="str">
        <f>_xlfn.XLOOKUP(Order_Details[[#This Row],[Order ID]], List_of_orders[Order ID], List_of_orders[CustomerName])</f>
        <v>Palak</v>
      </c>
      <c r="J686" s="7" t="str">
        <f>_xlfn.XLOOKUP(Order_Details[[#This Row],[Order ID]], List_of_orders[Order ID], List_of_orders[City])</f>
        <v>Mumbai</v>
      </c>
      <c r="K686" s="8" t="str">
        <f>TEXT(Order_Details[[#This Row],[Order Date]], "YY-MMM")</f>
        <v>18-Oct</v>
      </c>
      <c r="L686" s="11">
        <f>Order_Details[[#This Row],[Profit]]/Order_Details[[#This Row],[Amount]]</f>
        <v>0.19011406844106463</v>
      </c>
      <c r="M686" s="8">
        <f>YEAR(Order_Details[[#This Row],[Order Date]])</f>
        <v>2018</v>
      </c>
      <c r="N686" s="8">
        <f>ROUNDUP(MONTH(Order_Details[[#This Row],[Order Date]])/3, 0)</f>
        <v>4</v>
      </c>
    </row>
    <row r="687" spans="1:14">
      <c r="A687" s="1" t="s">
        <v>595</v>
      </c>
      <c r="B687" s="1">
        <v>70</v>
      </c>
      <c r="C687" s="1">
        <v>26</v>
      </c>
      <c r="D687" s="1">
        <v>5</v>
      </c>
      <c r="E687" s="1" t="s">
        <v>1076</v>
      </c>
      <c r="F687" s="1" t="s">
        <v>1103</v>
      </c>
      <c r="G687" s="7" t="str">
        <f>_xlfn.XLOOKUP(Order_Details[[#This Row],[Order ID]], List_of_orders[Order ID], List_of_orders[State])</f>
        <v>Madhya Pradesh</v>
      </c>
      <c r="H687" s="10">
        <f>_xlfn.XLOOKUP(Order_Details[[#This Row],[Order ID]], List_of_orders[Order ID], List_of_orders[Order Date (Clean)])</f>
        <v>43402</v>
      </c>
      <c r="I687" s="7" t="str">
        <f>_xlfn.XLOOKUP(Order_Details[[#This Row],[Order ID]], List_of_orders[Order ID], List_of_orders[CustomerName])</f>
        <v>Sanjana</v>
      </c>
      <c r="J687" s="7" t="str">
        <f>_xlfn.XLOOKUP(Order_Details[[#This Row],[Order ID]], List_of_orders[Order ID], List_of_orders[City])</f>
        <v>Indore</v>
      </c>
      <c r="K687" s="8" t="str">
        <f>TEXT(Order_Details[[#This Row],[Order Date]], "YY-MMM")</f>
        <v>18-Oct</v>
      </c>
      <c r="L687" s="11">
        <f>Order_Details[[#This Row],[Profit]]/Order_Details[[#This Row],[Amount]]</f>
        <v>0.37142857142857144</v>
      </c>
      <c r="M687" s="8">
        <f>YEAR(Order_Details[[#This Row],[Order Date]])</f>
        <v>2018</v>
      </c>
      <c r="N687" s="8">
        <f>ROUNDUP(MONTH(Order_Details[[#This Row],[Order Date]])/3, 0)</f>
        <v>4</v>
      </c>
    </row>
    <row r="688" spans="1:14">
      <c r="A688" s="1" t="s">
        <v>595</v>
      </c>
      <c r="B688" s="1">
        <v>81</v>
      </c>
      <c r="C688" s="1">
        <v>19</v>
      </c>
      <c r="D688" s="1">
        <v>7</v>
      </c>
      <c r="E688" s="1" t="s">
        <v>1076</v>
      </c>
      <c r="F688" s="1" t="s">
        <v>1103</v>
      </c>
      <c r="G688" s="7" t="str">
        <f>_xlfn.XLOOKUP(Order_Details[[#This Row],[Order ID]], List_of_orders[Order ID], List_of_orders[State])</f>
        <v>Madhya Pradesh</v>
      </c>
      <c r="H688" s="10">
        <f>_xlfn.XLOOKUP(Order_Details[[#This Row],[Order ID]], List_of_orders[Order ID], List_of_orders[Order Date (Clean)])</f>
        <v>43402</v>
      </c>
      <c r="I688" s="7" t="str">
        <f>_xlfn.XLOOKUP(Order_Details[[#This Row],[Order ID]], List_of_orders[Order ID], List_of_orders[CustomerName])</f>
        <v>Sanjana</v>
      </c>
      <c r="J688" s="7" t="str">
        <f>_xlfn.XLOOKUP(Order_Details[[#This Row],[Order ID]], List_of_orders[Order ID], List_of_orders[City])</f>
        <v>Indore</v>
      </c>
      <c r="K688" s="8" t="str">
        <f>TEXT(Order_Details[[#This Row],[Order Date]], "YY-MMM")</f>
        <v>18-Oct</v>
      </c>
      <c r="L688" s="11">
        <f>Order_Details[[#This Row],[Profit]]/Order_Details[[#This Row],[Amount]]</f>
        <v>0.23456790123456789</v>
      </c>
      <c r="M688" s="8">
        <f>YEAR(Order_Details[[#This Row],[Order Date]])</f>
        <v>2018</v>
      </c>
      <c r="N688" s="8">
        <f>ROUNDUP(MONTH(Order_Details[[#This Row],[Order Date]])/3, 0)</f>
        <v>4</v>
      </c>
    </row>
    <row r="689" spans="1:14">
      <c r="A689" s="1" t="s">
        <v>595</v>
      </c>
      <c r="B689" s="1">
        <v>955</v>
      </c>
      <c r="C689" s="1">
        <v>305</v>
      </c>
      <c r="D689" s="1">
        <v>3</v>
      </c>
      <c r="E689" s="1" t="s">
        <v>1077</v>
      </c>
      <c r="F689" s="1" t="s">
        <v>1114</v>
      </c>
      <c r="G689" s="7" t="str">
        <f>_xlfn.XLOOKUP(Order_Details[[#This Row],[Order ID]], List_of_orders[Order ID], List_of_orders[State])</f>
        <v>Madhya Pradesh</v>
      </c>
      <c r="H689" s="10">
        <f>_xlfn.XLOOKUP(Order_Details[[#This Row],[Order ID]], List_of_orders[Order ID], List_of_orders[Order Date (Clean)])</f>
        <v>43402</v>
      </c>
      <c r="I689" s="7" t="str">
        <f>_xlfn.XLOOKUP(Order_Details[[#This Row],[Order ID]], List_of_orders[Order ID], List_of_orders[CustomerName])</f>
        <v>Sanjana</v>
      </c>
      <c r="J689" s="7" t="str">
        <f>_xlfn.XLOOKUP(Order_Details[[#This Row],[Order ID]], List_of_orders[Order ID], List_of_orders[City])</f>
        <v>Indore</v>
      </c>
      <c r="K689" s="8" t="str">
        <f>TEXT(Order_Details[[#This Row],[Order Date]], "YY-MMM")</f>
        <v>18-Oct</v>
      </c>
      <c r="L689" s="11">
        <f>Order_Details[[#This Row],[Profit]]/Order_Details[[#This Row],[Amount]]</f>
        <v>0.3193717277486911</v>
      </c>
      <c r="M689" s="8">
        <f>YEAR(Order_Details[[#This Row],[Order Date]])</f>
        <v>2018</v>
      </c>
      <c r="N689" s="8">
        <f>ROUNDUP(MONTH(Order_Details[[#This Row],[Order Date]])/3, 0)</f>
        <v>4</v>
      </c>
    </row>
    <row r="690" spans="1:14">
      <c r="A690" s="1" t="s">
        <v>595</v>
      </c>
      <c r="B690" s="1">
        <v>161</v>
      </c>
      <c r="C690" s="1">
        <v>40</v>
      </c>
      <c r="D690" s="1">
        <v>3</v>
      </c>
      <c r="E690" s="1" t="s">
        <v>1076</v>
      </c>
      <c r="F690" s="1" t="s">
        <v>1102</v>
      </c>
      <c r="G690" s="7" t="str">
        <f>_xlfn.XLOOKUP(Order_Details[[#This Row],[Order ID]], List_of_orders[Order ID], List_of_orders[State])</f>
        <v>Madhya Pradesh</v>
      </c>
      <c r="H690" s="10">
        <f>_xlfn.XLOOKUP(Order_Details[[#This Row],[Order ID]], List_of_orders[Order ID], List_of_orders[Order Date (Clean)])</f>
        <v>43402</v>
      </c>
      <c r="I690" s="7" t="str">
        <f>_xlfn.XLOOKUP(Order_Details[[#This Row],[Order ID]], List_of_orders[Order ID], List_of_orders[CustomerName])</f>
        <v>Sanjana</v>
      </c>
      <c r="J690" s="7" t="str">
        <f>_xlfn.XLOOKUP(Order_Details[[#This Row],[Order ID]], List_of_orders[Order ID], List_of_orders[City])</f>
        <v>Indore</v>
      </c>
      <c r="K690" s="8" t="str">
        <f>TEXT(Order_Details[[#This Row],[Order Date]], "YY-MMM")</f>
        <v>18-Oct</v>
      </c>
      <c r="L690" s="11">
        <f>Order_Details[[#This Row],[Profit]]/Order_Details[[#This Row],[Amount]]</f>
        <v>0.2484472049689441</v>
      </c>
      <c r="M690" s="8">
        <f>YEAR(Order_Details[[#This Row],[Order Date]])</f>
        <v>2018</v>
      </c>
      <c r="N690" s="8">
        <f>ROUNDUP(MONTH(Order_Details[[#This Row],[Order Date]])/3, 0)</f>
        <v>4</v>
      </c>
    </row>
    <row r="691" spans="1:14">
      <c r="A691" s="1" t="s">
        <v>596</v>
      </c>
      <c r="B691" s="1">
        <v>1250</v>
      </c>
      <c r="C691" s="1">
        <v>486</v>
      </c>
      <c r="D691" s="1">
        <v>7</v>
      </c>
      <c r="E691" s="1" t="s">
        <v>1076</v>
      </c>
      <c r="F691" s="1" t="s">
        <v>1106</v>
      </c>
      <c r="G691" s="7" t="str">
        <f>_xlfn.XLOOKUP(Order_Details[[#This Row],[Order ID]], List_of_orders[Order ID], List_of_orders[State])</f>
        <v>West Bengal</v>
      </c>
      <c r="H691" s="10">
        <f>_xlfn.XLOOKUP(Order_Details[[#This Row],[Order ID]], List_of_orders[Order ID], List_of_orders[Order Date (Clean)])</f>
        <v>43403</v>
      </c>
      <c r="I691" s="7" t="str">
        <f>_xlfn.XLOOKUP(Order_Details[[#This Row],[Order ID]], List_of_orders[Order ID], List_of_orders[CustomerName])</f>
        <v>Pranjali</v>
      </c>
      <c r="J691" s="7" t="str">
        <f>_xlfn.XLOOKUP(Order_Details[[#This Row],[Order ID]], List_of_orders[Order ID], List_of_orders[City])</f>
        <v>Kolkata</v>
      </c>
      <c r="K691" s="8" t="str">
        <f>TEXT(Order_Details[[#This Row],[Order Date]], "YY-MMM")</f>
        <v>18-Oct</v>
      </c>
      <c r="L691" s="11">
        <f>Order_Details[[#This Row],[Profit]]/Order_Details[[#This Row],[Amount]]</f>
        <v>0.38879999999999998</v>
      </c>
      <c r="M691" s="8">
        <f>YEAR(Order_Details[[#This Row],[Order Date]])</f>
        <v>2018</v>
      </c>
      <c r="N691" s="8">
        <f>ROUNDUP(MONTH(Order_Details[[#This Row],[Order Date]])/3, 0)</f>
        <v>4</v>
      </c>
    </row>
    <row r="692" spans="1:14">
      <c r="A692" s="1" t="s">
        <v>599</v>
      </c>
      <c r="B692" s="1">
        <v>246</v>
      </c>
      <c r="C692" s="1">
        <v>61</v>
      </c>
      <c r="D692" s="1">
        <v>2</v>
      </c>
      <c r="E692" s="1" t="s">
        <v>1075</v>
      </c>
      <c r="F692" s="1" t="s">
        <v>1101</v>
      </c>
      <c r="G692" s="7" t="str">
        <f>_xlfn.XLOOKUP(Order_Details[[#This Row],[Order ID]], List_of_orders[Order ID], List_of_orders[State])</f>
        <v>Karnataka</v>
      </c>
      <c r="H692" s="10">
        <f>_xlfn.XLOOKUP(Order_Details[[#This Row],[Order ID]], List_of_orders[Order ID], List_of_orders[Order Date (Clean)])</f>
        <v>43404</v>
      </c>
      <c r="I692" s="7" t="str">
        <f>_xlfn.XLOOKUP(Order_Details[[#This Row],[Order ID]], List_of_orders[Order ID], List_of_orders[CustomerName])</f>
        <v>Sneha</v>
      </c>
      <c r="J692" s="7" t="str">
        <f>_xlfn.XLOOKUP(Order_Details[[#This Row],[Order ID]], List_of_orders[Order ID], List_of_orders[City])</f>
        <v>Bangalore</v>
      </c>
      <c r="K692" s="8" t="str">
        <f>TEXT(Order_Details[[#This Row],[Order Date]], "YY-MMM")</f>
        <v>18-Oct</v>
      </c>
      <c r="L692" s="11">
        <f>Order_Details[[#This Row],[Profit]]/Order_Details[[#This Row],[Amount]]</f>
        <v>0.24796747967479674</v>
      </c>
      <c r="M692" s="8">
        <f>YEAR(Order_Details[[#This Row],[Order Date]])</f>
        <v>2018</v>
      </c>
      <c r="N692" s="8">
        <f>ROUNDUP(MONTH(Order_Details[[#This Row],[Order Date]])/3, 0)</f>
        <v>4</v>
      </c>
    </row>
    <row r="693" spans="1:14">
      <c r="A693" s="1" t="s">
        <v>599</v>
      </c>
      <c r="B693" s="1">
        <v>298</v>
      </c>
      <c r="C693" s="1">
        <v>74</v>
      </c>
      <c r="D693" s="1">
        <v>2</v>
      </c>
      <c r="E693" s="1" t="s">
        <v>1075</v>
      </c>
      <c r="F693" s="1" t="s">
        <v>1101</v>
      </c>
      <c r="G693" s="7" t="str">
        <f>_xlfn.XLOOKUP(Order_Details[[#This Row],[Order ID]], List_of_orders[Order ID], List_of_orders[State])</f>
        <v>Karnataka</v>
      </c>
      <c r="H693" s="10">
        <f>_xlfn.XLOOKUP(Order_Details[[#This Row],[Order ID]], List_of_orders[Order ID], List_of_orders[Order Date (Clean)])</f>
        <v>43404</v>
      </c>
      <c r="I693" s="7" t="str">
        <f>_xlfn.XLOOKUP(Order_Details[[#This Row],[Order ID]], List_of_orders[Order ID], List_of_orders[CustomerName])</f>
        <v>Sneha</v>
      </c>
      <c r="J693" s="7" t="str">
        <f>_xlfn.XLOOKUP(Order_Details[[#This Row],[Order ID]], List_of_orders[Order ID], List_of_orders[City])</f>
        <v>Bangalore</v>
      </c>
      <c r="K693" s="8" t="str">
        <f>TEXT(Order_Details[[#This Row],[Order Date]], "YY-MMM")</f>
        <v>18-Oct</v>
      </c>
      <c r="L693" s="11">
        <f>Order_Details[[#This Row],[Profit]]/Order_Details[[#This Row],[Amount]]</f>
        <v>0.24832214765100671</v>
      </c>
      <c r="M693" s="8">
        <f>YEAR(Order_Details[[#This Row],[Order Date]])</f>
        <v>2018</v>
      </c>
      <c r="N693" s="8">
        <f>ROUNDUP(MONTH(Order_Details[[#This Row],[Order Date]])/3, 0)</f>
        <v>4</v>
      </c>
    </row>
    <row r="694" spans="1:14">
      <c r="A694" s="1" t="s">
        <v>599</v>
      </c>
      <c r="B694" s="1">
        <v>262</v>
      </c>
      <c r="C694" s="1">
        <v>64</v>
      </c>
      <c r="D694" s="1">
        <v>6</v>
      </c>
      <c r="E694" s="1" t="s">
        <v>1076</v>
      </c>
      <c r="F694" s="1" t="s">
        <v>1106</v>
      </c>
      <c r="G694" s="7" t="str">
        <f>_xlfn.XLOOKUP(Order_Details[[#This Row],[Order ID]], List_of_orders[Order ID], List_of_orders[State])</f>
        <v>Karnataka</v>
      </c>
      <c r="H694" s="10">
        <f>_xlfn.XLOOKUP(Order_Details[[#This Row],[Order ID]], List_of_orders[Order ID], List_of_orders[Order Date (Clean)])</f>
        <v>43404</v>
      </c>
      <c r="I694" s="7" t="str">
        <f>_xlfn.XLOOKUP(Order_Details[[#This Row],[Order ID]], List_of_orders[Order ID], List_of_orders[CustomerName])</f>
        <v>Sneha</v>
      </c>
      <c r="J694" s="7" t="str">
        <f>_xlfn.XLOOKUP(Order_Details[[#This Row],[Order ID]], List_of_orders[Order ID], List_of_orders[City])</f>
        <v>Bangalore</v>
      </c>
      <c r="K694" s="8" t="str">
        <f>TEXT(Order_Details[[#This Row],[Order Date]], "YY-MMM")</f>
        <v>18-Oct</v>
      </c>
      <c r="L694" s="11">
        <f>Order_Details[[#This Row],[Profit]]/Order_Details[[#This Row],[Amount]]</f>
        <v>0.24427480916030533</v>
      </c>
      <c r="M694" s="8">
        <f>YEAR(Order_Details[[#This Row],[Order Date]])</f>
        <v>2018</v>
      </c>
      <c r="N694" s="8">
        <f>ROUNDUP(MONTH(Order_Details[[#This Row],[Order Date]])/3, 0)</f>
        <v>4</v>
      </c>
    </row>
    <row r="695" spans="1:14">
      <c r="A695" s="1" t="s">
        <v>602</v>
      </c>
      <c r="B695" s="1">
        <v>22</v>
      </c>
      <c r="C695" s="1">
        <v>11</v>
      </c>
      <c r="D695" s="1">
        <v>2</v>
      </c>
      <c r="E695" s="1" t="s">
        <v>1076</v>
      </c>
      <c r="F695" s="1" t="s">
        <v>1117</v>
      </c>
      <c r="G695" s="7" t="str">
        <f>_xlfn.XLOOKUP(Order_Details[[#This Row],[Order ID]], List_of_orders[Order ID], List_of_orders[State])</f>
        <v>Maharashtra</v>
      </c>
      <c r="H695" s="10">
        <f>_xlfn.XLOOKUP(Order_Details[[#This Row],[Order ID]], List_of_orders[Order ID], List_of_orders[Order Date (Clean)])</f>
        <v>43405</v>
      </c>
      <c r="I695" s="7" t="str">
        <f>_xlfn.XLOOKUP(Order_Details[[#This Row],[Order ID]], List_of_orders[Order ID], List_of_orders[CustomerName])</f>
        <v>Ashvini</v>
      </c>
      <c r="J695" s="7" t="str">
        <f>_xlfn.XLOOKUP(Order_Details[[#This Row],[Order ID]], List_of_orders[Order ID], List_of_orders[City])</f>
        <v>Mumbai</v>
      </c>
      <c r="K695" s="8" t="str">
        <f>TEXT(Order_Details[[#This Row],[Order Date]], "YY-MMM")</f>
        <v>18-Nov</v>
      </c>
      <c r="L695" s="11">
        <f>Order_Details[[#This Row],[Profit]]/Order_Details[[#This Row],[Amount]]</f>
        <v>0.5</v>
      </c>
      <c r="M695" s="8">
        <f>YEAR(Order_Details[[#This Row],[Order Date]])</f>
        <v>2018</v>
      </c>
      <c r="N695" s="8">
        <f>ROUNDUP(MONTH(Order_Details[[#This Row],[Order Date]])/3, 0)</f>
        <v>4</v>
      </c>
    </row>
    <row r="696" spans="1:14">
      <c r="A696" s="1" t="s">
        <v>604</v>
      </c>
      <c r="B696" s="1">
        <v>1543</v>
      </c>
      <c r="C696" s="1">
        <v>370</v>
      </c>
      <c r="D696" s="1">
        <v>8</v>
      </c>
      <c r="E696" s="1" t="s">
        <v>1077</v>
      </c>
      <c r="F696" s="1" t="s">
        <v>1114</v>
      </c>
      <c r="G696" s="7" t="str">
        <f>_xlfn.XLOOKUP(Order_Details[[#This Row],[Order ID]], List_of_orders[Order ID], List_of_orders[State])</f>
        <v>Madhya Pradesh</v>
      </c>
      <c r="H696" s="10">
        <f>_xlfn.XLOOKUP(Order_Details[[#This Row],[Order ID]], List_of_orders[Order ID], List_of_orders[Order Date (Clean)])</f>
        <v>43406</v>
      </c>
      <c r="I696" s="7" t="str">
        <f>_xlfn.XLOOKUP(Order_Details[[#This Row],[Order ID]], List_of_orders[Order ID], List_of_orders[CustomerName])</f>
        <v>Sheetal</v>
      </c>
      <c r="J696" s="7" t="str">
        <f>_xlfn.XLOOKUP(Order_Details[[#This Row],[Order ID]], List_of_orders[Order ID], List_of_orders[City])</f>
        <v>Indore</v>
      </c>
      <c r="K696" s="8" t="str">
        <f>TEXT(Order_Details[[#This Row],[Order Date]], "YY-MMM")</f>
        <v>18-Nov</v>
      </c>
      <c r="L696" s="11">
        <f>Order_Details[[#This Row],[Profit]]/Order_Details[[#This Row],[Amount]]</f>
        <v>0.23979261179520414</v>
      </c>
      <c r="M696" s="8">
        <f>YEAR(Order_Details[[#This Row],[Order Date]])</f>
        <v>2018</v>
      </c>
      <c r="N696" s="8">
        <f>ROUNDUP(MONTH(Order_Details[[#This Row],[Order Date]])/3, 0)</f>
        <v>4</v>
      </c>
    </row>
    <row r="697" spans="1:14">
      <c r="A697" s="1" t="s">
        <v>605</v>
      </c>
      <c r="B697" s="1">
        <v>50</v>
      </c>
      <c r="C697" s="1">
        <v>7</v>
      </c>
      <c r="D697" s="1">
        <v>6</v>
      </c>
      <c r="E697" s="1" t="s">
        <v>1076</v>
      </c>
      <c r="F697" s="1" t="s">
        <v>1117</v>
      </c>
      <c r="G697" s="7" t="str">
        <f>_xlfn.XLOOKUP(Order_Details[[#This Row],[Order ID]], List_of_orders[Order ID], List_of_orders[State])</f>
        <v>Maharashtra</v>
      </c>
      <c r="H697" s="10">
        <f>_xlfn.XLOOKUP(Order_Details[[#This Row],[Order ID]], List_of_orders[Order ID], List_of_orders[Order Date (Clean)])</f>
        <v>43407</v>
      </c>
      <c r="I697" s="7" t="str">
        <f>_xlfn.XLOOKUP(Order_Details[[#This Row],[Order ID]], List_of_orders[Order ID], List_of_orders[CustomerName])</f>
        <v>Mrunal</v>
      </c>
      <c r="J697" s="7" t="str">
        <f>_xlfn.XLOOKUP(Order_Details[[#This Row],[Order ID]], List_of_orders[Order ID], List_of_orders[City])</f>
        <v>Mumbai</v>
      </c>
      <c r="K697" s="8" t="str">
        <f>TEXT(Order_Details[[#This Row],[Order Date]], "YY-MMM")</f>
        <v>18-Nov</v>
      </c>
      <c r="L697" s="11">
        <f>Order_Details[[#This Row],[Profit]]/Order_Details[[#This Row],[Amount]]</f>
        <v>0.14000000000000001</v>
      </c>
      <c r="M697" s="8">
        <f>YEAR(Order_Details[[#This Row],[Order Date]])</f>
        <v>2018</v>
      </c>
      <c r="N697" s="8">
        <f>ROUNDUP(MONTH(Order_Details[[#This Row],[Order Date]])/3, 0)</f>
        <v>4</v>
      </c>
    </row>
    <row r="698" spans="1:14">
      <c r="A698" s="1" t="s">
        <v>605</v>
      </c>
      <c r="B698" s="1">
        <v>214</v>
      </c>
      <c r="C698" s="1">
        <v>30</v>
      </c>
      <c r="D698" s="1">
        <v>3</v>
      </c>
      <c r="E698" s="1" t="s">
        <v>1077</v>
      </c>
      <c r="F698" s="1" t="s">
        <v>1115</v>
      </c>
      <c r="G698" s="7" t="str">
        <f>_xlfn.XLOOKUP(Order_Details[[#This Row],[Order ID]], List_of_orders[Order ID], List_of_orders[State])</f>
        <v>Maharashtra</v>
      </c>
      <c r="H698" s="10">
        <f>_xlfn.XLOOKUP(Order_Details[[#This Row],[Order ID]], List_of_orders[Order ID], List_of_orders[Order Date (Clean)])</f>
        <v>43407</v>
      </c>
      <c r="I698" s="7" t="str">
        <f>_xlfn.XLOOKUP(Order_Details[[#This Row],[Order ID]], List_of_orders[Order ID], List_of_orders[CustomerName])</f>
        <v>Mrunal</v>
      </c>
      <c r="J698" s="7" t="str">
        <f>_xlfn.XLOOKUP(Order_Details[[#This Row],[Order ID]], List_of_orders[Order ID], List_of_orders[City])</f>
        <v>Mumbai</v>
      </c>
      <c r="K698" s="8" t="str">
        <f>TEXT(Order_Details[[#This Row],[Order Date]], "YY-MMM")</f>
        <v>18-Nov</v>
      </c>
      <c r="L698" s="11">
        <f>Order_Details[[#This Row],[Profit]]/Order_Details[[#This Row],[Amount]]</f>
        <v>0.14018691588785046</v>
      </c>
      <c r="M698" s="8">
        <f>YEAR(Order_Details[[#This Row],[Order Date]])</f>
        <v>2018</v>
      </c>
      <c r="N698" s="8">
        <f>ROUNDUP(MONTH(Order_Details[[#This Row],[Order Date]])/3, 0)</f>
        <v>4</v>
      </c>
    </row>
    <row r="699" spans="1:14">
      <c r="A699" s="1" t="s">
        <v>605</v>
      </c>
      <c r="B699" s="1">
        <v>255</v>
      </c>
      <c r="C699" s="1">
        <v>74</v>
      </c>
      <c r="D699" s="1">
        <v>5</v>
      </c>
      <c r="E699" s="1" t="s">
        <v>1076</v>
      </c>
      <c r="F699" s="1" t="s">
        <v>1103</v>
      </c>
      <c r="G699" s="7" t="str">
        <f>_xlfn.XLOOKUP(Order_Details[[#This Row],[Order ID]], List_of_orders[Order ID], List_of_orders[State])</f>
        <v>Maharashtra</v>
      </c>
      <c r="H699" s="10">
        <f>_xlfn.XLOOKUP(Order_Details[[#This Row],[Order ID]], List_of_orders[Order ID], List_of_orders[Order Date (Clean)])</f>
        <v>43407</v>
      </c>
      <c r="I699" s="7" t="str">
        <f>_xlfn.XLOOKUP(Order_Details[[#This Row],[Order ID]], List_of_orders[Order ID], List_of_orders[CustomerName])</f>
        <v>Mrunal</v>
      </c>
      <c r="J699" s="7" t="str">
        <f>_xlfn.XLOOKUP(Order_Details[[#This Row],[Order ID]], List_of_orders[Order ID], List_of_orders[City])</f>
        <v>Mumbai</v>
      </c>
      <c r="K699" s="8" t="str">
        <f>TEXT(Order_Details[[#This Row],[Order Date]], "YY-MMM")</f>
        <v>18-Nov</v>
      </c>
      <c r="L699" s="11">
        <f>Order_Details[[#This Row],[Profit]]/Order_Details[[#This Row],[Amount]]</f>
        <v>0.29019607843137257</v>
      </c>
      <c r="M699" s="8">
        <f>YEAR(Order_Details[[#This Row],[Order Date]])</f>
        <v>2018</v>
      </c>
      <c r="N699" s="8">
        <f>ROUNDUP(MONTH(Order_Details[[#This Row],[Order Date]])/3, 0)</f>
        <v>4</v>
      </c>
    </row>
    <row r="700" spans="1:14">
      <c r="A700" s="1" t="s">
        <v>605</v>
      </c>
      <c r="B700" s="1">
        <v>18</v>
      </c>
      <c r="C700" s="1">
        <v>6</v>
      </c>
      <c r="D700" s="1">
        <v>3</v>
      </c>
      <c r="E700" s="1" t="s">
        <v>1076</v>
      </c>
      <c r="F700" s="1" t="s">
        <v>1103</v>
      </c>
      <c r="G700" s="7" t="str">
        <f>_xlfn.XLOOKUP(Order_Details[[#This Row],[Order ID]], List_of_orders[Order ID], List_of_orders[State])</f>
        <v>Maharashtra</v>
      </c>
      <c r="H700" s="10">
        <f>_xlfn.XLOOKUP(Order_Details[[#This Row],[Order ID]], List_of_orders[Order ID], List_of_orders[Order Date (Clean)])</f>
        <v>43407</v>
      </c>
      <c r="I700" s="7" t="str">
        <f>_xlfn.XLOOKUP(Order_Details[[#This Row],[Order ID]], List_of_orders[Order ID], List_of_orders[CustomerName])</f>
        <v>Mrunal</v>
      </c>
      <c r="J700" s="7" t="str">
        <f>_xlfn.XLOOKUP(Order_Details[[#This Row],[Order ID]], List_of_orders[Order ID], List_of_orders[City])</f>
        <v>Mumbai</v>
      </c>
      <c r="K700" s="8" t="str">
        <f>TEXT(Order_Details[[#This Row],[Order Date]], "YY-MMM")</f>
        <v>18-Nov</v>
      </c>
      <c r="L700" s="11">
        <f>Order_Details[[#This Row],[Profit]]/Order_Details[[#This Row],[Amount]]</f>
        <v>0.33333333333333331</v>
      </c>
      <c r="M700" s="8">
        <f>YEAR(Order_Details[[#This Row],[Order Date]])</f>
        <v>2018</v>
      </c>
      <c r="N700" s="8">
        <f>ROUNDUP(MONTH(Order_Details[[#This Row],[Order Date]])/3, 0)</f>
        <v>4</v>
      </c>
    </row>
    <row r="701" spans="1:14">
      <c r="A701" s="1" t="s">
        <v>605</v>
      </c>
      <c r="B701" s="1">
        <v>45</v>
      </c>
      <c r="C701" s="1">
        <v>0</v>
      </c>
      <c r="D701" s="1">
        <v>2</v>
      </c>
      <c r="E701" s="1" t="s">
        <v>1076</v>
      </c>
      <c r="F701" s="1" t="s">
        <v>1102</v>
      </c>
      <c r="G701" s="7" t="str">
        <f>_xlfn.XLOOKUP(Order_Details[[#This Row],[Order ID]], List_of_orders[Order ID], List_of_orders[State])</f>
        <v>Maharashtra</v>
      </c>
      <c r="H701" s="10">
        <f>_xlfn.XLOOKUP(Order_Details[[#This Row],[Order ID]], List_of_orders[Order ID], List_of_orders[Order Date (Clean)])</f>
        <v>43407</v>
      </c>
      <c r="I701" s="7" t="str">
        <f>_xlfn.XLOOKUP(Order_Details[[#This Row],[Order ID]], List_of_orders[Order ID], List_of_orders[CustomerName])</f>
        <v>Mrunal</v>
      </c>
      <c r="J701" s="7" t="str">
        <f>_xlfn.XLOOKUP(Order_Details[[#This Row],[Order ID]], List_of_orders[Order ID], List_of_orders[City])</f>
        <v>Mumbai</v>
      </c>
      <c r="K701" s="8" t="str">
        <f>TEXT(Order_Details[[#This Row],[Order Date]], "YY-MMM")</f>
        <v>18-Nov</v>
      </c>
      <c r="L701" s="11">
        <f>Order_Details[[#This Row],[Profit]]/Order_Details[[#This Row],[Amount]]</f>
        <v>0</v>
      </c>
      <c r="M701" s="8">
        <f>YEAR(Order_Details[[#This Row],[Order Date]])</f>
        <v>2018</v>
      </c>
      <c r="N701" s="8">
        <f>ROUNDUP(MONTH(Order_Details[[#This Row],[Order Date]])/3, 0)</f>
        <v>4</v>
      </c>
    </row>
    <row r="702" spans="1:14">
      <c r="A702" s="1" t="s">
        <v>607</v>
      </c>
      <c r="B702" s="1">
        <v>86</v>
      </c>
      <c r="C702" s="1">
        <v>8</v>
      </c>
      <c r="D702" s="1">
        <v>2</v>
      </c>
      <c r="E702" s="1" t="s">
        <v>1076</v>
      </c>
      <c r="F702" s="1" t="s">
        <v>1106</v>
      </c>
      <c r="G702" s="7" t="str">
        <f>_xlfn.XLOOKUP(Order_Details[[#This Row],[Order ID]], List_of_orders[Order ID], List_of_orders[State])</f>
        <v>Madhya Pradesh</v>
      </c>
      <c r="H702" s="10">
        <f>_xlfn.XLOOKUP(Order_Details[[#This Row],[Order ID]], List_of_orders[Order ID], List_of_orders[Order Date (Clean)])</f>
        <v>43407</v>
      </c>
      <c r="I702" s="7" t="str">
        <f>_xlfn.XLOOKUP(Order_Details[[#This Row],[Order ID]], List_of_orders[Order ID], List_of_orders[CustomerName])</f>
        <v>Swati</v>
      </c>
      <c r="J702" s="7" t="str">
        <f>_xlfn.XLOOKUP(Order_Details[[#This Row],[Order ID]], List_of_orders[Order ID], List_of_orders[City])</f>
        <v>Indore</v>
      </c>
      <c r="K702" s="8" t="str">
        <f>TEXT(Order_Details[[#This Row],[Order Date]], "YY-MMM")</f>
        <v>18-Nov</v>
      </c>
      <c r="L702" s="11">
        <f>Order_Details[[#This Row],[Profit]]/Order_Details[[#This Row],[Amount]]</f>
        <v>9.3023255813953487E-2</v>
      </c>
      <c r="M702" s="8">
        <f>YEAR(Order_Details[[#This Row],[Order Date]])</f>
        <v>2018</v>
      </c>
      <c r="N702" s="8">
        <f>ROUNDUP(MONTH(Order_Details[[#This Row],[Order Date]])/3, 0)</f>
        <v>4</v>
      </c>
    </row>
    <row r="703" spans="1:14">
      <c r="A703" s="1" t="s">
        <v>609</v>
      </c>
      <c r="B703" s="1">
        <v>274</v>
      </c>
      <c r="C703" s="1">
        <v>-7</v>
      </c>
      <c r="D703" s="1">
        <v>4</v>
      </c>
      <c r="E703" s="1" t="s">
        <v>1077</v>
      </c>
      <c r="F703" s="1" t="s">
        <v>1105</v>
      </c>
      <c r="G703" s="7" t="str">
        <f>_xlfn.XLOOKUP(Order_Details[[#This Row],[Order ID]], List_of_orders[Order ID], List_of_orders[State])</f>
        <v xml:space="preserve">Kerala </v>
      </c>
      <c r="H703" s="10">
        <f>_xlfn.XLOOKUP(Order_Details[[#This Row],[Order ID]], List_of_orders[Order ID], List_of_orders[Order Date (Clean)])</f>
        <v>43407</v>
      </c>
      <c r="I703" s="7" t="str">
        <f>_xlfn.XLOOKUP(Order_Details[[#This Row],[Order ID]], List_of_orders[Order ID], List_of_orders[CustomerName])</f>
        <v>Snel</v>
      </c>
      <c r="J703" s="7" t="str">
        <f>_xlfn.XLOOKUP(Order_Details[[#This Row],[Order ID]], List_of_orders[Order ID], List_of_orders[City])</f>
        <v>Thiruvananthapuram</v>
      </c>
      <c r="K703" s="8" t="str">
        <f>TEXT(Order_Details[[#This Row],[Order Date]], "YY-MMM")</f>
        <v>18-Nov</v>
      </c>
      <c r="L703" s="11">
        <f>Order_Details[[#This Row],[Profit]]/Order_Details[[#This Row],[Amount]]</f>
        <v>-2.5547445255474453E-2</v>
      </c>
      <c r="M703" s="8">
        <f>YEAR(Order_Details[[#This Row],[Order Date]])</f>
        <v>2018</v>
      </c>
      <c r="N703" s="8">
        <f>ROUNDUP(MONTH(Order_Details[[#This Row],[Order Date]])/3, 0)</f>
        <v>4</v>
      </c>
    </row>
    <row r="704" spans="1:14">
      <c r="A704" s="1" t="s">
        <v>609</v>
      </c>
      <c r="B704" s="1">
        <v>82</v>
      </c>
      <c r="C704" s="1">
        <v>33</v>
      </c>
      <c r="D704" s="1">
        <v>4</v>
      </c>
      <c r="E704" s="1" t="s">
        <v>1076</v>
      </c>
      <c r="F704" s="1" t="s">
        <v>1109</v>
      </c>
      <c r="G704" s="7" t="str">
        <f>_xlfn.XLOOKUP(Order_Details[[#This Row],[Order ID]], List_of_orders[Order ID], List_of_orders[State])</f>
        <v xml:space="preserve">Kerala </v>
      </c>
      <c r="H704" s="10">
        <f>_xlfn.XLOOKUP(Order_Details[[#This Row],[Order ID]], List_of_orders[Order ID], List_of_orders[Order Date (Clean)])</f>
        <v>43407</v>
      </c>
      <c r="I704" s="7" t="str">
        <f>_xlfn.XLOOKUP(Order_Details[[#This Row],[Order ID]], List_of_orders[Order ID], List_of_orders[CustomerName])</f>
        <v>Snel</v>
      </c>
      <c r="J704" s="7" t="str">
        <f>_xlfn.XLOOKUP(Order_Details[[#This Row],[Order ID]], List_of_orders[Order ID], List_of_orders[City])</f>
        <v>Thiruvananthapuram</v>
      </c>
      <c r="K704" s="8" t="str">
        <f>TEXT(Order_Details[[#This Row],[Order Date]], "YY-MMM")</f>
        <v>18-Nov</v>
      </c>
      <c r="L704" s="11">
        <f>Order_Details[[#This Row],[Profit]]/Order_Details[[#This Row],[Amount]]</f>
        <v>0.40243902439024393</v>
      </c>
      <c r="M704" s="8">
        <f>YEAR(Order_Details[[#This Row],[Order Date]])</f>
        <v>2018</v>
      </c>
      <c r="N704" s="8">
        <f>ROUNDUP(MONTH(Order_Details[[#This Row],[Order Date]])/3, 0)</f>
        <v>4</v>
      </c>
    </row>
    <row r="705" spans="1:14">
      <c r="A705" s="1" t="s">
        <v>609</v>
      </c>
      <c r="B705" s="1">
        <v>757</v>
      </c>
      <c r="C705" s="1">
        <v>371</v>
      </c>
      <c r="D705" s="1">
        <v>2</v>
      </c>
      <c r="E705" s="1" t="s">
        <v>1077</v>
      </c>
      <c r="F705" s="1" t="s">
        <v>1114</v>
      </c>
      <c r="G705" s="7" t="str">
        <f>_xlfn.XLOOKUP(Order_Details[[#This Row],[Order ID]], List_of_orders[Order ID], List_of_orders[State])</f>
        <v xml:space="preserve">Kerala </v>
      </c>
      <c r="H705" s="10">
        <f>_xlfn.XLOOKUP(Order_Details[[#This Row],[Order ID]], List_of_orders[Order ID], List_of_orders[Order Date (Clean)])</f>
        <v>43407</v>
      </c>
      <c r="I705" s="7" t="str">
        <f>_xlfn.XLOOKUP(Order_Details[[#This Row],[Order ID]], List_of_orders[Order ID], List_of_orders[CustomerName])</f>
        <v>Snel</v>
      </c>
      <c r="J705" s="7" t="str">
        <f>_xlfn.XLOOKUP(Order_Details[[#This Row],[Order ID]], List_of_orders[Order ID], List_of_orders[City])</f>
        <v>Thiruvananthapuram</v>
      </c>
      <c r="K705" s="8" t="str">
        <f>TEXT(Order_Details[[#This Row],[Order Date]], "YY-MMM")</f>
        <v>18-Nov</v>
      </c>
      <c r="L705" s="11">
        <f>Order_Details[[#This Row],[Profit]]/Order_Details[[#This Row],[Amount]]</f>
        <v>0.49009247027741082</v>
      </c>
      <c r="M705" s="8">
        <f>YEAR(Order_Details[[#This Row],[Order Date]])</f>
        <v>2018</v>
      </c>
      <c r="N705" s="8">
        <f>ROUNDUP(MONTH(Order_Details[[#This Row],[Order Date]])/3, 0)</f>
        <v>4</v>
      </c>
    </row>
    <row r="706" spans="1:14">
      <c r="A706" s="1" t="s">
        <v>609</v>
      </c>
      <c r="B706" s="1">
        <v>132</v>
      </c>
      <c r="C706" s="1">
        <v>54</v>
      </c>
      <c r="D706" s="1">
        <v>5</v>
      </c>
      <c r="E706" s="1" t="s">
        <v>1076</v>
      </c>
      <c r="F706" s="1" t="s">
        <v>1102</v>
      </c>
      <c r="G706" s="7" t="str">
        <f>_xlfn.XLOOKUP(Order_Details[[#This Row],[Order ID]], List_of_orders[Order ID], List_of_orders[State])</f>
        <v xml:space="preserve">Kerala </v>
      </c>
      <c r="H706" s="10">
        <f>_xlfn.XLOOKUP(Order_Details[[#This Row],[Order ID]], List_of_orders[Order ID], List_of_orders[Order Date (Clean)])</f>
        <v>43407</v>
      </c>
      <c r="I706" s="7" t="str">
        <f>_xlfn.XLOOKUP(Order_Details[[#This Row],[Order ID]], List_of_orders[Order ID], List_of_orders[CustomerName])</f>
        <v>Snel</v>
      </c>
      <c r="J706" s="7" t="str">
        <f>_xlfn.XLOOKUP(Order_Details[[#This Row],[Order ID]], List_of_orders[Order ID], List_of_orders[City])</f>
        <v>Thiruvananthapuram</v>
      </c>
      <c r="K706" s="8" t="str">
        <f>TEXT(Order_Details[[#This Row],[Order Date]], "YY-MMM")</f>
        <v>18-Nov</v>
      </c>
      <c r="L706" s="11">
        <f>Order_Details[[#This Row],[Profit]]/Order_Details[[#This Row],[Amount]]</f>
        <v>0.40909090909090912</v>
      </c>
      <c r="M706" s="8">
        <f>YEAR(Order_Details[[#This Row],[Order Date]])</f>
        <v>2018</v>
      </c>
      <c r="N706" s="8">
        <f>ROUNDUP(MONTH(Order_Details[[#This Row],[Order Date]])/3, 0)</f>
        <v>4</v>
      </c>
    </row>
    <row r="707" spans="1:14">
      <c r="A707" s="1" t="s">
        <v>611</v>
      </c>
      <c r="B707" s="1">
        <v>94</v>
      </c>
      <c r="C707" s="1">
        <v>7</v>
      </c>
      <c r="D707" s="1">
        <v>7</v>
      </c>
      <c r="E707" s="1" t="s">
        <v>1076</v>
      </c>
      <c r="F707" s="1" t="s">
        <v>1112</v>
      </c>
      <c r="G707" s="7" t="str">
        <f>_xlfn.XLOOKUP(Order_Details[[#This Row],[Order ID]], List_of_orders[Order ID], List_of_orders[State])</f>
        <v>Punjab</v>
      </c>
      <c r="H707" s="10">
        <f>_xlfn.XLOOKUP(Order_Details[[#This Row],[Order ID]], List_of_orders[Order ID], List_of_orders[Order Date (Clean)])</f>
        <v>43407</v>
      </c>
      <c r="I707" s="7" t="str">
        <f>_xlfn.XLOOKUP(Order_Details[[#This Row],[Order ID]], List_of_orders[Order ID], List_of_orders[CustomerName])</f>
        <v>Soodesh</v>
      </c>
      <c r="J707" s="7" t="str">
        <f>_xlfn.XLOOKUP(Order_Details[[#This Row],[Order ID]], List_of_orders[Order ID], List_of_orders[City])</f>
        <v>Chandigarh</v>
      </c>
      <c r="K707" s="8" t="str">
        <f>TEXT(Order_Details[[#This Row],[Order Date]], "YY-MMM")</f>
        <v>18-Nov</v>
      </c>
      <c r="L707" s="11">
        <f>Order_Details[[#This Row],[Profit]]/Order_Details[[#This Row],[Amount]]</f>
        <v>7.4468085106382975E-2</v>
      </c>
      <c r="M707" s="8">
        <f>YEAR(Order_Details[[#This Row],[Order Date]])</f>
        <v>2018</v>
      </c>
      <c r="N707" s="8">
        <f>ROUNDUP(MONTH(Order_Details[[#This Row],[Order Date]])/3, 0)</f>
        <v>4</v>
      </c>
    </row>
    <row r="708" spans="1:14">
      <c r="A708" s="1" t="s">
        <v>613</v>
      </c>
      <c r="B708" s="1">
        <v>643</v>
      </c>
      <c r="C708" s="1">
        <v>225</v>
      </c>
      <c r="D708" s="1">
        <v>2</v>
      </c>
      <c r="E708" s="1" t="s">
        <v>1077</v>
      </c>
      <c r="F708" s="1" t="s">
        <v>1114</v>
      </c>
      <c r="G708" s="7" t="str">
        <f>_xlfn.XLOOKUP(Order_Details[[#This Row],[Order ID]], List_of_orders[Order ID], List_of_orders[State])</f>
        <v>Haryana</v>
      </c>
      <c r="H708" s="10">
        <f>_xlfn.XLOOKUP(Order_Details[[#This Row],[Order ID]], List_of_orders[Order ID], List_of_orders[Order Date (Clean)])</f>
        <v>43407</v>
      </c>
      <c r="I708" s="7" t="str">
        <f>_xlfn.XLOOKUP(Order_Details[[#This Row],[Order ID]], List_of_orders[Order ID], List_of_orders[CustomerName])</f>
        <v>Aniket</v>
      </c>
      <c r="J708" s="7" t="str">
        <f>_xlfn.XLOOKUP(Order_Details[[#This Row],[Order ID]], List_of_orders[Order ID], List_of_orders[City])</f>
        <v>Chandigarh</v>
      </c>
      <c r="K708" s="8" t="str">
        <f>TEXT(Order_Details[[#This Row],[Order Date]], "YY-MMM")</f>
        <v>18-Nov</v>
      </c>
      <c r="L708" s="11">
        <f>Order_Details[[#This Row],[Profit]]/Order_Details[[#This Row],[Amount]]</f>
        <v>0.34992223950233281</v>
      </c>
      <c r="M708" s="8">
        <f>YEAR(Order_Details[[#This Row],[Order Date]])</f>
        <v>2018</v>
      </c>
      <c r="N708" s="8">
        <f>ROUNDUP(MONTH(Order_Details[[#This Row],[Order Date]])/3, 0)</f>
        <v>4</v>
      </c>
    </row>
    <row r="709" spans="1:14">
      <c r="A709" s="1" t="s">
        <v>613</v>
      </c>
      <c r="B709" s="1">
        <v>264</v>
      </c>
      <c r="C709" s="1">
        <v>71</v>
      </c>
      <c r="D709" s="1">
        <v>10</v>
      </c>
      <c r="E709" s="1" t="s">
        <v>1075</v>
      </c>
      <c r="F709" s="1" t="s">
        <v>1116</v>
      </c>
      <c r="G709" s="7" t="str">
        <f>_xlfn.XLOOKUP(Order_Details[[#This Row],[Order ID]], List_of_orders[Order ID], List_of_orders[State])</f>
        <v>Haryana</v>
      </c>
      <c r="H709" s="10">
        <f>_xlfn.XLOOKUP(Order_Details[[#This Row],[Order ID]], List_of_orders[Order ID], List_of_orders[Order Date (Clean)])</f>
        <v>43407</v>
      </c>
      <c r="I709" s="7" t="str">
        <f>_xlfn.XLOOKUP(Order_Details[[#This Row],[Order ID]], List_of_orders[Order ID], List_of_orders[CustomerName])</f>
        <v>Aniket</v>
      </c>
      <c r="J709" s="7" t="str">
        <f>_xlfn.XLOOKUP(Order_Details[[#This Row],[Order ID]], List_of_orders[Order ID], List_of_orders[City])</f>
        <v>Chandigarh</v>
      </c>
      <c r="K709" s="8" t="str">
        <f>TEXT(Order_Details[[#This Row],[Order Date]], "YY-MMM")</f>
        <v>18-Nov</v>
      </c>
      <c r="L709" s="11">
        <f>Order_Details[[#This Row],[Profit]]/Order_Details[[#This Row],[Amount]]</f>
        <v>0.26893939393939392</v>
      </c>
      <c r="M709" s="8">
        <f>YEAR(Order_Details[[#This Row],[Order Date]])</f>
        <v>2018</v>
      </c>
      <c r="N709" s="8">
        <f>ROUNDUP(MONTH(Order_Details[[#This Row],[Order Date]])/3, 0)</f>
        <v>4</v>
      </c>
    </row>
    <row r="710" spans="1:14">
      <c r="A710" s="1" t="s">
        <v>615</v>
      </c>
      <c r="B710" s="1">
        <v>147</v>
      </c>
      <c r="C710" s="1">
        <v>21</v>
      </c>
      <c r="D710" s="1">
        <v>3</v>
      </c>
      <c r="E710" s="1" t="s">
        <v>1075</v>
      </c>
      <c r="F710" s="1" t="s">
        <v>1116</v>
      </c>
      <c r="G710" s="7" t="str">
        <f>_xlfn.XLOOKUP(Order_Details[[#This Row],[Order ID]], List_of_orders[Order ID], List_of_orders[State])</f>
        <v>Himachal Pradesh</v>
      </c>
      <c r="H710" s="10">
        <f>_xlfn.XLOOKUP(Order_Details[[#This Row],[Order ID]], List_of_orders[Order ID], List_of_orders[Order Date (Clean)])</f>
        <v>43407</v>
      </c>
      <c r="I710" s="7" t="str">
        <f>_xlfn.XLOOKUP(Order_Details[[#This Row],[Order ID]], List_of_orders[Order ID], List_of_orders[CustomerName])</f>
        <v>Rohan</v>
      </c>
      <c r="J710" s="7" t="str">
        <f>_xlfn.XLOOKUP(Order_Details[[#This Row],[Order ID]], List_of_orders[Order ID], List_of_orders[City])</f>
        <v>Simla</v>
      </c>
      <c r="K710" s="8" t="str">
        <f>TEXT(Order_Details[[#This Row],[Order Date]], "YY-MMM")</f>
        <v>18-Nov</v>
      </c>
      <c r="L710" s="11">
        <f>Order_Details[[#This Row],[Profit]]/Order_Details[[#This Row],[Amount]]</f>
        <v>0.14285714285714285</v>
      </c>
      <c r="M710" s="8">
        <f>YEAR(Order_Details[[#This Row],[Order Date]])</f>
        <v>2018</v>
      </c>
      <c r="N710" s="8">
        <f>ROUNDUP(MONTH(Order_Details[[#This Row],[Order Date]])/3, 0)</f>
        <v>4</v>
      </c>
    </row>
    <row r="711" spans="1:14">
      <c r="A711" s="1" t="s">
        <v>615</v>
      </c>
      <c r="B711" s="1">
        <v>16</v>
      </c>
      <c r="C711" s="1">
        <v>8</v>
      </c>
      <c r="D711" s="1">
        <v>2</v>
      </c>
      <c r="E711" s="1" t="s">
        <v>1076</v>
      </c>
      <c r="F711" s="1" t="s">
        <v>1103</v>
      </c>
      <c r="G711" s="7" t="str">
        <f>_xlfn.XLOOKUP(Order_Details[[#This Row],[Order ID]], List_of_orders[Order ID], List_of_orders[State])</f>
        <v>Himachal Pradesh</v>
      </c>
      <c r="H711" s="10">
        <f>_xlfn.XLOOKUP(Order_Details[[#This Row],[Order ID]], List_of_orders[Order ID], List_of_orders[Order Date (Clean)])</f>
        <v>43407</v>
      </c>
      <c r="I711" s="7" t="str">
        <f>_xlfn.XLOOKUP(Order_Details[[#This Row],[Order ID]], List_of_orders[Order ID], List_of_orders[CustomerName])</f>
        <v>Rohan</v>
      </c>
      <c r="J711" s="7" t="str">
        <f>_xlfn.XLOOKUP(Order_Details[[#This Row],[Order ID]], List_of_orders[Order ID], List_of_orders[City])</f>
        <v>Simla</v>
      </c>
      <c r="K711" s="8" t="str">
        <f>TEXT(Order_Details[[#This Row],[Order Date]], "YY-MMM")</f>
        <v>18-Nov</v>
      </c>
      <c r="L711" s="11">
        <f>Order_Details[[#This Row],[Profit]]/Order_Details[[#This Row],[Amount]]</f>
        <v>0.5</v>
      </c>
      <c r="M711" s="8">
        <f>YEAR(Order_Details[[#This Row],[Order Date]])</f>
        <v>2018</v>
      </c>
      <c r="N711" s="8">
        <f>ROUNDUP(MONTH(Order_Details[[#This Row],[Order Date]])/3, 0)</f>
        <v>4</v>
      </c>
    </row>
    <row r="712" spans="1:14">
      <c r="A712" s="1" t="s">
        <v>615</v>
      </c>
      <c r="B712" s="1">
        <v>648</v>
      </c>
      <c r="C712" s="1">
        <v>50</v>
      </c>
      <c r="D712" s="1">
        <v>6</v>
      </c>
      <c r="E712" s="1" t="s">
        <v>1077</v>
      </c>
      <c r="F712" s="1" t="s">
        <v>1104</v>
      </c>
      <c r="G712" s="7" t="str">
        <f>_xlfn.XLOOKUP(Order_Details[[#This Row],[Order ID]], List_of_orders[Order ID], List_of_orders[State])</f>
        <v>Himachal Pradesh</v>
      </c>
      <c r="H712" s="10">
        <f>_xlfn.XLOOKUP(Order_Details[[#This Row],[Order ID]], List_of_orders[Order ID], List_of_orders[Order Date (Clean)])</f>
        <v>43407</v>
      </c>
      <c r="I712" s="7" t="str">
        <f>_xlfn.XLOOKUP(Order_Details[[#This Row],[Order ID]], List_of_orders[Order ID], List_of_orders[CustomerName])</f>
        <v>Rohan</v>
      </c>
      <c r="J712" s="7" t="str">
        <f>_xlfn.XLOOKUP(Order_Details[[#This Row],[Order ID]], List_of_orders[Order ID], List_of_orders[City])</f>
        <v>Simla</v>
      </c>
      <c r="K712" s="8" t="str">
        <f>TEXT(Order_Details[[#This Row],[Order Date]], "YY-MMM")</f>
        <v>18-Nov</v>
      </c>
      <c r="L712" s="11">
        <f>Order_Details[[#This Row],[Profit]]/Order_Details[[#This Row],[Amount]]</f>
        <v>7.716049382716049E-2</v>
      </c>
      <c r="M712" s="8">
        <f>YEAR(Order_Details[[#This Row],[Order Date]])</f>
        <v>2018</v>
      </c>
      <c r="N712" s="8">
        <f>ROUNDUP(MONTH(Order_Details[[#This Row],[Order Date]])/3, 0)</f>
        <v>4</v>
      </c>
    </row>
    <row r="713" spans="1:14">
      <c r="A713" s="1" t="s">
        <v>616</v>
      </c>
      <c r="B713" s="1">
        <v>336</v>
      </c>
      <c r="C713" s="1">
        <v>123</v>
      </c>
      <c r="D713" s="1">
        <v>3</v>
      </c>
      <c r="E713" s="1" t="s">
        <v>1077</v>
      </c>
      <c r="F713" s="1" t="s">
        <v>1105</v>
      </c>
      <c r="G713" s="7" t="str">
        <f>_xlfn.XLOOKUP(Order_Details[[#This Row],[Order ID]], List_of_orders[Order ID], List_of_orders[State])</f>
        <v>Sikkim</v>
      </c>
      <c r="H713" s="10">
        <f>_xlfn.XLOOKUP(Order_Details[[#This Row],[Order ID]], List_of_orders[Order ID], List_of_orders[Order Date (Clean)])</f>
        <v>43408</v>
      </c>
      <c r="I713" s="7" t="str">
        <f>_xlfn.XLOOKUP(Order_Details[[#This Row],[Order ID]], List_of_orders[Order ID], List_of_orders[CustomerName])</f>
        <v>K</v>
      </c>
      <c r="J713" s="7" t="str">
        <f>_xlfn.XLOOKUP(Order_Details[[#This Row],[Order ID]], List_of_orders[Order ID], List_of_orders[City])</f>
        <v>Gangtok</v>
      </c>
      <c r="K713" s="8" t="str">
        <f>TEXT(Order_Details[[#This Row],[Order Date]], "YY-MMM")</f>
        <v>18-Nov</v>
      </c>
      <c r="L713" s="11">
        <f>Order_Details[[#This Row],[Profit]]/Order_Details[[#This Row],[Amount]]</f>
        <v>0.36607142857142855</v>
      </c>
      <c r="M713" s="8">
        <f>YEAR(Order_Details[[#This Row],[Order Date]])</f>
        <v>2018</v>
      </c>
      <c r="N713" s="8">
        <f>ROUNDUP(MONTH(Order_Details[[#This Row],[Order Date]])/3, 0)</f>
        <v>4</v>
      </c>
    </row>
    <row r="714" spans="1:14">
      <c r="A714" s="1" t="s">
        <v>618</v>
      </c>
      <c r="B714" s="1">
        <v>45</v>
      </c>
      <c r="C714" s="1">
        <v>1</v>
      </c>
      <c r="D714" s="1">
        <v>3</v>
      </c>
      <c r="E714" s="1" t="s">
        <v>1076</v>
      </c>
      <c r="F714" s="1" t="s">
        <v>1110</v>
      </c>
      <c r="G714" s="7" t="str">
        <f>_xlfn.XLOOKUP(Order_Details[[#This Row],[Order ID]], List_of_orders[Order ID], List_of_orders[State])</f>
        <v>Goa</v>
      </c>
      <c r="H714" s="10">
        <f>_xlfn.XLOOKUP(Order_Details[[#This Row],[Order ID]], List_of_orders[Order ID], List_of_orders[Order Date (Clean)])</f>
        <v>43409</v>
      </c>
      <c r="I714" s="7" t="str">
        <f>_xlfn.XLOOKUP(Order_Details[[#This Row],[Order ID]], List_of_orders[Order ID], List_of_orders[CustomerName])</f>
        <v>Abhishek</v>
      </c>
      <c r="J714" s="7" t="str">
        <f>_xlfn.XLOOKUP(Order_Details[[#This Row],[Order ID]], List_of_orders[Order ID], List_of_orders[City])</f>
        <v>Goa</v>
      </c>
      <c r="K714" s="8" t="str">
        <f>TEXT(Order_Details[[#This Row],[Order Date]], "YY-MMM")</f>
        <v>18-Nov</v>
      </c>
      <c r="L714" s="11">
        <f>Order_Details[[#This Row],[Profit]]/Order_Details[[#This Row],[Amount]]</f>
        <v>2.2222222222222223E-2</v>
      </c>
      <c r="M714" s="8">
        <f>YEAR(Order_Details[[#This Row],[Order Date]])</f>
        <v>2018</v>
      </c>
      <c r="N714" s="8">
        <f>ROUNDUP(MONTH(Order_Details[[#This Row],[Order Date]])/3, 0)</f>
        <v>4</v>
      </c>
    </row>
    <row r="715" spans="1:14">
      <c r="A715" s="1" t="s">
        <v>618</v>
      </c>
      <c r="B715" s="1">
        <v>93</v>
      </c>
      <c r="C715" s="1">
        <v>-1</v>
      </c>
      <c r="D715" s="1">
        <v>2</v>
      </c>
      <c r="E715" s="1" t="s">
        <v>1076</v>
      </c>
      <c r="F715" s="1" t="s">
        <v>1103</v>
      </c>
      <c r="G715" s="7" t="str">
        <f>_xlfn.XLOOKUP(Order_Details[[#This Row],[Order ID]], List_of_orders[Order ID], List_of_orders[State])</f>
        <v>Goa</v>
      </c>
      <c r="H715" s="10">
        <f>_xlfn.XLOOKUP(Order_Details[[#This Row],[Order ID]], List_of_orders[Order ID], List_of_orders[Order Date (Clean)])</f>
        <v>43409</v>
      </c>
      <c r="I715" s="7" t="str">
        <f>_xlfn.XLOOKUP(Order_Details[[#This Row],[Order ID]], List_of_orders[Order ID], List_of_orders[CustomerName])</f>
        <v>Abhishek</v>
      </c>
      <c r="J715" s="7" t="str">
        <f>_xlfn.XLOOKUP(Order_Details[[#This Row],[Order ID]], List_of_orders[Order ID], List_of_orders[City])</f>
        <v>Goa</v>
      </c>
      <c r="K715" s="8" t="str">
        <f>TEXT(Order_Details[[#This Row],[Order Date]], "YY-MMM")</f>
        <v>18-Nov</v>
      </c>
      <c r="L715" s="11">
        <f>Order_Details[[#This Row],[Profit]]/Order_Details[[#This Row],[Amount]]</f>
        <v>-1.0752688172043012E-2</v>
      </c>
      <c r="M715" s="8">
        <f>YEAR(Order_Details[[#This Row],[Order Date]])</f>
        <v>2018</v>
      </c>
      <c r="N715" s="8">
        <f>ROUNDUP(MONTH(Order_Details[[#This Row],[Order Date]])/3, 0)</f>
        <v>4</v>
      </c>
    </row>
    <row r="716" spans="1:14">
      <c r="A716" s="1" t="s">
        <v>618</v>
      </c>
      <c r="B716" s="1">
        <v>52</v>
      </c>
      <c r="C716" s="1">
        <v>18</v>
      </c>
      <c r="D716" s="1">
        <v>5</v>
      </c>
      <c r="E716" s="1" t="s">
        <v>1076</v>
      </c>
      <c r="F716" s="1" t="s">
        <v>1112</v>
      </c>
      <c r="G716" s="7" t="str">
        <f>_xlfn.XLOOKUP(Order_Details[[#This Row],[Order ID]], List_of_orders[Order ID], List_of_orders[State])</f>
        <v>Goa</v>
      </c>
      <c r="H716" s="10">
        <f>_xlfn.XLOOKUP(Order_Details[[#This Row],[Order ID]], List_of_orders[Order ID], List_of_orders[Order Date (Clean)])</f>
        <v>43409</v>
      </c>
      <c r="I716" s="7" t="str">
        <f>_xlfn.XLOOKUP(Order_Details[[#This Row],[Order ID]], List_of_orders[Order ID], List_of_orders[CustomerName])</f>
        <v>Abhishek</v>
      </c>
      <c r="J716" s="7" t="str">
        <f>_xlfn.XLOOKUP(Order_Details[[#This Row],[Order ID]], List_of_orders[Order ID], List_of_orders[City])</f>
        <v>Goa</v>
      </c>
      <c r="K716" s="8" t="str">
        <f>TEXT(Order_Details[[#This Row],[Order Date]], "YY-MMM")</f>
        <v>18-Nov</v>
      </c>
      <c r="L716" s="11">
        <f>Order_Details[[#This Row],[Profit]]/Order_Details[[#This Row],[Amount]]</f>
        <v>0.34615384615384615</v>
      </c>
      <c r="M716" s="8">
        <f>YEAR(Order_Details[[#This Row],[Order Date]])</f>
        <v>2018</v>
      </c>
      <c r="N716" s="8">
        <f>ROUNDUP(MONTH(Order_Details[[#This Row],[Order Date]])/3, 0)</f>
        <v>4</v>
      </c>
    </row>
    <row r="717" spans="1:14">
      <c r="A717" s="1" t="s">
        <v>618</v>
      </c>
      <c r="B717" s="1">
        <v>148</v>
      </c>
      <c r="C717" s="1">
        <v>24</v>
      </c>
      <c r="D717" s="1">
        <v>3</v>
      </c>
      <c r="E717" s="1" t="s">
        <v>1076</v>
      </c>
      <c r="F717" s="1" t="s">
        <v>1102</v>
      </c>
      <c r="G717" s="7" t="str">
        <f>_xlfn.XLOOKUP(Order_Details[[#This Row],[Order ID]], List_of_orders[Order ID], List_of_orders[State])</f>
        <v>Goa</v>
      </c>
      <c r="H717" s="10">
        <f>_xlfn.XLOOKUP(Order_Details[[#This Row],[Order ID]], List_of_orders[Order ID], List_of_orders[Order Date (Clean)])</f>
        <v>43409</v>
      </c>
      <c r="I717" s="7" t="str">
        <f>_xlfn.XLOOKUP(Order_Details[[#This Row],[Order ID]], List_of_orders[Order ID], List_of_orders[CustomerName])</f>
        <v>Abhishek</v>
      </c>
      <c r="J717" s="7" t="str">
        <f>_xlfn.XLOOKUP(Order_Details[[#This Row],[Order ID]], List_of_orders[Order ID], List_of_orders[City])</f>
        <v>Goa</v>
      </c>
      <c r="K717" s="8" t="str">
        <f>TEXT(Order_Details[[#This Row],[Order Date]], "YY-MMM")</f>
        <v>18-Nov</v>
      </c>
      <c r="L717" s="11">
        <f>Order_Details[[#This Row],[Profit]]/Order_Details[[#This Row],[Amount]]</f>
        <v>0.16216216216216217</v>
      </c>
      <c r="M717" s="8">
        <f>YEAR(Order_Details[[#This Row],[Order Date]])</f>
        <v>2018</v>
      </c>
      <c r="N717" s="8">
        <f>ROUNDUP(MONTH(Order_Details[[#This Row],[Order Date]])/3, 0)</f>
        <v>4</v>
      </c>
    </row>
    <row r="718" spans="1:14">
      <c r="A718" s="1" t="s">
        <v>618</v>
      </c>
      <c r="B718" s="1">
        <v>24</v>
      </c>
      <c r="C718" s="1">
        <v>1</v>
      </c>
      <c r="D718" s="1">
        <v>4</v>
      </c>
      <c r="E718" s="1" t="s">
        <v>1076</v>
      </c>
      <c r="F718" s="1" t="s">
        <v>1103</v>
      </c>
      <c r="G718" s="7" t="str">
        <f>_xlfn.XLOOKUP(Order_Details[[#This Row],[Order ID]], List_of_orders[Order ID], List_of_orders[State])</f>
        <v>Goa</v>
      </c>
      <c r="H718" s="10">
        <f>_xlfn.XLOOKUP(Order_Details[[#This Row],[Order ID]], List_of_orders[Order ID], List_of_orders[Order Date (Clean)])</f>
        <v>43409</v>
      </c>
      <c r="I718" s="7" t="str">
        <f>_xlfn.XLOOKUP(Order_Details[[#This Row],[Order ID]], List_of_orders[Order ID], List_of_orders[CustomerName])</f>
        <v>Abhishek</v>
      </c>
      <c r="J718" s="7" t="str">
        <f>_xlfn.XLOOKUP(Order_Details[[#This Row],[Order ID]], List_of_orders[Order ID], List_of_orders[City])</f>
        <v>Goa</v>
      </c>
      <c r="K718" s="8" t="str">
        <f>TEXT(Order_Details[[#This Row],[Order Date]], "YY-MMM")</f>
        <v>18-Nov</v>
      </c>
      <c r="L718" s="11">
        <f>Order_Details[[#This Row],[Profit]]/Order_Details[[#This Row],[Amount]]</f>
        <v>4.1666666666666664E-2</v>
      </c>
      <c r="M718" s="8">
        <f>YEAR(Order_Details[[#This Row],[Order Date]])</f>
        <v>2018</v>
      </c>
      <c r="N718" s="8">
        <f>ROUNDUP(MONTH(Order_Details[[#This Row],[Order Date]])/3, 0)</f>
        <v>4</v>
      </c>
    </row>
    <row r="719" spans="1:14">
      <c r="A719" s="1" t="s">
        <v>618</v>
      </c>
      <c r="B719" s="1">
        <v>513</v>
      </c>
      <c r="C719" s="1">
        <v>215</v>
      </c>
      <c r="D719" s="1">
        <v>2</v>
      </c>
      <c r="E719" s="1" t="s">
        <v>1077</v>
      </c>
      <c r="F719" s="1" t="s">
        <v>1115</v>
      </c>
      <c r="G719" s="7" t="str">
        <f>_xlfn.XLOOKUP(Order_Details[[#This Row],[Order ID]], List_of_orders[Order ID], List_of_orders[State])</f>
        <v>Goa</v>
      </c>
      <c r="H719" s="10">
        <f>_xlfn.XLOOKUP(Order_Details[[#This Row],[Order ID]], List_of_orders[Order ID], List_of_orders[Order Date (Clean)])</f>
        <v>43409</v>
      </c>
      <c r="I719" s="7" t="str">
        <f>_xlfn.XLOOKUP(Order_Details[[#This Row],[Order ID]], List_of_orders[Order ID], List_of_orders[CustomerName])</f>
        <v>Abhishek</v>
      </c>
      <c r="J719" s="7" t="str">
        <f>_xlfn.XLOOKUP(Order_Details[[#This Row],[Order ID]], List_of_orders[Order ID], List_of_orders[City])</f>
        <v>Goa</v>
      </c>
      <c r="K719" s="8" t="str">
        <f>TEXT(Order_Details[[#This Row],[Order Date]], "YY-MMM")</f>
        <v>18-Nov</v>
      </c>
      <c r="L719" s="11">
        <f>Order_Details[[#This Row],[Profit]]/Order_Details[[#This Row],[Amount]]</f>
        <v>0.41910331384015592</v>
      </c>
      <c r="M719" s="8">
        <f>YEAR(Order_Details[[#This Row],[Order Date]])</f>
        <v>2018</v>
      </c>
      <c r="N719" s="8">
        <f>ROUNDUP(MONTH(Order_Details[[#This Row],[Order Date]])/3, 0)</f>
        <v>4</v>
      </c>
    </row>
    <row r="720" spans="1:14">
      <c r="A720" s="1" t="s">
        <v>618</v>
      </c>
      <c r="B720" s="1">
        <v>117</v>
      </c>
      <c r="C720" s="1">
        <v>36</v>
      </c>
      <c r="D720" s="1">
        <v>2</v>
      </c>
      <c r="E720" s="1" t="s">
        <v>1076</v>
      </c>
      <c r="F720" s="1" t="s">
        <v>1107</v>
      </c>
      <c r="G720" s="7" t="str">
        <f>_xlfn.XLOOKUP(Order_Details[[#This Row],[Order ID]], List_of_orders[Order ID], List_of_orders[State])</f>
        <v>Goa</v>
      </c>
      <c r="H720" s="10">
        <f>_xlfn.XLOOKUP(Order_Details[[#This Row],[Order ID]], List_of_orders[Order ID], List_of_orders[Order Date (Clean)])</f>
        <v>43409</v>
      </c>
      <c r="I720" s="7" t="str">
        <f>_xlfn.XLOOKUP(Order_Details[[#This Row],[Order ID]], List_of_orders[Order ID], List_of_orders[CustomerName])</f>
        <v>Abhishek</v>
      </c>
      <c r="J720" s="7" t="str">
        <f>_xlfn.XLOOKUP(Order_Details[[#This Row],[Order ID]], List_of_orders[Order ID], List_of_orders[City])</f>
        <v>Goa</v>
      </c>
      <c r="K720" s="8" t="str">
        <f>TEXT(Order_Details[[#This Row],[Order Date]], "YY-MMM")</f>
        <v>18-Nov</v>
      </c>
      <c r="L720" s="11">
        <f>Order_Details[[#This Row],[Profit]]/Order_Details[[#This Row],[Amount]]</f>
        <v>0.30769230769230771</v>
      </c>
      <c r="M720" s="8">
        <f>YEAR(Order_Details[[#This Row],[Order Date]])</f>
        <v>2018</v>
      </c>
      <c r="N720" s="8">
        <f>ROUNDUP(MONTH(Order_Details[[#This Row],[Order Date]])/3, 0)</f>
        <v>4</v>
      </c>
    </row>
    <row r="721" spans="1:14">
      <c r="A721" s="1" t="s">
        <v>618</v>
      </c>
      <c r="B721" s="1">
        <v>916</v>
      </c>
      <c r="C721" s="1">
        <v>192</v>
      </c>
      <c r="D721" s="1">
        <v>11</v>
      </c>
      <c r="E721" s="1" t="s">
        <v>1077</v>
      </c>
      <c r="F721" s="1" t="s">
        <v>1105</v>
      </c>
      <c r="G721" s="7" t="str">
        <f>_xlfn.XLOOKUP(Order_Details[[#This Row],[Order ID]], List_of_orders[Order ID], List_of_orders[State])</f>
        <v>Goa</v>
      </c>
      <c r="H721" s="10">
        <f>_xlfn.XLOOKUP(Order_Details[[#This Row],[Order ID]], List_of_orders[Order ID], List_of_orders[Order Date (Clean)])</f>
        <v>43409</v>
      </c>
      <c r="I721" s="7" t="str">
        <f>_xlfn.XLOOKUP(Order_Details[[#This Row],[Order ID]], List_of_orders[Order ID], List_of_orders[CustomerName])</f>
        <v>Abhishek</v>
      </c>
      <c r="J721" s="7" t="str">
        <f>_xlfn.XLOOKUP(Order_Details[[#This Row],[Order ID]], List_of_orders[Order ID], List_of_orders[City])</f>
        <v>Goa</v>
      </c>
      <c r="K721" s="8" t="str">
        <f>TEXT(Order_Details[[#This Row],[Order Date]], "YY-MMM")</f>
        <v>18-Nov</v>
      </c>
      <c r="L721" s="11">
        <f>Order_Details[[#This Row],[Profit]]/Order_Details[[#This Row],[Amount]]</f>
        <v>0.20960698689956331</v>
      </c>
      <c r="M721" s="8">
        <f>YEAR(Order_Details[[#This Row],[Order Date]])</f>
        <v>2018</v>
      </c>
      <c r="N721" s="8">
        <f>ROUNDUP(MONTH(Order_Details[[#This Row],[Order Date]])/3, 0)</f>
        <v>4</v>
      </c>
    </row>
    <row r="722" spans="1:14">
      <c r="A722" s="1" t="s">
        <v>618</v>
      </c>
      <c r="B722" s="1">
        <v>485</v>
      </c>
      <c r="C722" s="1">
        <v>199</v>
      </c>
      <c r="D722" s="1">
        <v>4</v>
      </c>
      <c r="E722" s="1" t="s">
        <v>1076</v>
      </c>
      <c r="F722" s="1" t="s">
        <v>1106</v>
      </c>
      <c r="G722" s="7" t="str">
        <f>_xlfn.XLOOKUP(Order_Details[[#This Row],[Order ID]], List_of_orders[Order ID], List_of_orders[State])</f>
        <v>Goa</v>
      </c>
      <c r="H722" s="10">
        <f>_xlfn.XLOOKUP(Order_Details[[#This Row],[Order ID]], List_of_orders[Order ID], List_of_orders[Order Date (Clean)])</f>
        <v>43409</v>
      </c>
      <c r="I722" s="7" t="str">
        <f>_xlfn.XLOOKUP(Order_Details[[#This Row],[Order ID]], List_of_orders[Order ID], List_of_orders[CustomerName])</f>
        <v>Abhishek</v>
      </c>
      <c r="J722" s="7" t="str">
        <f>_xlfn.XLOOKUP(Order_Details[[#This Row],[Order ID]], List_of_orders[Order ID], List_of_orders[City])</f>
        <v>Goa</v>
      </c>
      <c r="K722" s="8" t="str">
        <f>TEXT(Order_Details[[#This Row],[Order Date]], "YY-MMM")</f>
        <v>18-Nov</v>
      </c>
      <c r="L722" s="11">
        <f>Order_Details[[#This Row],[Profit]]/Order_Details[[#This Row],[Amount]]</f>
        <v>0.41030927835051545</v>
      </c>
      <c r="M722" s="8">
        <f>YEAR(Order_Details[[#This Row],[Order Date]])</f>
        <v>2018</v>
      </c>
      <c r="N722" s="8">
        <f>ROUNDUP(MONTH(Order_Details[[#This Row],[Order Date]])/3, 0)</f>
        <v>4</v>
      </c>
    </row>
    <row r="723" spans="1:14">
      <c r="A723" s="1" t="s">
        <v>619</v>
      </c>
      <c r="B723" s="1">
        <v>10</v>
      </c>
      <c r="C723" s="1">
        <v>2</v>
      </c>
      <c r="D723" s="1">
        <v>2</v>
      </c>
      <c r="E723" s="1" t="s">
        <v>1076</v>
      </c>
      <c r="F723" s="1" t="s">
        <v>1103</v>
      </c>
      <c r="G723" s="7" t="str">
        <f>_xlfn.XLOOKUP(Order_Details[[#This Row],[Order ID]], List_of_orders[Order ID], List_of_orders[State])</f>
        <v>Nagaland</v>
      </c>
      <c r="H723" s="10">
        <f>_xlfn.XLOOKUP(Order_Details[[#This Row],[Order ID]], List_of_orders[Order ID], List_of_orders[Order Date (Clean)])</f>
        <v>43410</v>
      </c>
      <c r="I723" s="7" t="str">
        <f>_xlfn.XLOOKUP(Order_Details[[#This Row],[Order ID]], List_of_orders[Order ID], List_of_orders[CustomerName])</f>
        <v>Kushal</v>
      </c>
      <c r="J723" s="7" t="str">
        <f>_xlfn.XLOOKUP(Order_Details[[#This Row],[Order ID]], List_of_orders[Order ID], List_of_orders[City])</f>
        <v>Kohima</v>
      </c>
      <c r="K723" s="8" t="str">
        <f>TEXT(Order_Details[[#This Row],[Order Date]], "YY-MMM")</f>
        <v>18-Nov</v>
      </c>
      <c r="L723" s="11">
        <f>Order_Details[[#This Row],[Profit]]/Order_Details[[#This Row],[Amount]]</f>
        <v>0.2</v>
      </c>
      <c r="M723" s="8">
        <f>YEAR(Order_Details[[#This Row],[Order Date]])</f>
        <v>2018</v>
      </c>
      <c r="N723" s="8">
        <f>ROUNDUP(MONTH(Order_Details[[#This Row],[Order Date]])/3, 0)</f>
        <v>4</v>
      </c>
    </row>
    <row r="724" spans="1:14">
      <c r="A724" s="1" t="s">
        <v>619</v>
      </c>
      <c r="B724" s="1">
        <v>300</v>
      </c>
      <c r="C724" s="1">
        <v>42</v>
      </c>
      <c r="D724" s="1">
        <v>2</v>
      </c>
      <c r="E724" s="1" t="s">
        <v>1077</v>
      </c>
      <c r="F724" s="1" t="s">
        <v>1114</v>
      </c>
      <c r="G724" s="7" t="str">
        <f>_xlfn.XLOOKUP(Order_Details[[#This Row],[Order ID]], List_of_orders[Order ID], List_of_orders[State])</f>
        <v>Nagaland</v>
      </c>
      <c r="H724" s="10">
        <f>_xlfn.XLOOKUP(Order_Details[[#This Row],[Order ID]], List_of_orders[Order ID], List_of_orders[Order Date (Clean)])</f>
        <v>43410</v>
      </c>
      <c r="I724" s="7" t="str">
        <f>_xlfn.XLOOKUP(Order_Details[[#This Row],[Order ID]], List_of_orders[Order ID], List_of_orders[CustomerName])</f>
        <v>Kushal</v>
      </c>
      <c r="J724" s="7" t="str">
        <f>_xlfn.XLOOKUP(Order_Details[[#This Row],[Order ID]], List_of_orders[Order ID], List_of_orders[City])</f>
        <v>Kohima</v>
      </c>
      <c r="K724" s="8" t="str">
        <f>TEXT(Order_Details[[#This Row],[Order Date]], "YY-MMM")</f>
        <v>18-Nov</v>
      </c>
      <c r="L724" s="11">
        <f>Order_Details[[#This Row],[Profit]]/Order_Details[[#This Row],[Amount]]</f>
        <v>0.14000000000000001</v>
      </c>
      <c r="M724" s="8">
        <f>YEAR(Order_Details[[#This Row],[Order Date]])</f>
        <v>2018</v>
      </c>
      <c r="N724" s="8">
        <f>ROUNDUP(MONTH(Order_Details[[#This Row],[Order Date]])/3, 0)</f>
        <v>4</v>
      </c>
    </row>
    <row r="725" spans="1:14">
      <c r="A725" s="1" t="s">
        <v>619</v>
      </c>
      <c r="B725" s="1">
        <v>57</v>
      </c>
      <c r="C725" s="1">
        <v>27</v>
      </c>
      <c r="D725" s="1">
        <v>2</v>
      </c>
      <c r="E725" s="1" t="s">
        <v>1076</v>
      </c>
      <c r="F725" s="1" t="s">
        <v>1110</v>
      </c>
      <c r="G725" s="7" t="str">
        <f>_xlfn.XLOOKUP(Order_Details[[#This Row],[Order ID]], List_of_orders[Order ID], List_of_orders[State])</f>
        <v>Nagaland</v>
      </c>
      <c r="H725" s="10">
        <f>_xlfn.XLOOKUP(Order_Details[[#This Row],[Order ID]], List_of_orders[Order ID], List_of_orders[Order Date (Clean)])</f>
        <v>43410</v>
      </c>
      <c r="I725" s="7" t="str">
        <f>_xlfn.XLOOKUP(Order_Details[[#This Row],[Order ID]], List_of_orders[Order ID], List_of_orders[CustomerName])</f>
        <v>Kushal</v>
      </c>
      <c r="J725" s="7" t="str">
        <f>_xlfn.XLOOKUP(Order_Details[[#This Row],[Order ID]], List_of_orders[Order ID], List_of_orders[City])</f>
        <v>Kohima</v>
      </c>
      <c r="K725" s="8" t="str">
        <f>TEXT(Order_Details[[#This Row],[Order Date]], "YY-MMM")</f>
        <v>18-Nov</v>
      </c>
      <c r="L725" s="11">
        <f>Order_Details[[#This Row],[Profit]]/Order_Details[[#This Row],[Amount]]</f>
        <v>0.47368421052631576</v>
      </c>
      <c r="M725" s="8">
        <f>YEAR(Order_Details[[#This Row],[Order Date]])</f>
        <v>2018</v>
      </c>
      <c r="N725" s="8">
        <f>ROUNDUP(MONTH(Order_Details[[#This Row],[Order Date]])/3, 0)</f>
        <v>4</v>
      </c>
    </row>
    <row r="726" spans="1:14">
      <c r="A726" s="1" t="s">
        <v>619</v>
      </c>
      <c r="B726" s="1">
        <v>103</v>
      </c>
      <c r="C726" s="1">
        <v>46</v>
      </c>
      <c r="D726" s="1">
        <v>2</v>
      </c>
      <c r="E726" s="1" t="s">
        <v>1076</v>
      </c>
      <c r="F726" s="1" t="s">
        <v>1106</v>
      </c>
      <c r="G726" s="7" t="str">
        <f>_xlfn.XLOOKUP(Order_Details[[#This Row],[Order ID]], List_of_orders[Order ID], List_of_orders[State])</f>
        <v>Nagaland</v>
      </c>
      <c r="H726" s="10">
        <f>_xlfn.XLOOKUP(Order_Details[[#This Row],[Order ID]], List_of_orders[Order ID], List_of_orders[Order Date (Clean)])</f>
        <v>43410</v>
      </c>
      <c r="I726" s="7" t="str">
        <f>_xlfn.XLOOKUP(Order_Details[[#This Row],[Order ID]], List_of_orders[Order ID], List_of_orders[CustomerName])</f>
        <v>Kushal</v>
      </c>
      <c r="J726" s="7" t="str">
        <f>_xlfn.XLOOKUP(Order_Details[[#This Row],[Order ID]], List_of_orders[Order ID], List_of_orders[City])</f>
        <v>Kohima</v>
      </c>
      <c r="K726" s="8" t="str">
        <f>TEXT(Order_Details[[#This Row],[Order Date]], "YY-MMM")</f>
        <v>18-Nov</v>
      </c>
      <c r="L726" s="11">
        <f>Order_Details[[#This Row],[Profit]]/Order_Details[[#This Row],[Amount]]</f>
        <v>0.44660194174757284</v>
      </c>
      <c r="M726" s="8">
        <f>YEAR(Order_Details[[#This Row],[Order Date]])</f>
        <v>2018</v>
      </c>
      <c r="N726" s="8">
        <f>ROUNDUP(MONTH(Order_Details[[#This Row],[Order Date]])/3, 0)</f>
        <v>4</v>
      </c>
    </row>
    <row r="727" spans="1:14">
      <c r="A727" s="1" t="s">
        <v>619</v>
      </c>
      <c r="B727" s="1">
        <v>336</v>
      </c>
      <c r="C727" s="1">
        <v>71</v>
      </c>
      <c r="D727" s="1">
        <v>3</v>
      </c>
      <c r="E727" s="1" t="s">
        <v>1075</v>
      </c>
      <c r="F727" s="1" t="s">
        <v>1101</v>
      </c>
      <c r="G727" s="7" t="str">
        <f>_xlfn.XLOOKUP(Order_Details[[#This Row],[Order ID]], List_of_orders[Order ID], List_of_orders[State])</f>
        <v>Nagaland</v>
      </c>
      <c r="H727" s="10">
        <f>_xlfn.XLOOKUP(Order_Details[[#This Row],[Order ID]], List_of_orders[Order ID], List_of_orders[Order Date (Clean)])</f>
        <v>43410</v>
      </c>
      <c r="I727" s="7" t="str">
        <f>_xlfn.XLOOKUP(Order_Details[[#This Row],[Order ID]], List_of_orders[Order ID], List_of_orders[CustomerName])</f>
        <v>Kushal</v>
      </c>
      <c r="J727" s="7" t="str">
        <f>_xlfn.XLOOKUP(Order_Details[[#This Row],[Order ID]], List_of_orders[Order ID], List_of_orders[City])</f>
        <v>Kohima</v>
      </c>
      <c r="K727" s="8" t="str">
        <f>TEXT(Order_Details[[#This Row],[Order Date]], "YY-MMM")</f>
        <v>18-Nov</v>
      </c>
      <c r="L727" s="11">
        <f>Order_Details[[#This Row],[Profit]]/Order_Details[[#This Row],[Amount]]</f>
        <v>0.21130952380952381</v>
      </c>
      <c r="M727" s="8">
        <f>YEAR(Order_Details[[#This Row],[Order Date]])</f>
        <v>2018</v>
      </c>
      <c r="N727" s="8">
        <f>ROUNDUP(MONTH(Order_Details[[#This Row],[Order Date]])/3, 0)</f>
        <v>4</v>
      </c>
    </row>
    <row r="728" spans="1:14">
      <c r="A728" s="1" t="s">
        <v>619</v>
      </c>
      <c r="B728" s="1">
        <v>53</v>
      </c>
      <c r="C728" s="1">
        <v>24</v>
      </c>
      <c r="D728" s="1">
        <v>6</v>
      </c>
      <c r="E728" s="1" t="s">
        <v>1076</v>
      </c>
      <c r="F728" s="1" t="s">
        <v>1103</v>
      </c>
      <c r="G728" s="7" t="str">
        <f>_xlfn.XLOOKUP(Order_Details[[#This Row],[Order ID]], List_of_orders[Order ID], List_of_orders[State])</f>
        <v>Nagaland</v>
      </c>
      <c r="H728" s="10">
        <f>_xlfn.XLOOKUP(Order_Details[[#This Row],[Order ID]], List_of_orders[Order ID], List_of_orders[Order Date (Clean)])</f>
        <v>43410</v>
      </c>
      <c r="I728" s="7" t="str">
        <f>_xlfn.XLOOKUP(Order_Details[[#This Row],[Order ID]], List_of_orders[Order ID], List_of_orders[CustomerName])</f>
        <v>Kushal</v>
      </c>
      <c r="J728" s="7" t="str">
        <f>_xlfn.XLOOKUP(Order_Details[[#This Row],[Order ID]], List_of_orders[Order ID], List_of_orders[City])</f>
        <v>Kohima</v>
      </c>
      <c r="K728" s="8" t="str">
        <f>TEXT(Order_Details[[#This Row],[Order Date]], "YY-MMM")</f>
        <v>18-Nov</v>
      </c>
      <c r="L728" s="11">
        <f>Order_Details[[#This Row],[Profit]]/Order_Details[[#This Row],[Amount]]</f>
        <v>0.45283018867924529</v>
      </c>
      <c r="M728" s="8">
        <f>YEAR(Order_Details[[#This Row],[Order Date]])</f>
        <v>2018</v>
      </c>
      <c r="N728" s="8">
        <f>ROUNDUP(MONTH(Order_Details[[#This Row],[Order Date]])/3, 0)</f>
        <v>4</v>
      </c>
    </row>
    <row r="729" spans="1:14">
      <c r="A729" s="1" t="s">
        <v>619</v>
      </c>
      <c r="B729" s="1">
        <v>90</v>
      </c>
      <c r="C729" s="1">
        <v>29</v>
      </c>
      <c r="D729" s="1">
        <v>5</v>
      </c>
      <c r="E729" s="1" t="s">
        <v>1076</v>
      </c>
      <c r="F729" s="1" t="s">
        <v>1110</v>
      </c>
      <c r="G729" s="7" t="str">
        <f>_xlfn.XLOOKUP(Order_Details[[#This Row],[Order ID]], List_of_orders[Order ID], List_of_orders[State])</f>
        <v>Nagaland</v>
      </c>
      <c r="H729" s="10">
        <f>_xlfn.XLOOKUP(Order_Details[[#This Row],[Order ID]], List_of_orders[Order ID], List_of_orders[Order Date (Clean)])</f>
        <v>43410</v>
      </c>
      <c r="I729" s="7" t="str">
        <f>_xlfn.XLOOKUP(Order_Details[[#This Row],[Order ID]], List_of_orders[Order ID], List_of_orders[CustomerName])</f>
        <v>Kushal</v>
      </c>
      <c r="J729" s="7" t="str">
        <f>_xlfn.XLOOKUP(Order_Details[[#This Row],[Order ID]], List_of_orders[Order ID], List_of_orders[City])</f>
        <v>Kohima</v>
      </c>
      <c r="K729" s="8" t="str">
        <f>TEXT(Order_Details[[#This Row],[Order Date]], "YY-MMM")</f>
        <v>18-Nov</v>
      </c>
      <c r="L729" s="11">
        <f>Order_Details[[#This Row],[Profit]]/Order_Details[[#This Row],[Amount]]</f>
        <v>0.32222222222222224</v>
      </c>
      <c r="M729" s="8">
        <f>YEAR(Order_Details[[#This Row],[Order Date]])</f>
        <v>2018</v>
      </c>
      <c r="N729" s="8">
        <f>ROUNDUP(MONTH(Order_Details[[#This Row],[Order Date]])/3, 0)</f>
        <v>4</v>
      </c>
    </row>
    <row r="730" spans="1:14">
      <c r="A730" s="1" t="s">
        <v>619</v>
      </c>
      <c r="B730" s="1">
        <v>62</v>
      </c>
      <c r="C730" s="1">
        <v>1</v>
      </c>
      <c r="D730" s="1">
        <v>3</v>
      </c>
      <c r="E730" s="1" t="s">
        <v>1076</v>
      </c>
      <c r="F730" s="1" t="s">
        <v>1106</v>
      </c>
      <c r="G730" s="7" t="str">
        <f>_xlfn.XLOOKUP(Order_Details[[#This Row],[Order ID]], List_of_orders[Order ID], List_of_orders[State])</f>
        <v>Nagaland</v>
      </c>
      <c r="H730" s="10">
        <f>_xlfn.XLOOKUP(Order_Details[[#This Row],[Order ID]], List_of_orders[Order ID], List_of_orders[Order Date (Clean)])</f>
        <v>43410</v>
      </c>
      <c r="I730" s="7" t="str">
        <f>_xlfn.XLOOKUP(Order_Details[[#This Row],[Order ID]], List_of_orders[Order ID], List_of_orders[CustomerName])</f>
        <v>Kushal</v>
      </c>
      <c r="J730" s="7" t="str">
        <f>_xlfn.XLOOKUP(Order_Details[[#This Row],[Order ID]], List_of_orders[Order ID], List_of_orders[City])</f>
        <v>Kohima</v>
      </c>
      <c r="K730" s="8" t="str">
        <f>TEXT(Order_Details[[#This Row],[Order Date]], "YY-MMM")</f>
        <v>18-Nov</v>
      </c>
      <c r="L730" s="11">
        <f>Order_Details[[#This Row],[Profit]]/Order_Details[[#This Row],[Amount]]</f>
        <v>1.6129032258064516E-2</v>
      </c>
      <c r="M730" s="8">
        <f>YEAR(Order_Details[[#This Row],[Order Date]])</f>
        <v>2018</v>
      </c>
      <c r="N730" s="8">
        <f>ROUNDUP(MONTH(Order_Details[[#This Row],[Order Date]])/3, 0)</f>
        <v>4</v>
      </c>
    </row>
    <row r="731" spans="1:14">
      <c r="A731" s="1" t="s">
        <v>619</v>
      </c>
      <c r="B731" s="1">
        <v>135</v>
      </c>
      <c r="C731" s="1">
        <v>54</v>
      </c>
      <c r="D731" s="1">
        <v>5</v>
      </c>
      <c r="E731" s="1" t="s">
        <v>1076</v>
      </c>
      <c r="F731" s="1" t="s">
        <v>1109</v>
      </c>
      <c r="G731" s="7" t="str">
        <f>_xlfn.XLOOKUP(Order_Details[[#This Row],[Order ID]], List_of_orders[Order ID], List_of_orders[State])</f>
        <v>Nagaland</v>
      </c>
      <c r="H731" s="10">
        <f>_xlfn.XLOOKUP(Order_Details[[#This Row],[Order ID]], List_of_orders[Order ID], List_of_orders[Order Date (Clean)])</f>
        <v>43410</v>
      </c>
      <c r="I731" s="7" t="str">
        <f>_xlfn.XLOOKUP(Order_Details[[#This Row],[Order ID]], List_of_orders[Order ID], List_of_orders[CustomerName])</f>
        <v>Kushal</v>
      </c>
      <c r="J731" s="7" t="str">
        <f>_xlfn.XLOOKUP(Order_Details[[#This Row],[Order ID]], List_of_orders[Order ID], List_of_orders[City])</f>
        <v>Kohima</v>
      </c>
      <c r="K731" s="8" t="str">
        <f>TEXT(Order_Details[[#This Row],[Order Date]], "YY-MMM")</f>
        <v>18-Nov</v>
      </c>
      <c r="L731" s="11">
        <f>Order_Details[[#This Row],[Profit]]/Order_Details[[#This Row],[Amount]]</f>
        <v>0.4</v>
      </c>
      <c r="M731" s="8">
        <f>YEAR(Order_Details[[#This Row],[Order Date]])</f>
        <v>2018</v>
      </c>
      <c r="N731" s="8">
        <f>ROUNDUP(MONTH(Order_Details[[#This Row],[Order Date]])/3, 0)</f>
        <v>4</v>
      </c>
    </row>
    <row r="732" spans="1:14">
      <c r="A732" s="1" t="s">
        <v>619</v>
      </c>
      <c r="B732" s="1">
        <v>237</v>
      </c>
      <c r="C732" s="1">
        <v>47</v>
      </c>
      <c r="D732" s="1">
        <v>9</v>
      </c>
      <c r="E732" s="1" t="s">
        <v>1076</v>
      </c>
      <c r="F732" s="1" t="s">
        <v>1110</v>
      </c>
      <c r="G732" s="7" t="str">
        <f>_xlfn.XLOOKUP(Order_Details[[#This Row],[Order ID]], List_of_orders[Order ID], List_of_orders[State])</f>
        <v>Nagaland</v>
      </c>
      <c r="H732" s="10">
        <f>_xlfn.XLOOKUP(Order_Details[[#This Row],[Order ID]], List_of_orders[Order ID], List_of_orders[Order Date (Clean)])</f>
        <v>43410</v>
      </c>
      <c r="I732" s="7" t="str">
        <f>_xlfn.XLOOKUP(Order_Details[[#This Row],[Order ID]], List_of_orders[Order ID], List_of_orders[CustomerName])</f>
        <v>Kushal</v>
      </c>
      <c r="J732" s="7" t="str">
        <f>_xlfn.XLOOKUP(Order_Details[[#This Row],[Order ID]], List_of_orders[Order ID], List_of_orders[City])</f>
        <v>Kohima</v>
      </c>
      <c r="K732" s="8" t="str">
        <f>TEXT(Order_Details[[#This Row],[Order Date]], "YY-MMM")</f>
        <v>18-Nov</v>
      </c>
      <c r="L732" s="11">
        <f>Order_Details[[#This Row],[Profit]]/Order_Details[[#This Row],[Amount]]</f>
        <v>0.19831223628691982</v>
      </c>
      <c r="M732" s="8">
        <f>YEAR(Order_Details[[#This Row],[Order Date]])</f>
        <v>2018</v>
      </c>
      <c r="N732" s="8">
        <f>ROUNDUP(MONTH(Order_Details[[#This Row],[Order Date]])/3, 0)</f>
        <v>4</v>
      </c>
    </row>
    <row r="733" spans="1:14">
      <c r="A733" s="1" t="s">
        <v>621</v>
      </c>
      <c r="B733" s="1">
        <v>320</v>
      </c>
      <c r="C733" s="1">
        <v>144</v>
      </c>
      <c r="D733" s="1">
        <v>1</v>
      </c>
      <c r="E733" s="1" t="s">
        <v>1077</v>
      </c>
      <c r="F733" s="1" t="s">
        <v>1114</v>
      </c>
      <c r="G733" s="7" t="str">
        <f>_xlfn.XLOOKUP(Order_Details[[#This Row],[Order ID]], List_of_orders[Order ID], List_of_orders[State])</f>
        <v>Andhra Pradesh</v>
      </c>
      <c r="H733" s="10">
        <f>_xlfn.XLOOKUP(Order_Details[[#This Row],[Order ID]], List_of_orders[Order ID], List_of_orders[Order Date (Clean)])</f>
        <v>43411</v>
      </c>
      <c r="I733" s="7" t="str">
        <f>_xlfn.XLOOKUP(Order_Details[[#This Row],[Order ID]], List_of_orders[Order ID], List_of_orders[CustomerName])</f>
        <v>Soumyabrata</v>
      </c>
      <c r="J733" s="7" t="str">
        <f>_xlfn.XLOOKUP(Order_Details[[#This Row],[Order ID]], List_of_orders[Order ID], List_of_orders[City])</f>
        <v>Hyderabad</v>
      </c>
      <c r="K733" s="8" t="str">
        <f>TEXT(Order_Details[[#This Row],[Order Date]], "YY-MMM")</f>
        <v>18-Nov</v>
      </c>
      <c r="L733" s="11">
        <f>Order_Details[[#This Row],[Profit]]/Order_Details[[#This Row],[Amount]]</f>
        <v>0.45</v>
      </c>
      <c r="M733" s="8">
        <f>YEAR(Order_Details[[#This Row],[Order Date]])</f>
        <v>2018</v>
      </c>
      <c r="N733" s="8">
        <f>ROUNDUP(MONTH(Order_Details[[#This Row],[Order Date]])/3, 0)</f>
        <v>4</v>
      </c>
    </row>
    <row r="734" spans="1:14">
      <c r="A734" s="1" t="s">
        <v>621</v>
      </c>
      <c r="B734" s="1">
        <v>24</v>
      </c>
      <c r="C734" s="1">
        <v>1</v>
      </c>
      <c r="D734" s="1">
        <v>2</v>
      </c>
      <c r="E734" s="1" t="s">
        <v>1076</v>
      </c>
      <c r="F734" s="1" t="s">
        <v>1103</v>
      </c>
      <c r="G734" s="7" t="str">
        <f>_xlfn.XLOOKUP(Order_Details[[#This Row],[Order ID]], List_of_orders[Order ID], List_of_orders[State])</f>
        <v>Andhra Pradesh</v>
      </c>
      <c r="H734" s="10">
        <f>_xlfn.XLOOKUP(Order_Details[[#This Row],[Order ID]], List_of_orders[Order ID], List_of_orders[Order Date (Clean)])</f>
        <v>43411</v>
      </c>
      <c r="I734" s="7" t="str">
        <f>_xlfn.XLOOKUP(Order_Details[[#This Row],[Order ID]], List_of_orders[Order ID], List_of_orders[CustomerName])</f>
        <v>Soumyabrata</v>
      </c>
      <c r="J734" s="7" t="str">
        <f>_xlfn.XLOOKUP(Order_Details[[#This Row],[Order ID]], List_of_orders[Order ID], List_of_orders[City])</f>
        <v>Hyderabad</v>
      </c>
      <c r="K734" s="8" t="str">
        <f>TEXT(Order_Details[[#This Row],[Order Date]], "YY-MMM")</f>
        <v>18-Nov</v>
      </c>
      <c r="L734" s="11">
        <f>Order_Details[[#This Row],[Profit]]/Order_Details[[#This Row],[Amount]]</f>
        <v>4.1666666666666664E-2</v>
      </c>
      <c r="M734" s="8">
        <f>YEAR(Order_Details[[#This Row],[Order Date]])</f>
        <v>2018</v>
      </c>
      <c r="N734" s="8">
        <f>ROUNDUP(MONTH(Order_Details[[#This Row],[Order Date]])/3, 0)</f>
        <v>4</v>
      </c>
    </row>
    <row r="735" spans="1:14">
      <c r="A735" s="1" t="s">
        <v>621</v>
      </c>
      <c r="B735" s="1">
        <v>45</v>
      </c>
      <c r="C735" s="1">
        <v>12</v>
      </c>
      <c r="D735" s="1">
        <v>4</v>
      </c>
      <c r="E735" s="1" t="s">
        <v>1076</v>
      </c>
      <c r="F735" s="1" t="s">
        <v>1103</v>
      </c>
      <c r="G735" s="7" t="str">
        <f>_xlfn.XLOOKUP(Order_Details[[#This Row],[Order ID]], List_of_orders[Order ID], List_of_orders[State])</f>
        <v>Andhra Pradesh</v>
      </c>
      <c r="H735" s="10">
        <f>_xlfn.XLOOKUP(Order_Details[[#This Row],[Order ID]], List_of_orders[Order ID], List_of_orders[Order Date (Clean)])</f>
        <v>43411</v>
      </c>
      <c r="I735" s="7" t="str">
        <f>_xlfn.XLOOKUP(Order_Details[[#This Row],[Order ID]], List_of_orders[Order ID], List_of_orders[CustomerName])</f>
        <v>Soumyabrata</v>
      </c>
      <c r="J735" s="7" t="str">
        <f>_xlfn.XLOOKUP(Order_Details[[#This Row],[Order ID]], List_of_orders[Order ID], List_of_orders[City])</f>
        <v>Hyderabad</v>
      </c>
      <c r="K735" s="8" t="str">
        <f>TEXT(Order_Details[[#This Row],[Order Date]], "YY-MMM")</f>
        <v>18-Nov</v>
      </c>
      <c r="L735" s="11">
        <f>Order_Details[[#This Row],[Profit]]/Order_Details[[#This Row],[Amount]]</f>
        <v>0.26666666666666666</v>
      </c>
      <c r="M735" s="8">
        <f>YEAR(Order_Details[[#This Row],[Order Date]])</f>
        <v>2018</v>
      </c>
      <c r="N735" s="8">
        <f>ROUNDUP(MONTH(Order_Details[[#This Row],[Order Date]])/3, 0)</f>
        <v>4</v>
      </c>
    </row>
    <row r="736" spans="1:14">
      <c r="A736" s="1" t="s">
        <v>621</v>
      </c>
      <c r="B736" s="1">
        <v>97</v>
      </c>
      <c r="C736" s="1">
        <v>17</v>
      </c>
      <c r="D736" s="1">
        <v>2</v>
      </c>
      <c r="E736" s="1" t="s">
        <v>1076</v>
      </c>
      <c r="F736" s="1" t="s">
        <v>1102</v>
      </c>
      <c r="G736" s="7" t="str">
        <f>_xlfn.XLOOKUP(Order_Details[[#This Row],[Order ID]], List_of_orders[Order ID], List_of_orders[State])</f>
        <v>Andhra Pradesh</v>
      </c>
      <c r="H736" s="10">
        <f>_xlfn.XLOOKUP(Order_Details[[#This Row],[Order ID]], List_of_orders[Order ID], List_of_orders[Order Date (Clean)])</f>
        <v>43411</v>
      </c>
      <c r="I736" s="7" t="str">
        <f>_xlfn.XLOOKUP(Order_Details[[#This Row],[Order ID]], List_of_orders[Order ID], List_of_orders[CustomerName])</f>
        <v>Soumyabrata</v>
      </c>
      <c r="J736" s="7" t="str">
        <f>_xlfn.XLOOKUP(Order_Details[[#This Row],[Order ID]], List_of_orders[Order ID], List_of_orders[City])</f>
        <v>Hyderabad</v>
      </c>
      <c r="K736" s="8" t="str">
        <f>TEXT(Order_Details[[#This Row],[Order Date]], "YY-MMM")</f>
        <v>18-Nov</v>
      </c>
      <c r="L736" s="11">
        <f>Order_Details[[#This Row],[Profit]]/Order_Details[[#This Row],[Amount]]</f>
        <v>0.17525773195876287</v>
      </c>
      <c r="M736" s="8">
        <f>YEAR(Order_Details[[#This Row],[Order Date]])</f>
        <v>2018</v>
      </c>
      <c r="N736" s="8">
        <f>ROUNDUP(MONTH(Order_Details[[#This Row],[Order Date]])/3, 0)</f>
        <v>4</v>
      </c>
    </row>
    <row r="737" spans="1:14">
      <c r="A737" s="1" t="s">
        <v>621</v>
      </c>
      <c r="B737" s="1">
        <v>50</v>
      </c>
      <c r="C737" s="1">
        <v>16</v>
      </c>
      <c r="D737" s="1">
        <v>1</v>
      </c>
      <c r="E737" s="1" t="s">
        <v>1076</v>
      </c>
      <c r="F737" s="1" t="s">
        <v>1102</v>
      </c>
      <c r="G737" s="7" t="str">
        <f>_xlfn.XLOOKUP(Order_Details[[#This Row],[Order ID]], List_of_orders[Order ID], List_of_orders[State])</f>
        <v>Andhra Pradesh</v>
      </c>
      <c r="H737" s="10">
        <f>_xlfn.XLOOKUP(Order_Details[[#This Row],[Order ID]], List_of_orders[Order ID], List_of_orders[Order Date (Clean)])</f>
        <v>43411</v>
      </c>
      <c r="I737" s="7" t="str">
        <f>_xlfn.XLOOKUP(Order_Details[[#This Row],[Order ID]], List_of_orders[Order ID], List_of_orders[CustomerName])</f>
        <v>Soumyabrata</v>
      </c>
      <c r="J737" s="7" t="str">
        <f>_xlfn.XLOOKUP(Order_Details[[#This Row],[Order ID]], List_of_orders[Order ID], List_of_orders[City])</f>
        <v>Hyderabad</v>
      </c>
      <c r="K737" s="8" t="str">
        <f>TEXT(Order_Details[[#This Row],[Order Date]], "YY-MMM")</f>
        <v>18-Nov</v>
      </c>
      <c r="L737" s="11">
        <f>Order_Details[[#This Row],[Profit]]/Order_Details[[#This Row],[Amount]]</f>
        <v>0.32</v>
      </c>
      <c r="M737" s="8">
        <f>YEAR(Order_Details[[#This Row],[Order Date]])</f>
        <v>2018</v>
      </c>
      <c r="N737" s="8">
        <f>ROUNDUP(MONTH(Order_Details[[#This Row],[Order Date]])/3, 0)</f>
        <v>4</v>
      </c>
    </row>
    <row r="738" spans="1:14">
      <c r="A738" s="1" t="s">
        <v>621</v>
      </c>
      <c r="B738" s="1">
        <v>869</v>
      </c>
      <c r="C738" s="1">
        <v>67</v>
      </c>
      <c r="D738" s="1">
        <v>4</v>
      </c>
      <c r="E738" s="1" t="s">
        <v>1075</v>
      </c>
      <c r="F738" s="1" t="s">
        <v>1113</v>
      </c>
      <c r="G738" s="7" t="str">
        <f>_xlfn.XLOOKUP(Order_Details[[#This Row],[Order ID]], List_of_orders[Order ID], List_of_orders[State])</f>
        <v>Andhra Pradesh</v>
      </c>
      <c r="H738" s="10">
        <f>_xlfn.XLOOKUP(Order_Details[[#This Row],[Order ID]], List_of_orders[Order ID], List_of_orders[Order Date (Clean)])</f>
        <v>43411</v>
      </c>
      <c r="I738" s="7" t="str">
        <f>_xlfn.XLOOKUP(Order_Details[[#This Row],[Order ID]], List_of_orders[Order ID], List_of_orders[CustomerName])</f>
        <v>Soumyabrata</v>
      </c>
      <c r="J738" s="7" t="str">
        <f>_xlfn.XLOOKUP(Order_Details[[#This Row],[Order ID]], List_of_orders[Order ID], List_of_orders[City])</f>
        <v>Hyderabad</v>
      </c>
      <c r="K738" s="8" t="str">
        <f>TEXT(Order_Details[[#This Row],[Order Date]], "YY-MMM")</f>
        <v>18-Nov</v>
      </c>
      <c r="L738" s="11">
        <f>Order_Details[[#This Row],[Profit]]/Order_Details[[#This Row],[Amount]]</f>
        <v>7.7100115074798622E-2</v>
      </c>
      <c r="M738" s="8">
        <f>YEAR(Order_Details[[#This Row],[Order Date]])</f>
        <v>2018</v>
      </c>
      <c r="N738" s="8">
        <f>ROUNDUP(MONTH(Order_Details[[#This Row],[Order Date]])/3, 0)</f>
        <v>4</v>
      </c>
    </row>
    <row r="739" spans="1:14">
      <c r="A739" s="1" t="s">
        <v>621</v>
      </c>
      <c r="B739" s="1">
        <v>105</v>
      </c>
      <c r="C739" s="1">
        <v>33</v>
      </c>
      <c r="D739" s="1">
        <v>5</v>
      </c>
      <c r="E739" s="1" t="s">
        <v>1076</v>
      </c>
      <c r="F739" s="1" t="s">
        <v>1109</v>
      </c>
      <c r="G739" s="7" t="str">
        <f>_xlfn.XLOOKUP(Order_Details[[#This Row],[Order ID]], List_of_orders[Order ID], List_of_orders[State])</f>
        <v>Andhra Pradesh</v>
      </c>
      <c r="H739" s="10">
        <f>_xlfn.XLOOKUP(Order_Details[[#This Row],[Order ID]], List_of_orders[Order ID], List_of_orders[Order Date (Clean)])</f>
        <v>43411</v>
      </c>
      <c r="I739" s="7" t="str">
        <f>_xlfn.XLOOKUP(Order_Details[[#This Row],[Order ID]], List_of_orders[Order ID], List_of_orders[CustomerName])</f>
        <v>Soumyabrata</v>
      </c>
      <c r="J739" s="7" t="str">
        <f>_xlfn.XLOOKUP(Order_Details[[#This Row],[Order ID]], List_of_orders[Order ID], List_of_orders[City])</f>
        <v>Hyderabad</v>
      </c>
      <c r="K739" s="8" t="str">
        <f>TEXT(Order_Details[[#This Row],[Order Date]], "YY-MMM")</f>
        <v>18-Nov</v>
      </c>
      <c r="L739" s="11">
        <f>Order_Details[[#This Row],[Profit]]/Order_Details[[#This Row],[Amount]]</f>
        <v>0.31428571428571428</v>
      </c>
      <c r="M739" s="8">
        <f>YEAR(Order_Details[[#This Row],[Order Date]])</f>
        <v>2018</v>
      </c>
      <c r="N739" s="8">
        <f>ROUNDUP(MONTH(Order_Details[[#This Row],[Order Date]])/3, 0)</f>
        <v>4</v>
      </c>
    </row>
    <row r="740" spans="1:14">
      <c r="A740" s="1" t="s">
        <v>623</v>
      </c>
      <c r="B740" s="1">
        <v>39</v>
      </c>
      <c r="C740" s="1">
        <v>16</v>
      </c>
      <c r="D740" s="1">
        <v>6</v>
      </c>
      <c r="E740" s="1" t="s">
        <v>1076</v>
      </c>
      <c r="F740" s="1" t="s">
        <v>1117</v>
      </c>
      <c r="G740" s="7" t="str">
        <f>_xlfn.XLOOKUP(Order_Details[[#This Row],[Order ID]], List_of_orders[Order ID], List_of_orders[State])</f>
        <v>Gujarat</v>
      </c>
      <c r="H740" s="10">
        <f>_xlfn.XLOOKUP(Order_Details[[#This Row],[Order ID]], List_of_orders[Order ID], List_of_orders[Order Date (Clean)])</f>
        <v>43412</v>
      </c>
      <c r="I740" s="7" t="str">
        <f>_xlfn.XLOOKUP(Order_Details[[#This Row],[Order ID]], List_of_orders[Order ID], List_of_orders[CustomerName])</f>
        <v>Gaurav</v>
      </c>
      <c r="J740" s="7" t="str">
        <f>_xlfn.XLOOKUP(Order_Details[[#This Row],[Order ID]], List_of_orders[Order ID], List_of_orders[City])</f>
        <v>Ahmedabad</v>
      </c>
      <c r="K740" s="8" t="str">
        <f>TEXT(Order_Details[[#This Row],[Order Date]], "YY-MMM")</f>
        <v>18-Nov</v>
      </c>
      <c r="L740" s="11">
        <f>Order_Details[[#This Row],[Profit]]/Order_Details[[#This Row],[Amount]]</f>
        <v>0.41025641025641024</v>
      </c>
      <c r="M740" s="8">
        <f>YEAR(Order_Details[[#This Row],[Order Date]])</f>
        <v>2018</v>
      </c>
      <c r="N740" s="8">
        <f>ROUNDUP(MONTH(Order_Details[[#This Row],[Order Date]])/3, 0)</f>
        <v>4</v>
      </c>
    </row>
    <row r="741" spans="1:14">
      <c r="A741" s="1" t="s">
        <v>623</v>
      </c>
      <c r="B741" s="1">
        <v>30</v>
      </c>
      <c r="C741" s="1">
        <v>14</v>
      </c>
      <c r="D741" s="1">
        <v>3</v>
      </c>
      <c r="E741" s="1" t="s">
        <v>1076</v>
      </c>
      <c r="F741" s="1" t="s">
        <v>1103</v>
      </c>
      <c r="G741" s="7" t="str">
        <f>_xlfn.XLOOKUP(Order_Details[[#This Row],[Order ID]], List_of_orders[Order ID], List_of_orders[State])</f>
        <v>Gujarat</v>
      </c>
      <c r="H741" s="10">
        <f>_xlfn.XLOOKUP(Order_Details[[#This Row],[Order ID]], List_of_orders[Order ID], List_of_orders[Order Date (Clean)])</f>
        <v>43412</v>
      </c>
      <c r="I741" s="7" t="str">
        <f>_xlfn.XLOOKUP(Order_Details[[#This Row],[Order ID]], List_of_orders[Order ID], List_of_orders[CustomerName])</f>
        <v>Gaurav</v>
      </c>
      <c r="J741" s="7" t="str">
        <f>_xlfn.XLOOKUP(Order_Details[[#This Row],[Order ID]], List_of_orders[Order ID], List_of_orders[City])</f>
        <v>Ahmedabad</v>
      </c>
      <c r="K741" s="8" t="str">
        <f>TEXT(Order_Details[[#This Row],[Order Date]], "YY-MMM")</f>
        <v>18-Nov</v>
      </c>
      <c r="L741" s="11">
        <f>Order_Details[[#This Row],[Profit]]/Order_Details[[#This Row],[Amount]]</f>
        <v>0.46666666666666667</v>
      </c>
      <c r="M741" s="8">
        <f>YEAR(Order_Details[[#This Row],[Order Date]])</f>
        <v>2018</v>
      </c>
      <c r="N741" s="8">
        <f>ROUNDUP(MONTH(Order_Details[[#This Row],[Order Date]])/3, 0)</f>
        <v>4</v>
      </c>
    </row>
    <row r="742" spans="1:14">
      <c r="A742" s="1" t="s">
        <v>623</v>
      </c>
      <c r="B742" s="1">
        <v>26</v>
      </c>
      <c r="C742" s="1">
        <v>11</v>
      </c>
      <c r="D742" s="1">
        <v>2</v>
      </c>
      <c r="E742" s="1" t="s">
        <v>1076</v>
      </c>
      <c r="F742" s="1" t="s">
        <v>1103</v>
      </c>
      <c r="G742" s="7" t="str">
        <f>_xlfn.XLOOKUP(Order_Details[[#This Row],[Order ID]], List_of_orders[Order ID], List_of_orders[State])</f>
        <v>Gujarat</v>
      </c>
      <c r="H742" s="10">
        <f>_xlfn.XLOOKUP(Order_Details[[#This Row],[Order ID]], List_of_orders[Order ID], List_of_orders[Order Date (Clean)])</f>
        <v>43412</v>
      </c>
      <c r="I742" s="7" t="str">
        <f>_xlfn.XLOOKUP(Order_Details[[#This Row],[Order ID]], List_of_orders[Order ID], List_of_orders[CustomerName])</f>
        <v>Gaurav</v>
      </c>
      <c r="J742" s="7" t="str">
        <f>_xlfn.XLOOKUP(Order_Details[[#This Row],[Order ID]], List_of_orders[Order ID], List_of_orders[City])</f>
        <v>Ahmedabad</v>
      </c>
      <c r="K742" s="8" t="str">
        <f>TEXT(Order_Details[[#This Row],[Order Date]], "YY-MMM")</f>
        <v>18-Nov</v>
      </c>
      <c r="L742" s="11">
        <f>Order_Details[[#This Row],[Profit]]/Order_Details[[#This Row],[Amount]]</f>
        <v>0.42307692307692307</v>
      </c>
      <c r="M742" s="8">
        <f>YEAR(Order_Details[[#This Row],[Order Date]])</f>
        <v>2018</v>
      </c>
      <c r="N742" s="8">
        <f>ROUNDUP(MONTH(Order_Details[[#This Row],[Order Date]])/3, 0)</f>
        <v>4</v>
      </c>
    </row>
    <row r="743" spans="1:14">
      <c r="A743" s="1" t="s">
        <v>623</v>
      </c>
      <c r="B743" s="1">
        <v>19</v>
      </c>
      <c r="C743" s="1">
        <v>6</v>
      </c>
      <c r="D743" s="1">
        <v>2</v>
      </c>
      <c r="E743" s="1" t="s">
        <v>1076</v>
      </c>
      <c r="F743" s="1" t="s">
        <v>1106</v>
      </c>
      <c r="G743" s="7" t="str">
        <f>_xlfn.XLOOKUP(Order_Details[[#This Row],[Order ID]], List_of_orders[Order ID], List_of_orders[State])</f>
        <v>Gujarat</v>
      </c>
      <c r="H743" s="10">
        <f>_xlfn.XLOOKUP(Order_Details[[#This Row],[Order ID]], List_of_orders[Order ID], List_of_orders[Order Date (Clean)])</f>
        <v>43412</v>
      </c>
      <c r="I743" s="7" t="str">
        <f>_xlfn.XLOOKUP(Order_Details[[#This Row],[Order ID]], List_of_orders[Order ID], List_of_orders[CustomerName])</f>
        <v>Gaurav</v>
      </c>
      <c r="J743" s="7" t="str">
        <f>_xlfn.XLOOKUP(Order_Details[[#This Row],[Order ID]], List_of_orders[Order ID], List_of_orders[City])</f>
        <v>Ahmedabad</v>
      </c>
      <c r="K743" s="8" t="str">
        <f>TEXT(Order_Details[[#This Row],[Order Date]], "YY-MMM")</f>
        <v>18-Nov</v>
      </c>
      <c r="L743" s="11">
        <f>Order_Details[[#This Row],[Profit]]/Order_Details[[#This Row],[Amount]]</f>
        <v>0.31578947368421051</v>
      </c>
      <c r="M743" s="8">
        <f>YEAR(Order_Details[[#This Row],[Order Date]])</f>
        <v>2018</v>
      </c>
      <c r="N743" s="8">
        <f>ROUNDUP(MONTH(Order_Details[[#This Row],[Order Date]])/3, 0)</f>
        <v>4</v>
      </c>
    </row>
    <row r="744" spans="1:14">
      <c r="A744" s="1" t="s">
        <v>623</v>
      </c>
      <c r="B744" s="1">
        <v>579</v>
      </c>
      <c r="C744" s="1">
        <v>139</v>
      </c>
      <c r="D744" s="1">
        <v>3</v>
      </c>
      <c r="E744" s="1" t="s">
        <v>1077</v>
      </c>
      <c r="F744" s="1" t="s">
        <v>1114</v>
      </c>
      <c r="G744" s="7" t="str">
        <f>_xlfn.XLOOKUP(Order_Details[[#This Row],[Order ID]], List_of_orders[Order ID], List_of_orders[State])</f>
        <v>Gujarat</v>
      </c>
      <c r="H744" s="10">
        <f>_xlfn.XLOOKUP(Order_Details[[#This Row],[Order ID]], List_of_orders[Order ID], List_of_orders[Order Date (Clean)])</f>
        <v>43412</v>
      </c>
      <c r="I744" s="7" t="str">
        <f>_xlfn.XLOOKUP(Order_Details[[#This Row],[Order ID]], List_of_orders[Order ID], List_of_orders[CustomerName])</f>
        <v>Gaurav</v>
      </c>
      <c r="J744" s="7" t="str">
        <f>_xlfn.XLOOKUP(Order_Details[[#This Row],[Order ID]], List_of_orders[Order ID], List_of_orders[City])</f>
        <v>Ahmedabad</v>
      </c>
      <c r="K744" s="8" t="str">
        <f>TEXT(Order_Details[[#This Row],[Order Date]], "YY-MMM")</f>
        <v>18-Nov</v>
      </c>
      <c r="L744" s="11">
        <f>Order_Details[[#This Row],[Profit]]/Order_Details[[#This Row],[Amount]]</f>
        <v>0.24006908462867013</v>
      </c>
      <c r="M744" s="8">
        <f>YEAR(Order_Details[[#This Row],[Order Date]])</f>
        <v>2018</v>
      </c>
      <c r="N744" s="8">
        <f>ROUNDUP(MONTH(Order_Details[[#This Row],[Order Date]])/3, 0)</f>
        <v>4</v>
      </c>
    </row>
    <row r="745" spans="1:14">
      <c r="A745" s="1" t="s">
        <v>623</v>
      </c>
      <c r="B745" s="1">
        <v>2093</v>
      </c>
      <c r="C745" s="1">
        <v>721</v>
      </c>
      <c r="D745" s="1">
        <v>5</v>
      </c>
      <c r="E745" s="1" t="s">
        <v>1075</v>
      </c>
      <c r="F745" s="1" t="s">
        <v>1108</v>
      </c>
      <c r="G745" s="7" t="str">
        <f>_xlfn.XLOOKUP(Order_Details[[#This Row],[Order ID]], List_of_orders[Order ID], List_of_orders[State])</f>
        <v>Gujarat</v>
      </c>
      <c r="H745" s="10">
        <f>_xlfn.XLOOKUP(Order_Details[[#This Row],[Order ID]], List_of_orders[Order ID], List_of_orders[Order Date (Clean)])</f>
        <v>43412</v>
      </c>
      <c r="I745" s="7" t="str">
        <f>_xlfn.XLOOKUP(Order_Details[[#This Row],[Order ID]], List_of_orders[Order ID], List_of_orders[CustomerName])</f>
        <v>Gaurav</v>
      </c>
      <c r="J745" s="7" t="str">
        <f>_xlfn.XLOOKUP(Order_Details[[#This Row],[Order ID]], List_of_orders[Order ID], List_of_orders[City])</f>
        <v>Ahmedabad</v>
      </c>
      <c r="K745" s="8" t="str">
        <f>TEXT(Order_Details[[#This Row],[Order Date]], "YY-MMM")</f>
        <v>18-Nov</v>
      </c>
      <c r="L745" s="11">
        <f>Order_Details[[#This Row],[Profit]]/Order_Details[[#This Row],[Amount]]</f>
        <v>0.34448160535117056</v>
      </c>
      <c r="M745" s="8">
        <f>YEAR(Order_Details[[#This Row],[Order Date]])</f>
        <v>2018</v>
      </c>
      <c r="N745" s="8">
        <f>ROUNDUP(MONTH(Order_Details[[#This Row],[Order Date]])/3, 0)</f>
        <v>4</v>
      </c>
    </row>
    <row r="746" spans="1:14">
      <c r="A746" s="1" t="s">
        <v>623</v>
      </c>
      <c r="B746" s="1">
        <v>95</v>
      </c>
      <c r="C746" s="1">
        <v>11</v>
      </c>
      <c r="D746" s="1">
        <v>4</v>
      </c>
      <c r="E746" s="1" t="s">
        <v>1075</v>
      </c>
      <c r="F746" s="1" t="s">
        <v>1116</v>
      </c>
      <c r="G746" s="7" t="str">
        <f>_xlfn.XLOOKUP(Order_Details[[#This Row],[Order ID]], List_of_orders[Order ID], List_of_orders[State])</f>
        <v>Gujarat</v>
      </c>
      <c r="H746" s="10">
        <f>_xlfn.XLOOKUP(Order_Details[[#This Row],[Order ID]], List_of_orders[Order ID], List_of_orders[Order Date (Clean)])</f>
        <v>43412</v>
      </c>
      <c r="I746" s="7" t="str">
        <f>_xlfn.XLOOKUP(Order_Details[[#This Row],[Order ID]], List_of_orders[Order ID], List_of_orders[CustomerName])</f>
        <v>Gaurav</v>
      </c>
      <c r="J746" s="7" t="str">
        <f>_xlfn.XLOOKUP(Order_Details[[#This Row],[Order ID]], List_of_orders[Order ID], List_of_orders[City])</f>
        <v>Ahmedabad</v>
      </c>
      <c r="K746" s="8" t="str">
        <f>TEXT(Order_Details[[#This Row],[Order Date]], "YY-MMM")</f>
        <v>18-Nov</v>
      </c>
      <c r="L746" s="11">
        <f>Order_Details[[#This Row],[Profit]]/Order_Details[[#This Row],[Amount]]</f>
        <v>0.11578947368421053</v>
      </c>
      <c r="M746" s="8">
        <f>YEAR(Order_Details[[#This Row],[Order Date]])</f>
        <v>2018</v>
      </c>
      <c r="N746" s="8">
        <f>ROUNDUP(MONTH(Order_Details[[#This Row],[Order Date]])/3, 0)</f>
        <v>4</v>
      </c>
    </row>
    <row r="747" spans="1:14">
      <c r="A747" s="1" t="s">
        <v>623</v>
      </c>
      <c r="B747" s="1">
        <v>128</v>
      </c>
      <c r="C747" s="1">
        <v>4</v>
      </c>
      <c r="D747" s="1">
        <v>3</v>
      </c>
      <c r="E747" s="1" t="s">
        <v>1076</v>
      </c>
      <c r="F747" s="1" t="s">
        <v>1106</v>
      </c>
      <c r="G747" s="7" t="str">
        <f>_xlfn.XLOOKUP(Order_Details[[#This Row],[Order ID]], List_of_orders[Order ID], List_of_orders[State])</f>
        <v>Gujarat</v>
      </c>
      <c r="H747" s="10">
        <f>_xlfn.XLOOKUP(Order_Details[[#This Row],[Order ID]], List_of_orders[Order ID], List_of_orders[Order Date (Clean)])</f>
        <v>43412</v>
      </c>
      <c r="I747" s="7" t="str">
        <f>_xlfn.XLOOKUP(Order_Details[[#This Row],[Order ID]], List_of_orders[Order ID], List_of_orders[CustomerName])</f>
        <v>Gaurav</v>
      </c>
      <c r="J747" s="7" t="str">
        <f>_xlfn.XLOOKUP(Order_Details[[#This Row],[Order ID]], List_of_orders[Order ID], List_of_orders[City])</f>
        <v>Ahmedabad</v>
      </c>
      <c r="K747" s="8" t="str">
        <f>TEXT(Order_Details[[#This Row],[Order Date]], "YY-MMM")</f>
        <v>18-Nov</v>
      </c>
      <c r="L747" s="11">
        <f>Order_Details[[#This Row],[Profit]]/Order_Details[[#This Row],[Amount]]</f>
        <v>3.125E-2</v>
      </c>
      <c r="M747" s="8">
        <f>YEAR(Order_Details[[#This Row],[Order Date]])</f>
        <v>2018</v>
      </c>
      <c r="N747" s="8">
        <f>ROUNDUP(MONTH(Order_Details[[#This Row],[Order Date]])/3, 0)</f>
        <v>4</v>
      </c>
    </row>
    <row r="748" spans="1:14">
      <c r="A748" s="1" t="s">
        <v>623</v>
      </c>
      <c r="B748" s="1">
        <v>199</v>
      </c>
      <c r="C748" s="1">
        <v>48</v>
      </c>
      <c r="D748" s="1">
        <v>4</v>
      </c>
      <c r="E748" s="1" t="s">
        <v>1076</v>
      </c>
      <c r="F748" s="1" t="s">
        <v>1102</v>
      </c>
      <c r="G748" s="7" t="str">
        <f>_xlfn.XLOOKUP(Order_Details[[#This Row],[Order ID]], List_of_orders[Order ID], List_of_orders[State])</f>
        <v>Gujarat</v>
      </c>
      <c r="H748" s="10">
        <f>_xlfn.XLOOKUP(Order_Details[[#This Row],[Order ID]], List_of_orders[Order ID], List_of_orders[Order Date (Clean)])</f>
        <v>43412</v>
      </c>
      <c r="I748" s="7" t="str">
        <f>_xlfn.XLOOKUP(Order_Details[[#This Row],[Order ID]], List_of_orders[Order ID], List_of_orders[CustomerName])</f>
        <v>Gaurav</v>
      </c>
      <c r="J748" s="7" t="str">
        <f>_xlfn.XLOOKUP(Order_Details[[#This Row],[Order ID]], List_of_orders[Order ID], List_of_orders[City])</f>
        <v>Ahmedabad</v>
      </c>
      <c r="K748" s="8" t="str">
        <f>TEXT(Order_Details[[#This Row],[Order Date]], "YY-MMM")</f>
        <v>18-Nov</v>
      </c>
      <c r="L748" s="11">
        <f>Order_Details[[#This Row],[Profit]]/Order_Details[[#This Row],[Amount]]</f>
        <v>0.24120603015075376</v>
      </c>
      <c r="M748" s="8">
        <f>YEAR(Order_Details[[#This Row],[Order Date]])</f>
        <v>2018</v>
      </c>
      <c r="N748" s="8">
        <f>ROUNDUP(MONTH(Order_Details[[#This Row],[Order Date]])/3, 0)</f>
        <v>4</v>
      </c>
    </row>
    <row r="749" spans="1:14">
      <c r="A749" s="1" t="s">
        <v>625</v>
      </c>
      <c r="B749" s="1">
        <v>149</v>
      </c>
      <c r="C749" s="1">
        <v>48</v>
      </c>
      <c r="D749" s="1">
        <v>6</v>
      </c>
      <c r="E749" s="1" t="s">
        <v>1076</v>
      </c>
      <c r="F749" s="1" t="s">
        <v>1102</v>
      </c>
      <c r="G749" s="7" t="str">
        <f>_xlfn.XLOOKUP(Order_Details[[#This Row],[Order ID]], List_of_orders[Order ID], List_of_orders[State])</f>
        <v>Maharashtra</v>
      </c>
      <c r="H749" s="10">
        <f>_xlfn.XLOOKUP(Order_Details[[#This Row],[Order ID]], List_of_orders[Order ID], List_of_orders[Order Date (Clean)])</f>
        <v>43412</v>
      </c>
      <c r="I749" s="7" t="str">
        <f>_xlfn.XLOOKUP(Order_Details[[#This Row],[Order ID]], List_of_orders[Order ID], List_of_orders[CustomerName])</f>
        <v>Shubham</v>
      </c>
      <c r="J749" s="7" t="str">
        <f>_xlfn.XLOOKUP(Order_Details[[#This Row],[Order ID]], List_of_orders[Order ID], List_of_orders[City])</f>
        <v>Pune</v>
      </c>
      <c r="K749" s="8" t="str">
        <f>TEXT(Order_Details[[#This Row],[Order Date]], "YY-MMM")</f>
        <v>18-Nov</v>
      </c>
      <c r="L749" s="11">
        <f>Order_Details[[#This Row],[Profit]]/Order_Details[[#This Row],[Amount]]</f>
        <v>0.32214765100671139</v>
      </c>
      <c r="M749" s="8">
        <f>YEAR(Order_Details[[#This Row],[Order Date]])</f>
        <v>2018</v>
      </c>
      <c r="N749" s="8">
        <f>ROUNDUP(MONTH(Order_Details[[#This Row],[Order Date]])/3, 0)</f>
        <v>4</v>
      </c>
    </row>
    <row r="750" spans="1:14">
      <c r="A750" s="1" t="s">
        <v>625</v>
      </c>
      <c r="B750" s="1">
        <v>436</v>
      </c>
      <c r="C750" s="1">
        <v>131</v>
      </c>
      <c r="D750" s="1">
        <v>9</v>
      </c>
      <c r="E750" s="1" t="s">
        <v>1076</v>
      </c>
      <c r="F750" s="1" t="s">
        <v>1103</v>
      </c>
      <c r="G750" s="7" t="str">
        <f>_xlfn.XLOOKUP(Order_Details[[#This Row],[Order ID]], List_of_orders[Order ID], List_of_orders[State])</f>
        <v>Maharashtra</v>
      </c>
      <c r="H750" s="10">
        <f>_xlfn.XLOOKUP(Order_Details[[#This Row],[Order ID]], List_of_orders[Order ID], List_of_orders[Order Date (Clean)])</f>
        <v>43412</v>
      </c>
      <c r="I750" s="7" t="str">
        <f>_xlfn.XLOOKUP(Order_Details[[#This Row],[Order ID]], List_of_orders[Order ID], List_of_orders[CustomerName])</f>
        <v>Shubham</v>
      </c>
      <c r="J750" s="7" t="str">
        <f>_xlfn.XLOOKUP(Order_Details[[#This Row],[Order ID]], List_of_orders[Order ID], List_of_orders[City])</f>
        <v>Pune</v>
      </c>
      <c r="K750" s="8" t="str">
        <f>TEXT(Order_Details[[#This Row],[Order Date]], "YY-MMM")</f>
        <v>18-Nov</v>
      </c>
      <c r="L750" s="11">
        <f>Order_Details[[#This Row],[Profit]]/Order_Details[[#This Row],[Amount]]</f>
        <v>0.30045871559633025</v>
      </c>
      <c r="M750" s="8">
        <f>YEAR(Order_Details[[#This Row],[Order Date]])</f>
        <v>2018</v>
      </c>
      <c r="N750" s="8">
        <f>ROUNDUP(MONTH(Order_Details[[#This Row],[Order Date]])/3, 0)</f>
        <v>4</v>
      </c>
    </row>
    <row r="751" spans="1:14">
      <c r="A751" s="1" t="s">
        <v>625</v>
      </c>
      <c r="B751" s="1">
        <v>76</v>
      </c>
      <c r="C751" s="1">
        <v>19</v>
      </c>
      <c r="D751" s="1">
        <v>3</v>
      </c>
      <c r="E751" s="1" t="s">
        <v>1076</v>
      </c>
      <c r="F751" s="1" t="s">
        <v>1103</v>
      </c>
      <c r="G751" s="7" t="str">
        <f>_xlfn.XLOOKUP(Order_Details[[#This Row],[Order ID]], List_of_orders[Order ID], List_of_orders[State])</f>
        <v>Maharashtra</v>
      </c>
      <c r="H751" s="10">
        <f>_xlfn.XLOOKUP(Order_Details[[#This Row],[Order ID]], List_of_orders[Order ID], List_of_orders[Order Date (Clean)])</f>
        <v>43412</v>
      </c>
      <c r="I751" s="7" t="str">
        <f>_xlfn.XLOOKUP(Order_Details[[#This Row],[Order ID]], List_of_orders[Order ID], List_of_orders[CustomerName])</f>
        <v>Shubham</v>
      </c>
      <c r="J751" s="7" t="str">
        <f>_xlfn.XLOOKUP(Order_Details[[#This Row],[Order ID]], List_of_orders[Order ID], List_of_orders[City])</f>
        <v>Pune</v>
      </c>
      <c r="K751" s="8" t="str">
        <f>TEXT(Order_Details[[#This Row],[Order Date]], "YY-MMM")</f>
        <v>18-Nov</v>
      </c>
      <c r="L751" s="11">
        <f>Order_Details[[#This Row],[Profit]]/Order_Details[[#This Row],[Amount]]</f>
        <v>0.25</v>
      </c>
      <c r="M751" s="8">
        <f>YEAR(Order_Details[[#This Row],[Order Date]])</f>
        <v>2018</v>
      </c>
      <c r="N751" s="8">
        <f>ROUNDUP(MONTH(Order_Details[[#This Row],[Order Date]])/3, 0)</f>
        <v>4</v>
      </c>
    </row>
    <row r="752" spans="1:14">
      <c r="A752" s="1" t="s">
        <v>625</v>
      </c>
      <c r="B752" s="1">
        <v>88</v>
      </c>
      <c r="C752" s="1">
        <v>16</v>
      </c>
      <c r="D752" s="1">
        <v>4</v>
      </c>
      <c r="E752" s="1" t="s">
        <v>1076</v>
      </c>
      <c r="F752" s="1" t="s">
        <v>1102</v>
      </c>
      <c r="G752" s="7" t="str">
        <f>_xlfn.XLOOKUP(Order_Details[[#This Row],[Order ID]], List_of_orders[Order ID], List_of_orders[State])</f>
        <v>Maharashtra</v>
      </c>
      <c r="H752" s="10">
        <f>_xlfn.XLOOKUP(Order_Details[[#This Row],[Order ID]], List_of_orders[Order ID], List_of_orders[Order Date (Clean)])</f>
        <v>43412</v>
      </c>
      <c r="I752" s="7" t="str">
        <f>_xlfn.XLOOKUP(Order_Details[[#This Row],[Order ID]], List_of_orders[Order ID], List_of_orders[CustomerName])</f>
        <v>Shubham</v>
      </c>
      <c r="J752" s="7" t="str">
        <f>_xlfn.XLOOKUP(Order_Details[[#This Row],[Order ID]], List_of_orders[Order ID], List_of_orders[City])</f>
        <v>Pune</v>
      </c>
      <c r="K752" s="8" t="str">
        <f>TEXT(Order_Details[[#This Row],[Order Date]], "YY-MMM")</f>
        <v>18-Nov</v>
      </c>
      <c r="L752" s="11">
        <f>Order_Details[[#This Row],[Profit]]/Order_Details[[#This Row],[Amount]]</f>
        <v>0.18181818181818182</v>
      </c>
      <c r="M752" s="8">
        <f>YEAR(Order_Details[[#This Row],[Order Date]])</f>
        <v>2018</v>
      </c>
      <c r="N752" s="8">
        <f>ROUNDUP(MONTH(Order_Details[[#This Row],[Order Date]])/3, 0)</f>
        <v>4</v>
      </c>
    </row>
    <row r="753" spans="1:14">
      <c r="A753" s="1" t="s">
        <v>625</v>
      </c>
      <c r="B753" s="1">
        <v>342</v>
      </c>
      <c r="C753" s="1">
        <v>154</v>
      </c>
      <c r="D753" s="1">
        <v>7</v>
      </c>
      <c r="E753" s="1" t="s">
        <v>1075</v>
      </c>
      <c r="F753" s="1" t="s">
        <v>1116</v>
      </c>
      <c r="G753" s="7" t="str">
        <f>_xlfn.XLOOKUP(Order_Details[[#This Row],[Order ID]], List_of_orders[Order ID], List_of_orders[State])</f>
        <v>Maharashtra</v>
      </c>
      <c r="H753" s="10">
        <f>_xlfn.XLOOKUP(Order_Details[[#This Row],[Order ID]], List_of_orders[Order ID], List_of_orders[Order Date (Clean)])</f>
        <v>43412</v>
      </c>
      <c r="I753" s="7" t="str">
        <f>_xlfn.XLOOKUP(Order_Details[[#This Row],[Order ID]], List_of_orders[Order ID], List_of_orders[CustomerName])</f>
        <v>Shubham</v>
      </c>
      <c r="J753" s="7" t="str">
        <f>_xlfn.XLOOKUP(Order_Details[[#This Row],[Order ID]], List_of_orders[Order ID], List_of_orders[City])</f>
        <v>Pune</v>
      </c>
      <c r="K753" s="8" t="str">
        <f>TEXT(Order_Details[[#This Row],[Order Date]], "YY-MMM")</f>
        <v>18-Nov</v>
      </c>
      <c r="L753" s="11">
        <f>Order_Details[[#This Row],[Profit]]/Order_Details[[#This Row],[Amount]]</f>
        <v>0.45029239766081869</v>
      </c>
      <c r="M753" s="8">
        <f>YEAR(Order_Details[[#This Row],[Order Date]])</f>
        <v>2018</v>
      </c>
      <c r="N753" s="8">
        <f>ROUNDUP(MONTH(Order_Details[[#This Row],[Order Date]])/3, 0)</f>
        <v>4</v>
      </c>
    </row>
    <row r="754" spans="1:14">
      <c r="A754" s="1" t="s">
        <v>625</v>
      </c>
      <c r="B754" s="1">
        <v>40</v>
      </c>
      <c r="C754" s="1">
        <v>16</v>
      </c>
      <c r="D754" s="1">
        <v>3</v>
      </c>
      <c r="E754" s="1" t="s">
        <v>1076</v>
      </c>
      <c r="F754" s="1" t="s">
        <v>1103</v>
      </c>
      <c r="G754" s="7" t="str">
        <f>_xlfn.XLOOKUP(Order_Details[[#This Row],[Order ID]], List_of_orders[Order ID], List_of_orders[State])</f>
        <v>Maharashtra</v>
      </c>
      <c r="H754" s="10">
        <f>_xlfn.XLOOKUP(Order_Details[[#This Row],[Order ID]], List_of_orders[Order ID], List_of_orders[Order Date (Clean)])</f>
        <v>43412</v>
      </c>
      <c r="I754" s="7" t="str">
        <f>_xlfn.XLOOKUP(Order_Details[[#This Row],[Order ID]], List_of_orders[Order ID], List_of_orders[CustomerName])</f>
        <v>Shubham</v>
      </c>
      <c r="J754" s="7" t="str">
        <f>_xlfn.XLOOKUP(Order_Details[[#This Row],[Order ID]], List_of_orders[Order ID], List_of_orders[City])</f>
        <v>Pune</v>
      </c>
      <c r="K754" s="8" t="str">
        <f>TEXT(Order_Details[[#This Row],[Order Date]], "YY-MMM")</f>
        <v>18-Nov</v>
      </c>
      <c r="L754" s="11">
        <f>Order_Details[[#This Row],[Profit]]/Order_Details[[#This Row],[Amount]]</f>
        <v>0.4</v>
      </c>
      <c r="M754" s="8">
        <f>YEAR(Order_Details[[#This Row],[Order Date]])</f>
        <v>2018</v>
      </c>
      <c r="N754" s="8">
        <f>ROUNDUP(MONTH(Order_Details[[#This Row],[Order Date]])/3, 0)</f>
        <v>4</v>
      </c>
    </row>
    <row r="755" spans="1:14">
      <c r="A755" s="1" t="s">
        <v>625</v>
      </c>
      <c r="B755" s="1">
        <v>53</v>
      </c>
      <c r="C755" s="1">
        <v>-2</v>
      </c>
      <c r="D755" s="1">
        <v>3</v>
      </c>
      <c r="E755" s="1" t="s">
        <v>1076</v>
      </c>
      <c r="F755" s="1" t="s">
        <v>1106</v>
      </c>
      <c r="G755" s="7" t="str">
        <f>_xlfn.XLOOKUP(Order_Details[[#This Row],[Order ID]], List_of_orders[Order ID], List_of_orders[State])</f>
        <v>Maharashtra</v>
      </c>
      <c r="H755" s="10">
        <f>_xlfn.XLOOKUP(Order_Details[[#This Row],[Order ID]], List_of_orders[Order ID], List_of_orders[Order Date (Clean)])</f>
        <v>43412</v>
      </c>
      <c r="I755" s="7" t="str">
        <f>_xlfn.XLOOKUP(Order_Details[[#This Row],[Order ID]], List_of_orders[Order ID], List_of_orders[CustomerName])</f>
        <v>Shubham</v>
      </c>
      <c r="J755" s="7" t="str">
        <f>_xlfn.XLOOKUP(Order_Details[[#This Row],[Order ID]], List_of_orders[Order ID], List_of_orders[City])</f>
        <v>Pune</v>
      </c>
      <c r="K755" s="8" t="str">
        <f>TEXT(Order_Details[[#This Row],[Order Date]], "YY-MMM")</f>
        <v>18-Nov</v>
      </c>
      <c r="L755" s="11">
        <f>Order_Details[[#This Row],[Profit]]/Order_Details[[#This Row],[Amount]]</f>
        <v>-3.7735849056603772E-2</v>
      </c>
      <c r="M755" s="8">
        <f>YEAR(Order_Details[[#This Row],[Order Date]])</f>
        <v>2018</v>
      </c>
      <c r="N755" s="8">
        <f>ROUNDUP(MONTH(Order_Details[[#This Row],[Order Date]])/3, 0)</f>
        <v>4</v>
      </c>
    </row>
    <row r="756" spans="1:14">
      <c r="A756" s="1" t="s">
        <v>625</v>
      </c>
      <c r="B756" s="1">
        <v>381</v>
      </c>
      <c r="C756" s="1">
        <v>144</v>
      </c>
      <c r="D756" s="1">
        <v>2</v>
      </c>
      <c r="E756" s="1" t="s">
        <v>1076</v>
      </c>
      <c r="F756" s="1" t="s">
        <v>1106</v>
      </c>
      <c r="G756" s="7" t="str">
        <f>_xlfn.XLOOKUP(Order_Details[[#This Row],[Order ID]], List_of_orders[Order ID], List_of_orders[State])</f>
        <v>Maharashtra</v>
      </c>
      <c r="H756" s="10">
        <f>_xlfn.XLOOKUP(Order_Details[[#This Row],[Order ID]], List_of_orders[Order ID], List_of_orders[Order Date (Clean)])</f>
        <v>43412</v>
      </c>
      <c r="I756" s="7" t="str">
        <f>_xlfn.XLOOKUP(Order_Details[[#This Row],[Order ID]], List_of_orders[Order ID], List_of_orders[CustomerName])</f>
        <v>Shubham</v>
      </c>
      <c r="J756" s="7" t="str">
        <f>_xlfn.XLOOKUP(Order_Details[[#This Row],[Order ID]], List_of_orders[Order ID], List_of_orders[City])</f>
        <v>Pune</v>
      </c>
      <c r="K756" s="8" t="str">
        <f>TEXT(Order_Details[[#This Row],[Order Date]], "YY-MMM")</f>
        <v>18-Nov</v>
      </c>
      <c r="L756" s="11">
        <f>Order_Details[[#This Row],[Profit]]/Order_Details[[#This Row],[Amount]]</f>
        <v>0.37795275590551181</v>
      </c>
      <c r="M756" s="8">
        <f>YEAR(Order_Details[[#This Row],[Order Date]])</f>
        <v>2018</v>
      </c>
      <c r="N756" s="8">
        <f>ROUNDUP(MONTH(Order_Details[[#This Row],[Order Date]])/3, 0)</f>
        <v>4</v>
      </c>
    </row>
    <row r="757" spans="1:14">
      <c r="A757" s="1" t="s">
        <v>626</v>
      </c>
      <c r="B757" s="1">
        <v>829</v>
      </c>
      <c r="C757" s="1">
        <v>19</v>
      </c>
      <c r="D757" s="1">
        <v>4</v>
      </c>
      <c r="E757" s="1" t="s">
        <v>1077</v>
      </c>
      <c r="F757" s="1" t="s">
        <v>1114</v>
      </c>
      <c r="G757" s="7" t="str">
        <f>_xlfn.XLOOKUP(Order_Details[[#This Row],[Order ID]], List_of_orders[Order ID], List_of_orders[State])</f>
        <v>Madhya Pradesh</v>
      </c>
      <c r="H757" s="10">
        <f>_xlfn.XLOOKUP(Order_Details[[#This Row],[Order ID]], List_of_orders[Order ID], List_of_orders[Order Date (Clean)])</f>
        <v>43412</v>
      </c>
      <c r="I757" s="7" t="str">
        <f>_xlfn.XLOOKUP(Order_Details[[#This Row],[Order ID]], List_of_orders[Order ID], List_of_orders[CustomerName])</f>
        <v>Abhijeet</v>
      </c>
      <c r="J757" s="7" t="str">
        <f>_xlfn.XLOOKUP(Order_Details[[#This Row],[Order ID]], List_of_orders[Order ID], List_of_orders[City])</f>
        <v>Bhopal</v>
      </c>
      <c r="K757" s="8" t="str">
        <f>TEXT(Order_Details[[#This Row],[Order Date]], "YY-MMM")</f>
        <v>18-Nov</v>
      </c>
      <c r="L757" s="11">
        <f>Order_Details[[#This Row],[Profit]]/Order_Details[[#This Row],[Amount]]</f>
        <v>2.2919179734620022E-2</v>
      </c>
      <c r="M757" s="8">
        <f>YEAR(Order_Details[[#This Row],[Order Date]])</f>
        <v>2018</v>
      </c>
      <c r="N757" s="8">
        <f>ROUNDUP(MONTH(Order_Details[[#This Row],[Order Date]])/3, 0)</f>
        <v>4</v>
      </c>
    </row>
    <row r="758" spans="1:14">
      <c r="A758" s="1" t="s">
        <v>626</v>
      </c>
      <c r="B758" s="1">
        <v>442</v>
      </c>
      <c r="C758" s="1">
        <v>31</v>
      </c>
      <c r="D758" s="1">
        <v>2</v>
      </c>
      <c r="E758" s="1" t="s">
        <v>1077</v>
      </c>
      <c r="F758" s="1" t="s">
        <v>1104</v>
      </c>
      <c r="G758" s="7" t="str">
        <f>_xlfn.XLOOKUP(Order_Details[[#This Row],[Order ID]], List_of_orders[Order ID], List_of_orders[State])</f>
        <v>Madhya Pradesh</v>
      </c>
      <c r="H758" s="10">
        <f>_xlfn.XLOOKUP(Order_Details[[#This Row],[Order ID]], List_of_orders[Order ID], List_of_orders[Order Date (Clean)])</f>
        <v>43412</v>
      </c>
      <c r="I758" s="7" t="str">
        <f>_xlfn.XLOOKUP(Order_Details[[#This Row],[Order ID]], List_of_orders[Order ID], List_of_orders[CustomerName])</f>
        <v>Abhijeet</v>
      </c>
      <c r="J758" s="7" t="str">
        <f>_xlfn.XLOOKUP(Order_Details[[#This Row],[Order ID]], List_of_orders[Order ID], List_of_orders[City])</f>
        <v>Bhopal</v>
      </c>
      <c r="K758" s="8" t="str">
        <f>TEXT(Order_Details[[#This Row],[Order Date]], "YY-MMM")</f>
        <v>18-Nov</v>
      </c>
      <c r="L758" s="11">
        <f>Order_Details[[#This Row],[Profit]]/Order_Details[[#This Row],[Amount]]</f>
        <v>7.0135746606334842E-2</v>
      </c>
      <c r="M758" s="8">
        <f>YEAR(Order_Details[[#This Row],[Order Date]])</f>
        <v>2018</v>
      </c>
      <c r="N758" s="8">
        <f>ROUNDUP(MONTH(Order_Details[[#This Row],[Order Date]])/3, 0)</f>
        <v>4</v>
      </c>
    </row>
    <row r="759" spans="1:14">
      <c r="A759" s="1" t="s">
        <v>626</v>
      </c>
      <c r="B759" s="1">
        <v>90</v>
      </c>
      <c r="C759" s="1">
        <v>17</v>
      </c>
      <c r="D759" s="1">
        <v>3</v>
      </c>
      <c r="E759" s="1" t="s">
        <v>1076</v>
      </c>
      <c r="F759" s="1" t="s">
        <v>1103</v>
      </c>
      <c r="G759" s="7" t="str">
        <f>_xlfn.XLOOKUP(Order_Details[[#This Row],[Order ID]], List_of_orders[Order ID], List_of_orders[State])</f>
        <v>Madhya Pradesh</v>
      </c>
      <c r="H759" s="10">
        <f>_xlfn.XLOOKUP(Order_Details[[#This Row],[Order ID]], List_of_orders[Order ID], List_of_orders[Order Date (Clean)])</f>
        <v>43412</v>
      </c>
      <c r="I759" s="7" t="str">
        <f>_xlfn.XLOOKUP(Order_Details[[#This Row],[Order ID]], List_of_orders[Order ID], List_of_orders[CustomerName])</f>
        <v>Abhijeet</v>
      </c>
      <c r="J759" s="7" t="str">
        <f>_xlfn.XLOOKUP(Order_Details[[#This Row],[Order ID]], List_of_orders[Order ID], List_of_orders[City])</f>
        <v>Bhopal</v>
      </c>
      <c r="K759" s="8" t="str">
        <f>TEXT(Order_Details[[#This Row],[Order Date]], "YY-MMM")</f>
        <v>18-Nov</v>
      </c>
      <c r="L759" s="11">
        <f>Order_Details[[#This Row],[Profit]]/Order_Details[[#This Row],[Amount]]</f>
        <v>0.18888888888888888</v>
      </c>
      <c r="M759" s="8">
        <f>YEAR(Order_Details[[#This Row],[Order Date]])</f>
        <v>2018</v>
      </c>
      <c r="N759" s="8">
        <f>ROUNDUP(MONTH(Order_Details[[#This Row],[Order Date]])/3, 0)</f>
        <v>4</v>
      </c>
    </row>
    <row r="760" spans="1:14">
      <c r="A760" s="1" t="s">
        <v>626</v>
      </c>
      <c r="B760" s="1">
        <v>98</v>
      </c>
      <c r="C760" s="1">
        <v>12</v>
      </c>
      <c r="D760" s="1">
        <v>2</v>
      </c>
      <c r="E760" s="1" t="s">
        <v>1076</v>
      </c>
      <c r="F760" s="1" t="s">
        <v>1103</v>
      </c>
      <c r="G760" s="7" t="str">
        <f>_xlfn.XLOOKUP(Order_Details[[#This Row],[Order ID]], List_of_orders[Order ID], List_of_orders[State])</f>
        <v>Madhya Pradesh</v>
      </c>
      <c r="H760" s="10">
        <f>_xlfn.XLOOKUP(Order_Details[[#This Row],[Order ID]], List_of_orders[Order ID], List_of_orders[Order Date (Clean)])</f>
        <v>43412</v>
      </c>
      <c r="I760" s="7" t="str">
        <f>_xlfn.XLOOKUP(Order_Details[[#This Row],[Order ID]], List_of_orders[Order ID], List_of_orders[CustomerName])</f>
        <v>Abhijeet</v>
      </c>
      <c r="J760" s="7" t="str">
        <f>_xlfn.XLOOKUP(Order_Details[[#This Row],[Order ID]], List_of_orders[Order ID], List_of_orders[City])</f>
        <v>Bhopal</v>
      </c>
      <c r="K760" s="8" t="str">
        <f>TEXT(Order_Details[[#This Row],[Order Date]], "YY-MMM")</f>
        <v>18-Nov</v>
      </c>
      <c r="L760" s="11">
        <f>Order_Details[[#This Row],[Profit]]/Order_Details[[#This Row],[Amount]]</f>
        <v>0.12244897959183673</v>
      </c>
      <c r="M760" s="8">
        <f>YEAR(Order_Details[[#This Row],[Order Date]])</f>
        <v>2018</v>
      </c>
      <c r="N760" s="8">
        <f>ROUNDUP(MONTH(Order_Details[[#This Row],[Order Date]])/3, 0)</f>
        <v>4</v>
      </c>
    </row>
    <row r="761" spans="1:14">
      <c r="A761" s="1" t="s">
        <v>626</v>
      </c>
      <c r="B761" s="1">
        <v>61</v>
      </c>
      <c r="C761" s="1">
        <v>30</v>
      </c>
      <c r="D761" s="1">
        <v>2</v>
      </c>
      <c r="E761" s="1" t="s">
        <v>1076</v>
      </c>
      <c r="F761" s="1" t="s">
        <v>1103</v>
      </c>
      <c r="G761" s="7" t="str">
        <f>_xlfn.XLOOKUP(Order_Details[[#This Row],[Order ID]], List_of_orders[Order ID], List_of_orders[State])</f>
        <v>Madhya Pradesh</v>
      </c>
      <c r="H761" s="10">
        <f>_xlfn.XLOOKUP(Order_Details[[#This Row],[Order ID]], List_of_orders[Order ID], List_of_orders[Order Date (Clean)])</f>
        <v>43412</v>
      </c>
      <c r="I761" s="7" t="str">
        <f>_xlfn.XLOOKUP(Order_Details[[#This Row],[Order ID]], List_of_orders[Order ID], List_of_orders[CustomerName])</f>
        <v>Abhijeet</v>
      </c>
      <c r="J761" s="7" t="str">
        <f>_xlfn.XLOOKUP(Order_Details[[#This Row],[Order ID]], List_of_orders[Order ID], List_of_orders[City])</f>
        <v>Bhopal</v>
      </c>
      <c r="K761" s="8" t="str">
        <f>TEXT(Order_Details[[#This Row],[Order Date]], "YY-MMM")</f>
        <v>18-Nov</v>
      </c>
      <c r="L761" s="11">
        <f>Order_Details[[#This Row],[Profit]]/Order_Details[[#This Row],[Amount]]</f>
        <v>0.49180327868852458</v>
      </c>
      <c r="M761" s="8">
        <f>YEAR(Order_Details[[#This Row],[Order Date]])</f>
        <v>2018</v>
      </c>
      <c r="N761" s="8">
        <f>ROUNDUP(MONTH(Order_Details[[#This Row],[Order Date]])/3, 0)</f>
        <v>4</v>
      </c>
    </row>
    <row r="762" spans="1:14">
      <c r="A762" s="1" t="s">
        <v>626</v>
      </c>
      <c r="B762" s="1">
        <v>1027</v>
      </c>
      <c r="C762" s="1">
        <v>441</v>
      </c>
      <c r="D762" s="1">
        <v>8</v>
      </c>
      <c r="E762" s="1" t="s">
        <v>1076</v>
      </c>
      <c r="F762" s="1" t="s">
        <v>1106</v>
      </c>
      <c r="G762" s="7" t="str">
        <f>_xlfn.XLOOKUP(Order_Details[[#This Row],[Order ID]], List_of_orders[Order ID], List_of_orders[State])</f>
        <v>Madhya Pradesh</v>
      </c>
      <c r="H762" s="10">
        <f>_xlfn.XLOOKUP(Order_Details[[#This Row],[Order ID]], List_of_orders[Order ID], List_of_orders[Order Date (Clean)])</f>
        <v>43412</v>
      </c>
      <c r="I762" s="7" t="str">
        <f>_xlfn.XLOOKUP(Order_Details[[#This Row],[Order ID]], List_of_orders[Order ID], List_of_orders[CustomerName])</f>
        <v>Abhijeet</v>
      </c>
      <c r="J762" s="7" t="str">
        <f>_xlfn.XLOOKUP(Order_Details[[#This Row],[Order ID]], List_of_orders[Order ID], List_of_orders[City])</f>
        <v>Bhopal</v>
      </c>
      <c r="K762" s="8" t="str">
        <f>TEXT(Order_Details[[#This Row],[Order Date]], "YY-MMM")</f>
        <v>18-Nov</v>
      </c>
      <c r="L762" s="11">
        <f>Order_Details[[#This Row],[Profit]]/Order_Details[[#This Row],[Amount]]</f>
        <v>0.42940603700097368</v>
      </c>
      <c r="M762" s="8">
        <f>YEAR(Order_Details[[#This Row],[Order Date]])</f>
        <v>2018</v>
      </c>
      <c r="N762" s="8">
        <f>ROUNDUP(MONTH(Order_Details[[#This Row],[Order Date]])/3, 0)</f>
        <v>4</v>
      </c>
    </row>
    <row r="763" spans="1:14">
      <c r="A763" s="1" t="s">
        <v>626</v>
      </c>
      <c r="B763" s="1">
        <v>1319</v>
      </c>
      <c r="C763" s="1">
        <v>567</v>
      </c>
      <c r="D763" s="1">
        <v>5</v>
      </c>
      <c r="E763" s="1" t="s">
        <v>1077</v>
      </c>
      <c r="F763" s="1" t="s">
        <v>1114</v>
      </c>
      <c r="G763" s="7" t="str">
        <f>_xlfn.XLOOKUP(Order_Details[[#This Row],[Order ID]], List_of_orders[Order ID], List_of_orders[State])</f>
        <v>Madhya Pradesh</v>
      </c>
      <c r="H763" s="10">
        <f>_xlfn.XLOOKUP(Order_Details[[#This Row],[Order ID]], List_of_orders[Order ID], List_of_orders[Order Date (Clean)])</f>
        <v>43412</v>
      </c>
      <c r="I763" s="7" t="str">
        <f>_xlfn.XLOOKUP(Order_Details[[#This Row],[Order ID]], List_of_orders[Order ID], List_of_orders[CustomerName])</f>
        <v>Abhijeet</v>
      </c>
      <c r="J763" s="7" t="str">
        <f>_xlfn.XLOOKUP(Order_Details[[#This Row],[Order ID]], List_of_orders[Order ID], List_of_orders[City])</f>
        <v>Bhopal</v>
      </c>
      <c r="K763" s="8" t="str">
        <f>TEXT(Order_Details[[#This Row],[Order Date]], "YY-MMM")</f>
        <v>18-Nov</v>
      </c>
      <c r="L763" s="11">
        <f>Order_Details[[#This Row],[Profit]]/Order_Details[[#This Row],[Amount]]</f>
        <v>0.42987111448066717</v>
      </c>
      <c r="M763" s="8">
        <f>YEAR(Order_Details[[#This Row],[Order Date]])</f>
        <v>2018</v>
      </c>
      <c r="N763" s="8">
        <f>ROUNDUP(MONTH(Order_Details[[#This Row],[Order Date]])/3, 0)</f>
        <v>4</v>
      </c>
    </row>
    <row r="764" spans="1:14">
      <c r="A764" s="1" t="s">
        <v>626</v>
      </c>
      <c r="B764" s="1">
        <v>197</v>
      </c>
      <c r="C764" s="1">
        <v>73</v>
      </c>
      <c r="D764" s="1">
        <v>1</v>
      </c>
      <c r="E764" s="1" t="s">
        <v>1075</v>
      </c>
      <c r="F764" s="1" t="s">
        <v>1101</v>
      </c>
      <c r="G764" s="7" t="str">
        <f>_xlfn.XLOOKUP(Order_Details[[#This Row],[Order ID]], List_of_orders[Order ID], List_of_orders[State])</f>
        <v>Madhya Pradesh</v>
      </c>
      <c r="H764" s="10">
        <f>_xlfn.XLOOKUP(Order_Details[[#This Row],[Order ID]], List_of_orders[Order ID], List_of_orders[Order Date (Clean)])</f>
        <v>43412</v>
      </c>
      <c r="I764" s="7" t="str">
        <f>_xlfn.XLOOKUP(Order_Details[[#This Row],[Order ID]], List_of_orders[Order ID], List_of_orders[CustomerName])</f>
        <v>Abhijeet</v>
      </c>
      <c r="J764" s="7" t="str">
        <f>_xlfn.XLOOKUP(Order_Details[[#This Row],[Order ID]], List_of_orders[Order ID], List_of_orders[City])</f>
        <v>Bhopal</v>
      </c>
      <c r="K764" s="8" t="str">
        <f>TEXT(Order_Details[[#This Row],[Order Date]], "YY-MMM")</f>
        <v>18-Nov</v>
      </c>
      <c r="L764" s="11">
        <f>Order_Details[[#This Row],[Profit]]/Order_Details[[#This Row],[Amount]]</f>
        <v>0.37055837563451777</v>
      </c>
      <c r="M764" s="8">
        <f>YEAR(Order_Details[[#This Row],[Order Date]])</f>
        <v>2018</v>
      </c>
      <c r="N764" s="8">
        <f>ROUNDUP(MONTH(Order_Details[[#This Row],[Order Date]])/3, 0)</f>
        <v>4</v>
      </c>
    </row>
    <row r="765" spans="1:14">
      <c r="A765" s="1" t="s">
        <v>626</v>
      </c>
      <c r="B765" s="1">
        <v>550</v>
      </c>
      <c r="C765" s="1">
        <v>242</v>
      </c>
      <c r="D765" s="1">
        <v>5</v>
      </c>
      <c r="E765" s="1" t="s">
        <v>1075</v>
      </c>
      <c r="F765" s="1" t="s">
        <v>1116</v>
      </c>
      <c r="G765" s="7" t="str">
        <f>_xlfn.XLOOKUP(Order_Details[[#This Row],[Order ID]], List_of_orders[Order ID], List_of_orders[State])</f>
        <v>Madhya Pradesh</v>
      </c>
      <c r="H765" s="10">
        <f>_xlfn.XLOOKUP(Order_Details[[#This Row],[Order ID]], List_of_orders[Order ID], List_of_orders[Order Date (Clean)])</f>
        <v>43412</v>
      </c>
      <c r="I765" s="7" t="str">
        <f>_xlfn.XLOOKUP(Order_Details[[#This Row],[Order ID]], List_of_orders[Order ID], List_of_orders[CustomerName])</f>
        <v>Abhijeet</v>
      </c>
      <c r="J765" s="7" t="str">
        <f>_xlfn.XLOOKUP(Order_Details[[#This Row],[Order ID]], List_of_orders[Order ID], List_of_orders[City])</f>
        <v>Bhopal</v>
      </c>
      <c r="K765" s="8" t="str">
        <f>TEXT(Order_Details[[#This Row],[Order Date]], "YY-MMM")</f>
        <v>18-Nov</v>
      </c>
      <c r="L765" s="11">
        <f>Order_Details[[#This Row],[Profit]]/Order_Details[[#This Row],[Amount]]</f>
        <v>0.44</v>
      </c>
      <c r="M765" s="8">
        <f>YEAR(Order_Details[[#This Row],[Order Date]])</f>
        <v>2018</v>
      </c>
      <c r="N765" s="8">
        <f>ROUNDUP(MONTH(Order_Details[[#This Row],[Order Date]])/3, 0)</f>
        <v>4</v>
      </c>
    </row>
    <row r="766" spans="1:14">
      <c r="A766" s="1" t="s">
        <v>628</v>
      </c>
      <c r="B766" s="1">
        <v>74</v>
      </c>
      <c r="C766" s="1">
        <v>29</v>
      </c>
      <c r="D766" s="1">
        <v>3</v>
      </c>
      <c r="E766" s="1" t="s">
        <v>1076</v>
      </c>
      <c r="F766" s="1" t="s">
        <v>1102</v>
      </c>
      <c r="G766" s="7" t="str">
        <f>_xlfn.XLOOKUP(Order_Details[[#This Row],[Order ID]], List_of_orders[Order ID], List_of_orders[State])</f>
        <v>Maharashtra</v>
      </c>
      <c r="H766" s="10">
        <f>_xlfn.XLOOKUP(Order_Details[[#This Row],[Order ID]], List_of_orders[Order ID], List_of_orders[Order Date (Clean)])</f>
        <v>43414</v>
      </c>
      <c r="I766" s="7" t="str">
        <f>_xlfn.XLOOKUP(Order_Details[[#This Row],[Order ID]], List_of_orders[Order ID], List_of_orders[CustomerName])</f>
        <v>Abhijeet</v>
      </c>
      <c r="J766" s="7" t="str">
        <f>_xlfn.XLOOKUP(Order_Details[[#This Row],[Order ID]], List_of_orders[Order ID], List_of_orders[City])</f>
        <v>Mumbai</v>
      </c>
      <c r="K766" s="8" t="str">
        <f>TEXT(Order_Details[[#This Row],[Order Date]], "YY-MMM")</f>
        <v>18-Nov</v>
      </c>
      <c r="L766" s="11">
        <f>Order_Details[[#This Row],[Profit]]/Order_Details[[#This Row],[Amount]]</f>
        <v>0.39189189189189189</v>
      </c>
      <c r="M766" s="8">
        <f>YEAR(Order_Details[[#This Row],[Order Date]])</f>
        <v>2018</v>
      </c>
      <c r="N766" s="8">
        <f>ROUNDUP(MONTH(Order_Details[[#This Row],[Order Date]])/3, 0)</f>
        <v>4</v>
      </c>
    </row>
    <row r="767" spans="1:14">
      <c r="A767" s="1" t="s">
        <v>628</v>
      </c>
      <c r="B767" s="1">
        <v>10</v>
      </c>
      <c r="C767" s="1">
        <v>2</v>
      </c>
      <c r="D767" s="1">
        <v>2</v>
      </c>
      <c r="E767" s="1" t="s">
        <v>1076</v>
      </c>
      <c r="F767" s="1" t="s">
        <v>1117</v>
      </c>
      <c r="G767" s="7" t="str">
        <f>_xlfn.XLOOKUP(Order_Details[[#This Row],[Order ID]], List_of_orders[Order ID], List_of_orders[State])</f>
        <v>Maharashtra</v>
      </c>
      <c r="H767" s="10">
        <f>_xlfn.XLOOKUP(Order_Details[[#This Row],[Order ID]], List_of_orders[Order ID], List_of_orders[Order Date (Clean)])</f>
        <v>43414</v>
      </c>
      <c r="I767" s="7" t="str">
        <f>_xlfn.XLOOKUP(Order_Details[[#This Row],[Order ID]], List_of_orders[Order ID], List_of_orders[CustomerName])</f>
        <v>Abhijeet</v>
      </c>
      <c r="J767" s="7" t="str">
        <f>_xlfn.XLOOKUP(Order_Details[[#This Row],[Order ID]], List_of_orders[Order ID], List_of_orders[City])</f>
        <v>Mumbai</v>
      </c>
      <c r="K767" s="8" t="str">
        <f>TEXT(Order_Details[[#This Row],[Order Date]], "YY-MMM")</f>
        <v>18-Nov</v>
      </c>
      <c r="L767" s="11">
        <f>Order_Details[[#This Row],[Profit]]/Order_Details[[#This Row],[Amount]]</f>
        <v>0.2</v>
      </c>
      <c r="M767" s="8">
        <f>YEAR(Order_Details[[#This Row],[Order Date]])</f>
        <v>2018</v>
      </c>
      <c r="N767" s="8">
        <f>ROUNDUP(MONTH(Order_Details[[#This Row],[Order Date]])/3, 0)</f>
        <v>4</v>
      </c>
    </row>
    <row r="768" spans="1:14">
      <c r="A768" s="1" t="s">
        <v>628</v>
      </c>
      <c r="B768" s="1">
        <v>689</v>
      </c>
      <c r="C768" s="1">
        <v>90</v>
      </c>
      <c r="D768" s="1">
        <v>5</v>
      </c>
      <c r="E768" s="1" t="s">
        <v>1076</v>
      </c>
      <c r="F768" s="1" t="s">
        <v>1106</v>
      </c>
      <c r="G768" s="7" t="str">
        <f>_xlfn.XLOOKUP(Order_Details[[#This Row],[Order ID]], List_of_orders[Order ID], List_of_orders[State])</f>
        <v>Maharashtra</v>
      </c>
      <c r="H768" s="10">
        <f>_xlfn.XLOOKUP(Order_Details[[#This Row],[Order ID]], List_of_orders[Order ID], List_of_orders[Order Date (Clean)])</f>
        <v>43414</v>
      </c>
      <c r="I768" s="7" t="str">
        <f>_xlfn.XLOOKUP(Order_Details[[#This Row],[Order ID]], List_of_orders[Order ID], List_of_orders[CustomerName])</f>
        <v>Abhijeet</v>
      </c>
      <c r="J768" s="7" t="str">
        <f>_xlfn.XLOOKUP(Order_Details[[#This Row],[Order ID]], List_of_orders[Order ID], List_of_orders[City])</f>
        <v>Mumbai</v>
      </c>
      <c r="K768" s="8" t="str">
        <f>TEXT(Order_Details[[#This Row],[Order Date]], "YY-MMM")</f>
        <v>18-Nov</v>
      </c>
      <c r="L768" s="11">
        <f>Order_Details[[#This Row],[Profit]]/Order_Details[[#This Row],[Amount]]</f>
        <v>0.13062409288824384</v>
      </c>
      <c r="M768" s="8">
        <f>YEAR(Order_Details[[#This Row],[Order Date]])</f>
        <v>2018</v>
      </c>
      <c r="N768" s="8">
        <f>ROUNDUP(MONTH(Order_Details[[#This Row],[Order Date]])/3, 0)</f>
        <v>4</v>
      </c>
    </row>
    <row r="769" spans="1:14">
      <c r="A769" s="1" t="s">
        <v>628</v>
      </c>
      <c r="B769" s="1">
        <v>257</v>
      </c>
      <c r="C769" s="1">
        <v>3</v>
      </c>
      <c r="D769" s="1">
        <v>2</v>
      </c>
      <c r="E769" s="1" t="s">
        <v>1076</v>
      </c>
      <c r="F769" s="1" t="s">
        <v>1106</v>
      </c>
      <c r="G769" s="7" t="str">
        <f>_xlfn.XLOOKUP(Order_Details[[#This Row],[Order ID]], List_of_orders[Order ID], List_of_orders[State])</f>
        <v>Maharashtra</v>
      </c>
      <c r="H769" s="10">
        <f>_xlfn.XLOOKUP(Order_Details[[#This Row],[Order ID]], List_of_orders[Order ID], List_of_orders[Order Date (Clean)])</f>
        <v>43414</v>
      </c>
      <c r="I769" s="7" t="str">
        <f>_xlfn.XLOOKUP(Order_Details[[#This Row],[Order ID]], List_of_orders[Order ID], List_of_orders[CustomerName])</f>
        <v>Abhijeet</v>
      </c>
      <c r="J769" s="7" t="str">
        <f>_xlfn.XLOOKUP(Order_Details[[#This Row],[Order ID]], List_of_orders[Order ID], List_of_orders[City])</f>
        <v>Mumbai</v>
      </c>
      <c r="K769" s="8" t="str">
        <f>TEXT(Order_Details[[#This Row],[Order Date]], "YY-MMM")</f>
        <v>18-Nov</v>
      </c>
      <c r="L769" s="11">
        <f>Order_Details[[#This Row],[Profit]]/Order_Details[[#This Row],[Amount]]</f>
        <v>1.1673151750972763E-2</v>
      </c>
      <c r="M769" s="8">
        <f>YEAR(Order_Details[[#This Row],[Order Date]])</f>
        <v>2018</v>
      </c>
      <c r="N769" s="8">
        <f>ROUNDUP(MONTH(Order_Details[[#This Row],[Order Date]])/3, 0)</f>
        <v>4</v>
      </c>
    </row>
    <row r="770" spans="1:14">
      <c r="A770" s="1" t="s">
        <v>628</v>
      </c>
      <c r="B770" s="1">
        <v>48</v>
      </c>
      <c r="C770" s="1">
        <v>6</v>
      </c>
      <c r="D770" s="1">
        <v>1</v>
      </c>
      <c r="E770" s="1" t="s">
        <v>1076</v>
      </c>
      <c r="F770" s="1" t="s">
        <v>1106</v>
      </c>
      <c r="G770" s="7" t="str">
        <f>_xlfn.XLOOKUP(Order_Details[[#This Row],[Order ID]], List_of_orders[Order ID], List_of_orders[State])</f>
        <v>Maharashtra</v>
      </c>
      <c r="H770" s="10">
        <f>_xlfn.XLOOKUP(Order_Details[[#This Row],[Order ID]], List_of_orders[Order ID], List_of_orders[Order Date (Clean)])</f>
        <v>43414</v>
      </c>
      <c r="I770" s="7" t="str">
        <f>_xlfn.XLOOKUP(Order_Details[[#This Row],[Order ID]], List_of_orders[Order ID], List_of_orders[CustomerName])</f>
        <v>Abhijeet</v>
      </c>
      <c r="J770" s="7" t="str">
        <f>_xlfn.XLOOKUP(Order_Details[[#This Row],[Order ID]], List_of_orders[Order ID], List_of_orders[City])</f>
        <v>Mumbai</v>
      </c>
      <c r="K770" s="8" t="str">
        <f>TEXT(Order_Details[[#This Row],[Order Date]], "YY-MMM")</f>
        <v>18-Nov</v>
      </c>
      <c r="L770" s="11">
        <f>Order_Details[[#This Row],[Profit]]/Order_Details[[#This Row],[Amount]]</f>
        <v>0.125</v>
      </c>
      <c r="M770" s="8">
        <f>YEAR(Order_Details[[#This Row],[Order Date]])</f>
        <v>2018</v>
      </c>
      <c r="N770" s="8">
        <f>ROUNDUP(MONTH(Order_Details[[#This Row],[Order Date]])/3, 0)</f>
        <v>4</v>
      </c>
    </row>
    <row r="771" spans="1:14">
      <c r="A771" s="1" t="s">
        <v>629</v>
      </c>
      <c r="B771" s="1">
        <v>324</v>
      </c>
      <c r="C771" s="1">
        <v>39</v>
      </c>
      <c r="D771" s="1">
        <v>8</v>
      </c>
      <c r="E771" s="1" t="s">
        <v>1077</v>
      </c>
      <c r="F771" s="1" t="s">
        <v>1115</v>
      </c>
      <c r="G771" s="7" t="str">
        <f>_xlfn.XLOOKUP(Order_Details[[#This Row],[Order ID]], List_of_orders[Order ID], List_of_orders[State])</f>
        <v>Madhya Pradesh</v>
      </c>
      <c r="H771" s="10">
        <f>_xlfn.XLOOKUP(Order_Details[[#This Row],[Order ID]], List_of_orders[Order ID], List_of_orders[Order Date (Clean)])</f>
        <v>43414</v>
      </c>
      <c r="I771" s="7" t="str">
        <f>_xlfn.XLOOKUP(Order_Details[[#This Row],[Order ID]], List_of_orders[Order ID], List_of_orders[CustomerName])</f>
        <v>Anand</v>
      </c>
      <c r="J771" s="7" t="str">
        <f>_xlfn.XLOOKUP(Order_Details[[#This Row],[Order ID]], List_of_orders[Order ID], List_of_orders[City])</f>
        <v>Indore</v>
      </c>
      <c r="K771" s="8" t="str">
        <f>TEXT(Order_Details[[#This Row],[Order Date]], "YY-MMM")</f>
        <v>18-Nov</v>
      </c>
      <c r="L771" s="11">
        <f>Order_Details[[#This Row],[Profit]]/Order_Details[[#This Row],[Amount]]</f>
        <v>0.12037037037037036</v>
      </c>
      <c r="M771" s="8">
        <f>YEAR(Order_Details[[#This Row],[Order Date]])</f>
        <v>2018</v>
      </c>
      <c r="N771" s="8">
        <f>ROUNDUP(MONTH(Order_Details[[#This Row],[Order Date]])/3, 0)</f>
        <v>4</v>
      </c>
    </row>
    <row r="772" spans="1:14">
      <c r="A772" s="1" t="s">
        <v>629</v>
      </c>
      <c r="B772" s="1">
        <v>598</v>
      </c>
      <c r="C772" s="1">
        <v>166</v>
      </c>
      <c r="D772" s="1">
        <v>4</v>
      </c>
      <c r="E772" s="1" t="s">
        <v>1075</v>
      </c>
      <c r="F772" s="1" t="s">
        <v>1101</v>
      </c>
      <c r="G772" s="7" t="str">
        <f>_xlfn.XLOOKUP(Order_Details[[#This Row],[Order ID]], List_of_orders[Order ID], List_of_orders[State])</f>
        <v>Madhya Pradesh</v>
      </c>
      <c r="H772" s="10">
        <f>_xlfn.XLOOKUP(Order_Details[[#This Row],[Order ID]], List_of_orders[Order ID], List_of_orders[Order Date (Clean)])</f>
        <v>43414</v>
      </c>
      <c r="I772" s="7" t="str">
        <f>_xlfn.XLOOKUP(Order_Details[[#This Row],[Order ID]], List_of_orders[Order ID], List_of_orders[CustomerName])</f>
        <v>Anand</v>
      </c>
      <c r="J772" s="7" t="str">
        <f>_xlfn.XLOOKUP(Order_Details[[#This Row],[Order ID]], List_of_orders[Order ID], List_of_orders[City])</f>
        <v>Indore</v>
      </c>
      <c r="K772" s="8" t="str">
        <f>TEXT(Order_Details[[#This Row],[Order Date]], "YY-MMM")</f>
        <v>18-Nov</v>
      </c>
      <c r="L772" s="11">
        <f>Order_Details[[#This Row],[Profit]]/Order_Details[[#This Row],[Amount]]</f>
        <v>0.27759197324414714</v>
      </c>
      <c r="M772" s="8">
        <f>YEAR(Order_Details[[#This Row],[Order Date]])</f>
        <v>2018</v>
      </c>
      <c r="N772" s="8">
        <f>ROUNDUP(MONTH(Order_Details[[#This Row],[Order Date]])/3, 0)</f>
        <v>4</v>
      </c>
    </row>
    <row r="773" spans="1:14">
      <c r="A773" s="1" t="s">
        <v>629</v>
      </c>
      <c r="B773" s="1">
        <v>227</v>
      </c>
      <c r="C773" s="1">
        <v>59</v>
      </c>
      <c r="D773" s="1">
        <v>2</v>
      </c>
      <c r="E773" s="1" t="s">
        <v>1075</v>
      </c>
      <c r="F773" s="1" t="s">
        <v>1116</v>
      </c>
      <c r="G773" s="7" t="str">
        <f>_xlfn.XLOOKUP(Order_Details[[#This Row],[Order ID]], List_of_orders[Order ID], List_of_orders[State])</f>
        <v>Madhya Pradesh</v>
      </c>
      <c r="H773" s="10">
        <f>_xlfn.XLOOKUP(Order_Details[[#This Row],[Order ID]], List_of_orders[Order ID], List_of_orders[Order Date (Clean)])</f>
        <v>43414</v>
      </c>
      <c r="I773" s="7" t="str">
        <f>_xlfn.XLOOKUP(Order_Details[[#This Row],[Order ID]], List_of_orders[Order ID], List_of_orders[CustomerName])</f>
        <v>Anand</v>
      </c>
      <c r="J773" s="7" t="str">
        <f>_xlfn.XLOOKUP(Order_Details[[#This Row],[Order ID]], List_of_orders[Order ID], List_of_orders[City])</f>
        <v>Indore</v>
      </c>
      <c r="K773" s="8" t="str">
        <f>TEXT(Order_Details[[#This Row],[Order Date]], "YY-MMM")</f>
        <v>18-Nov</v>
      </c>
      <c r="L773" s="11">
        <f>Order_Details[[#This Row],[Profit]]/Order_Details[[#This Row],[Amount]]</f>
        <v>0.25991189427312777</v>
      </c>
      <c r="M773" s="8">
        <f>YEAR(Order_Details[[#This Row],[Order Date]])</f>
        <v>2018</v>
      </c>
      <c r="N773" s="8">
        <f>ROUNDUP(MONTH(Order_Details[[#This Row],[Order Date]])/3, 0)</f>
        <v>4</v>
      </c>
    </row>
    <row r="774" spans="1:14">
      <c r="A774" s="1" t="s">
        <v>631</v>
      </c>
      <c r="B774" s="1">
        <v>22</v>
      </c>
      <c r="C774" s="1">
        <v>8</v>
      </c>
      <c r="D774" s="1">
        <v>3</v>
      </c>
      <c r="E774" s="1" t="s">
        <v>1076</v>
      </c>
      <c r="F774" s="1" t="s">
        <v>1103</v>
      </c>
      <c r="G774" s="7" t="str">
        <f>_xlfn.XLOOKUP(Order_Details[[#This Row],[Order ID]], List_of_orders[Order ID], List_of_orders[State])</f>
        <v>Maharashtra</v>
      </c>
      <c r="H774" s="10">
        <f>_xlfn.XLOOKUP(Order_Details[[#This Row],[Order ID]], List_of_orders[Order ID], List_of_orders[Order Date (Clean)])</f>
        <v>43417</v>
      </c>
      <c r="I774" s="7" t="str">
        <f>_xlfn.XLOOKUP(Order_Details[[#This Row],[Order ID]], List_of_orders[Order ID], List_of_orders[CustomerName])</f>
        <v>Swapnil</v>
      </c>
      <c r="J774" s="7" t="str">
        <f>_xlfn.XLOOKUP(Order_Details[[#This Row],[Order ID]], List_of_orders[Order ID], List_of_orders[City])</f>
        <v>Mumbai</v>
      </c>
      <c r="K774" s="8" t="str">
        <f>TEXT(Order_Details[[#This Row],[Order Date]], "YY-MMM")</f>
        <v>18-Nov</v>
      </c>
      <c r="L774" s="11">
        <f>Order_Details[[#This Row],[Profit]]/Order_Details[[#This Row],[Amount]]</f>
        <v>0.36363636363636365</v>
      </c>
      <c r="M774" s="8">
        <f>YEAR(Order_Details[[#This Row],[Order Date]])</f>
        <v>2018</v>
      </c>
      <c r="N774" s="8">
        <f>ROUNDUP(MONTH(Order_Details[[#This Row],[Order Date]])/3, 0)</f>
        <v>4</v>
      </c>
    </row>
    <row r="775" spans="1:14">
      <c r="A775" s="1" t="s">
        <v>631</v>
      </c>
      <c r="B775" s="1">
        <v>29</v>
      </c>
      <c r="C775" s="1">
        <v>11</v>
      </c>
      <c r="D775" s="1">
        <v>4</v>
      </c>
      <c r="E775" s="1" t="s">
        <v>1076</v>
      </c>
      <c r="F775" s="1" t="s">
        <v>1117</v>
      </c>
      <c r="G775" s="7" t="str">
        <f>_xlfn.XLOOKUP(Order_Details[[#This Row],[Order ID]], List_of_orders[Order ID], List_of_orders[State])</f>
        <v>Maharashtra</v>
      </c>
      <c r="H775" s="10">
        <f>_xlfn.XLOOKUP(Order_Details[[#This Row],[Order ID]], List_of_orders[Order ID], List_of_orders[Order Date (Clean)])</f>
        <v>43417</v>
      </c>
      <c r="I775" s="7" t="str">
        <f>_xlfn.XLOOKUP(Order_Details[[#This Row],[Order ID]], List_of_orders[Order ID], List_of_orders[CustomerName])</f>
        <v>Swapnil</v>
      </c>
      <c r="J775" s="7" t="str">
        <f>_xlfn.XLOOKUP(Order_Details[[#This Row],[Order ID]], List_of_orders[Order ID], List_of_orders[City])</f>
        <v>Mumbai</v>
      </c>
      <c r="K775" s="8" t="str">
        <f>TEXT(Order_Details[[#This Row],[Order Date]], "YY-MMM")</f>
        <v>18-Nov</v>
      </c>
      <c r="L775" s="11">
        <f>Order_Details[[#This Row],[Profit]]/Order_Details[[#This Row],[Amount]]</f>
        <v>0.37931034482758619</v>
      </c>
      <c r="M775" s="8">
        <f>YEAR(Order_Details[[#This Row],[Order Date]])</f>
        <v>2018</v>
      </c>
      <c r="N775" s="8">
        <f>ROUNDUP(MONTH(Order_Details[[#This Row],[Order Date]])/3, 0)</f>
        <v>4</v>
      </c>
    </row>
    <row r="776" spans="1:14">
      <c r="A776" s="1" t="s">
        <v>631</v>
      </c>
      <c r="B776" s="1">
        <v>27</v>
      </c>
      <c r="C776" s="1">
        <v>5</v>
      </c>
      <c r="D776" s="1">
        <v>2</v>
      </c>
      <c r="E776" s="1" t="s">
        <v>1076</v>
      </c>
      <c r="F776" s="1" t="s">
        <v>1117</v>
      </c>
      <c r="G776" s="7" t="str">
        <f>_xlfn.XLOOKUP(Order_Details[[#This Row],[Order ID]], List_of_orders[Order ID], List_of_orders[State])</f>
        <v>Maharashtra</v>
      </c>
      <c r="H776" s="10">
        <f>_xlfn.XLOOKUP(Order_Details[[#This Row],[Order ID]], List_of_orders[Order ID], List_of_orders[Order Date (Clean)])</f>
        <v>43417</v>
      </c>
      <c r="I776" s="7" t="str">
        <f>_xlfn.XLOOKUP(Order_Details[[#This Row],[Order ID]], List_of_orders[Order ID], List_of_orders[CustomerName])</f>
        <v>Swapnil</v>
      </c>
      <c r="J776" s="7" t="str">
        <f>_xlfn.XLOOKUP(Order_Details[[#This Row],[Order ID]], List_of_orders[Order ID], List_of_orders[City])</f>
        <v>Mumbai</v>
      </c>
      <c r="K776" s="8" t="str">
        <f>TEXT(Order_Details[[#This Row],[Order Date]], "YY-MMM")</f>
        <v>18-Nov</v>
      </c>
      <c r="L776" s="11">
        <f>Order_Details[[#This Row],[Profit]]/Order_Details[[#This Row],[Amount]]</f>
        <v>0.18518518518518517</v>
      </c>
      <c r="M776" s="8">
        <f>YEAR(Order_Details[[#This Row],[Order Date]])</f>
        <v>2018</v>
      </c>
      <c r="N776" s="8">
        <f>ROUNDUP(MONTH(Order_Details[[#This Row],[Order Date]])/3, 0)</f>
        <v>4</v>
      </c>
    </row>
    <row r="777" spans="1:14">
      <c r="A777" s="1" t="s">
        <v>631</v>
      </c>
      <c r="B777" s="1">
        <v>82</v>
      </c>
      <c r="C777" s="1">
        <v>13</v>
      </c>
      <c r="D777" s="1">
        <v>2</v>
      </c>
      <c r="E777" s="1" t="s">
        <v>1076</v>
      </c>
      <c r="F777" s="1" t="s">
        <v>1111</v>
      </c>
      <c r="G777" s="7" t="str">
        <f>_xlfn.XLOOKUP(Order_Details[[#This Row],[Order ID]], List_of_orders[Order ID], List_of_orders[State])</f>
        <v>Maharashtra</v>
      </c>
      <c r="H777" s="10">
        <f>_xlfn.XLOOKUP(Order_Details[[#This Row],[Order ID]], List_of_orders[Order ID], List_of_orders[Order Date (Clean)])</f>
        <v>43417</v>
      </c>
      <c r="I777" s="7" t="str">
        <f>_xlfn.XLOOKUP(Order_Details[[#This Row],[Order ID]], List_of_orders[Order ID], List_of_orders[CustomerName])</f>
        <v>Swapnil</v>
      </c>
      <c r="J777" s="7" t="str">
        <f>_xlfn.XLOOKUP(Order_Details[[#This Row],[Order ID]], List_of_orders[Order ID], List_of_orders[City])</f>
        <v>Mumbai</v>
      </c>
      <c r="K777" s="8" t="str">
        <f>TEXT(Order_Details[[#This Row],[Order Date]], "YY-MMM")</f>
        <v>18-Nov</v>
      </c>
      <c r="L777" s="11">
        <f>Order_Details[[#This Row],[Profit]]/Order_Details[[#This Row],[Amount]]</f>
        <v>0.15853658536585366</v>
      </c>
      <c r="M777" s="8">
        <f>YEAR(Order_Details[[#This Row],[Order Date]])</f>
        <v>2018</v>
      </c>
      <c r="N777" s="8">
        <f>ROUNDUP(MONTH(Order_Details[[#This Row],[Order Date]])/3, 0)</f>
        <v>4</v>
      </c>
    </row>
    <row r="778" spans="1:14">
      <c r="A778" s="1" t="s">
        <v>631</v>
      </c>
      <c r="B778" s="1">
        <v>294</v>
      </c>
      <c r="C778" s="1">
        <v>109</v>
      </c>
      <c r="D778" s="1">
        <v>7</v>
      </c>
      <c r="E778" s="1" t="s">
        <v>1077</v>
      </c>
      <c r="F778" s="1" t="s">
        <v>1115</v>
      </c>
      <c r="G778" s="7" t="str">
        <f>_xlfn.XLOOKUP(Order_Details[[#This Row],[Order ID]], List_of_orders[Order ID], List_of_orders[State])</f>
        <v>Maharashtra</v>
      </c>
      <c r="H778" s="10">
        <f>_xlfn.XLOOKUP(Order_Details[[#This Row],[Order ID]], List_of_orders[Order ID], List_of_orders[Order Date (Clean)])</f>
        <v>43417</v>
      </c>
      <c r="I778" s="7" t="str">
        <f>_xlfn.XLOOKUP(Order_Details[[#This Row],[Order ID]], List_of_orders[Order ID], List_of_orders[CustomerName])</f>
        <v>Swapnil</v>
      </c>
      <c r="J778" s="7" t="str">
        <f>_xlfn.XLOOKUP(Order_Details[[#This Row],[Order ID]], List_of_orders[Order ID], List_of_orders[City])</f>
        <v>Mumbai</v>
      </c>
      <c r="K778" s="8" t="str">
        <f>TEXT(Order_Details[[#This Row],[Order Date]], "YY-MMM")</f>
        <v>18-Nov</v>
      </c>
      <c r="L778" s="11">
        <f>Order_Details[[#This Row],[Profit]]/Order_Details[[#This Row],[Amount]]</f>
        <v>0.37074829931972791</v>
      </c>
      <c r="M778" s="8">
        <f>YEAR(Order_Details[[#This Row],[Order Date]])</f>
        <v>2018</v>
      </c>
      <c r="N778" s="8">
        <f>ROUNDUP(MONTH(Order_Details[[#This Row],[Order Date]])/3, 0)</f>
        <v>4</v>
      </c>
    </row>
    <row r="779" spans="1:14">
      <c r="A779" s="1" t="s">
        <v>631</v>
      </c>
      <c r="B779" s="1">
        <v>16</v>
      </c>
      <c r="C779" s="1">
        <v>0</v>
      </c>
      <c r="D779" s="1">
        <v>1</v>
      </c>
      <c r="E779" s="1" t="s">
        <v>1076</v>
      </c>
      <c r="F779" s="1" t="s">
        <v>1106</v>
      </c>
      <c r="G779" s="7" t="str">
        <f>_xlfn.XLOOKUP(Order_Details[[#This Row],[Order ID]], List_of_orders[Order ID], List_of_orders[State])</f>
        <v>Maharashtra</v>
      </c>
      <c r="H779" s="10">
        <f>_xlfn.XLOOKUP(Order_Details[[#This Row],[Order ID]], List_of_orders[Order ID], List_of_orders[Order Date (Clean)])</f>
        <v>43417</v>
      </c>
      <c r="I779" s="7" t="str">
        <f>_xlfn.XLOOKUP(Order_Details[[#This Row],[Order ID]], List_of_orders[Order ID], List_of_orders[CustomerName])</f>
        <v>Swapnil</v>
      </c>
      <c r="J779" s="7" t="str">
        <f>_xlfn.XLOOKUP(Order_Details[[#This Row],[Order ID]], List_of_orders[Order ID], List_of_orders[City])</f>
        <v>Mumbai</v>
      </c>
      <c r="K779" s="8" t="str">
        <f>TEXT(Order_Details[[#This Row],[Order Date]], "YY-MMM")</f>
        <v>18-Nov</v>
      </c>
      <c r="L779" s="11">
        <f>Order_Details[[#This Row],[Profit]]/Order_Details[[#This Row],[Amount]]</f>
        <v>0</v>
      </c>
      <c r="M779" s="8">
        <f>YEAR(Order_Details[[#This Row],[Order Date]])</f>
        <v>2018</v>
      </c>
      <c r="N779" s="8">
        <f>ROUNDUP(MONTH(Order_Details[[#This Row],[Order Date]])/3, 0)</f>
        <v>4</v>
      </c>
    </row>
    <row r="780" spans="1:14">
      <c r="A780" s="1" t="s">
        <v>631</v>
      </c>
      <c r="B780" s="1">
        <v>245</v>
      </c>
      <c r="C780" s="1">
        <v>30</v>
      </c>
      <c r="D780" s="1">
        <v>2</v>
      </c>
      <c r="E780" s="1" t="s">
        <v>1076</v>
      </c>
      <c r="F780" s="1" t="s">
        <v>1106</v>
      </c>
      <c r="G780" s="7" t="str">
        <f>_xlfn.XLOOKUP(Order_Details[[#This Row],[Order ID]], List_of_orders[Order ID], List_of_orders[State])</f>
        <v>Maharashtra</v>
      </c>
      <c r="H780" s="10">
        <f>_xlfn.XLOOKUP(Order_Details[[#This Row],[Order ID]], List_of_orders[Order ID], List_of_orders[Order Date (Clean)])</f>
        <v>43417</v>
      </c>
      <c r="I780" s="7" t="str">
        <f>_xlfn.XLOOKUP(Order_Details[[#This Row],[Order ID]], List_of_orders[Order ID], List_of_orders[CustomerName])</f>
        <v>Swapnil</v>
      </c>
      <c r="J780" s="7" t="str">
        <f>_xlfn.XLOOKUP(Order_Details[[#This Row],[Order ID]], List_of_orders[Order ID], List_of_orders[City])</f>
        <v>Mumbai</v>
      </c>
      <c r="K780" s="8" t="str">
        <f>TEXT(Order_Details[[#This Row],[Order Date]], "YY-MMM")</f>
        <v>18-Nov</v>
      </c>
      <c r="L780" s="11">
        <f>Order_Details[[#This Row],[Profit]]/Order_Details[[#This Row],[Amount]]</f>
        <v>0.12244897959183673</v>
      </c>
      <c r="M780" s="8">
        <f>YEAR(Order_Details[[#This Row],[Order Date]])</f>
        <v>2018</v>
      </c>
      <c r="N780" s="8">
        <f>ROUNDUP(MONTH(Order_Details[[#This Row],[Order Date]])/3, 0)</f>
        <v>4</v>
      </c>
    </row>
    <row r="781" spans="1:14">
      <c r="A781" s="1" t="s">
        <v>631</v>
      </c>
      <c r="B781" s="1">
        <v>223</v>
      </c>
      <c r="C781" s="1">
        <v>27</v>
      </c>
      <c r="D781" s="1">
        <v>2</v>
      </c>
      <c r="E781" s="1" t="s">
        <v>1075</v>
      </c>
      <c r="F781" s="1" t="s">
        <v>1101</v>
      </c>
      <c r="G781" s="7" t="str">
        <f>_xlfn.XLOOKUP(Order_Details[[#This Row],[Order ID]], List_of_orders[Order ID], List_of_orders[State])</f>
        <v>Maharashtra</v>
      </c>
      <c r="H781" s="10">
        <f>_xlfn.XLOOKUP(Order_Details[[#This Row],[Order ID]], List_of_orders[Order ID], List_of_orders[Order Date (Clean)])</f>
        <v>43417</v>
      </c>
      <c r="I781" s="7" t="str">
        <f>_xlfn.XLOOKUP(Order_Details[[#This Row],[Order ID]], List_of_orders[Order ID], List_of_orders[CustomerName])</f>
        <v>Swapnil</v>
      </c>
      <c r="J781" s="7" t="str">
        <f>_xlfn.XLOOKUP(Order_Details[[#This Row],[Order ID]], List_of_orders[Order ID], List_of_orders[City])</f>
        <v>Mumbai</v>
      </c>
      <c r="K781" s="8" t="str">
        <f>TEXT(Order_Details[[#This Row],[Order Date]], "YY-MMM")</f>
        <v>18-Nov</v>
      </c>
      <c r="L781" s="11">
        <f>Order_Details[[#This Row],[Profit]]/Order_Details[[#This Row],[Amount]]</f>
        <v>0.1210762331838565</v>
      </c>
      <c r="M781" s="8">
        <f>YEAR(Order_Details[[#This Row],[Order Date]])</f>
        <v>2018</v>
      </c>
      <c r="N781" s="8">
        <f>ROUNDUP(MONTH(Order_Details[[#This Row],[Order Date]])/3, 0)</f>
        <v>4</v>
      </c>
    </row>
    <row r="782" spans="1:14">
      <c r="A782" s="1" t="s">
        <v>631</v>
      </c>
      <c r="B782" s="1">
        <v>2457</v>
      </c>
      <c r="C782" s="1">
        <v>665</v>
      </c>
      <c r="D782" s="1">
        <v>11</v>
      </c>
      <c r="E782" s="1" t="s">
        <v>1077</v>
      </c>
      <c r="F782" s="1" t="s">
        <v>1104</v>
      </c>
      <c r="G782" s="7" t="str">
        <f>_xlfn.XLOOKUP(Order_Details[[#This Row],[Order ID]], List_of_orders[Order ID], List_of_orders[State])</f>
        <v>Maharashtra</v>
      </c>
      <c r="H782" s="10">
        <f>_xlfn.XLOOKUP(Order_Details[[#This Row],[Order ID]], List_of_orders[Order ID], List_of_orders[Order Date (Clean)])</f>
        <v>43417</v>
      </c>
      <c r="I782" s="7" t="str">
        <f>_xlfn.XLOOKUP(Order_Details[[#This Row],[Order ID]], List_of_orders[Order ID], List_of_orders[CustomerName])</f>
        <v>Swapnil</v>
      </c>
      <c r="J782" s="7" t="str">
        <f>_xlfn.XLOOKUP(Order_Details[[#This Row],[Order ID]], List_of_orders[Order ID], List_of_orders[City])</f>
        <v>Mumbai</v>
      </c>
      <c r="K782" s="8" t="str">
        <f>TEXT(Order_Details[[#This Row],[Order Date]], "YY-MMM")</f>
        <v>18-Nov</v>
      </c>
      <c r="L782" s="11">
        <f>Order_Details[[#This Row],[Profit]]/Order_Details[[#This Row],[Amount]]</f>
        <v>0.27065527065527067</v>
      </c>
      <c r="M782" s="8">
        <f>YEAR(Order_Details[[#This Row],[Order Date]])</f>
        <v>2018</v>
      </c>
      <c r="N782" s="8">
        <f>ROUNDUP(MONTH(Order_Details[[#This Row],[Order Date]])/3, 0)</f>
        <v>4</v>
      </c>
    </row>
    <row r="783" spans="1:14">
      <c r="A783" s="1" t="s">
        <v>633</v>
      </c>
      <c r="B783" s="1">
        <v>724</v>
      </c>
      <c r="C783" s="1">
        <v>253</v>
      </c>
      <c r="D783" s="1">
        <v>2</v>
      </c>
      <c r="E783" s="1" t="s">
        <v>1075</v>
      </c>
      <c r="F783" s="1" t="s">
        <v>1101</v>
      </c>
      <c r="G783" s="7" t="str">
        <f>_xlfn.XLOOKUP(Order_Details[[#This Row],[Order ID]], List_of_orders[Order ID], List_of_orders[State])</f>
        <v>Madhya Pradesh</v>
      </c>
      <c r="H783" s="10">
        <f>_xlfn.XLOOKUP(Order_Details[[#This Row],[Order ID]], List_of_orders[Order ID], List_of_orders[Order Date (Clean)])</f>
        <v>43418</v>
      </c>
      <c r="I783" s="7" t="str">
        <f>_xlfn.XLOOKUP(Order_Details[[#This Row],[Order ID]], List_of_orders[Order ID], List_of_orders[CustomerName])</f>
        <v>Chikku</v>
      </c>
      <c r="J783" s="7" t="str">
        <f>_xlfn.XLOOKUP(Order_Details[[#This Row],[Order ID]], List_of_orders[Order ID], List_of_orders[City])</f>
        <v>Indore</v>
      </c>
      <c r="K783" s="8" t="str">
        <f>TEXT(Order_Details[[#This Row],[Order Date]], "YY-MMM")</f>
        <v>18-Nov</v>
      </c>
      <c r="L783" s="11">
        <f>Order_Details[[#This Row],[Profit]]/Order_Details[[#This Row],[Amount]]</f>
        <v>0.34944751381215472</v>
      </c>
      <c r="M783" s="8">
        <f>YEAR(Order_Details[[#This Row],[Order Date]])</f>
        <v>2018</v>
      </c>
      <c r="N783" s="8">
        <f>ROUNDUP(MONTH(Order_Details[[#This Row],[Order Date]])/3, 0)</f>
        <v>4</v>
      </c>
    </row>
    <row r="784" spans="1:14">
      <c r="A784" s="1" t="s">
        <v>636</v>
      </c>
      <c r="B784" s="1">
        <v>112</v>
      </c>
      <c r="C784" s="1">
        <v>24</v>
      </c>
      <c r="D784" s="1">
        <v>3</v>
      </c>
      <c r="E784" s="1" t="s">
        <v>1076</v>
      </c>
      <c r="F784" s="1" t="s">
        <v>1109</v>
      </c>
      <c r="G784" s="7" t="str">
        <f>_xlfn.XLOOKUP(Order_Details[[#This Row],[Order ID]], List_of_orders[Order ID], List_of_orders[State])</f>
        <v>Tamil Nadu</v>
      </c>
      <c r="H784" s="10">
        <f>_xlfn.XLOOKUP(Order_Details[[#This Row],[Order ID]], List_of_orders[Order ID], List_of_orders[Order Date (Clean)])</f>
        <v>43419</v>
      </c>
      <c r="I784" s="7" t="str">
        <f>_xlfn.XLOOKUP(Order_Details[[#This Row],[Order ID]], List_of_orders[Order ID], List_of_orders[CustomerName])</f>
        <v>Akshay</v>
      </c>
      <c r="J784" s="7" t="str">
        <f>_xlfn.XLOOKUP(Order_Details[[#This Row],[Order ID]], List_of_orders[Order ID], List_of_orders[City])</f>
        <v>Chennai</v>
      </c>
      <c r="K784" s="8" t="str">
        <f>TEXT(Order_Details[[#This Row],[Order Date]], "YY-MMM")</f>
        <v>18-Nov</v>
      </c>
      <c r="L784" s="11">
        <f>Order_Details[[#This Row],[Profit]]/Order_Details[[#This Row],[Amount]]</f>
        <v>0.21428571428571427</v>
      </c>
      <c r="M784" s="8">
        <f>YEAR(Order_Details[[#This Row],[Order Date]])</f>
        <v>2018</v>
      </c>
      <c r="N784" s="8">
        <f>ROUNDUP(MONTH(Order_Details[[#This Row],[Order Date]])/3, 0)</f>
        <v>4</v>
      </c>
    </row>
    <row r="785" spans="1:14">
      <c r="A785" s="1" t="s">
        <v>638</v>
      </c>
      <c r="B785" s="1">
        <v>128</v>
      </c>
      <c r="C785" s="1">
        <v>4</v>
      </c>
      <c r="D785" s="1">
        <v>3</v>
      </c>
      <c r="E785" s="1" t="s">
        <v>1076</v>
      </c>
      <c r="F785" s="1" t="s">
        <v>1106</v>
      </c>
      <c r="G785" s="7" t="str">
        <f>_xlfn.XLOOKUP(Order_Details[[#This Row],[Order ID]], List_of_orders[Order ID], List_of_orders[State])</f>
        <v>Uttar Pradesh</v>
      </c>
      <c r="H785" s="10">
        <f>_xlfn.XLOOKUP(Order_Details[[#This Row],[Order ID]], List_of_orders[Order ID], List_of_orders[Order Date (Clean)])</f>
        <v>43419</v>
      </c>
      <c r="I785" s="7" t="str">
        <f>_xlfn.XLOOKUP(Order_Details[[#This Row],[Order ID]], List_of_orders[Order ID], List_of_orders[CustomerName])</f>
        <v>Aayush</v>
      </c>
      <c r="J785" s="7" t="str">
        <f>_xlfn.XLOOKUP(Order_Details[[#This Row],[Order ID]], List_of_orders[Order ID], List_of_orders[City])</f>
        <v>Lucknow</v>
      </c>
      <c r="K785" s="8" t="str">
        <f>TEXT(Order_Details[[#This Row],[Order Date]], "YY-MMM")</f>
        <v>18-Nov</v>
      </c>
      <c r="L785" s="11">
        <f>Order_Details[[#This Row],[Profit]]/Order_Details[[#This Row],[Amount]]</f>
        <v>3.125E-2</v>
      </c>
      <c r="M785" s="8">
        <f>YEAR(Order_Details[[#This Row],[Order Date]])</f>
        <v>2018</v>
      </c>
      <c r="N785" s="8">
        <f>ROUNDUP(MONTH(Order_Details[[#This Row],[Order Date]])/3, 0)</f>
        <v>4</v>
      </c>
    </row>
    <row r="786" spans="1:14">
      <c r="A786" s="1" t="s">
        <v>638</v>
      </c>
      <c r="B786" s="1">
        <v>50</v>
      </c>
      <c r="C786" s="1">
        <v>3</v>
      </c>
      <c r="D786" s="1">
        <v>2</v>
      </c>
      <c r="E786" s="1" t="s">
        <v>1076</v>
      </c>
      <c r="F786" s="1" t="s">
        <v>1102</v>
      </c>
      <c r="G786" s="7" t="str">
        <f>_xlfn.XLOOKUP(Order_Details[[#This Row],[Order ID]], List_of_orders[Order ID], List_of_orders[State])</f>
        <v>Uttar Pradesh</v>
      </c>
      <c r="H786" s="10">
        <f>_xlfn.XLOOKUP(Order_Details[[#This Row],[Order ID]], List_of_orders[Order ID], List_of_orders[Order Date (Clean)])</f>
        <v>43419</v>
      </c>
      <c r="I786" s="7" t="str">
        <f>_xlfn.XLOOKUP(Order_Details[[#This Row],[Order ID]], List_of_orders[Order ID], List_of_orders[CustomerName])</f>
        <v>Aayush</v>
      </c>
      <c r="J786" s="7" t="str">
        <f>_xlfn.XLOOKUP(Order_Details[[#This Row],[Order ID]], List_of_orders[Order ID], List_of_orders[City])</f>
        <v>Lucknow</v>
      </c>
      <c r="K786" s="8" t="str">
        <f>TEXT(Order_Details[[#This Row],[Order Date]], "YY-MMM")</f>
        <v>18-Nov</v>
      </c>
      <c r="L786" s="11">
        <f>Order_Details[[#This Row],[Profit]]/Order_Details[[#This Row],[Amount]]</f>
        <v>0.06</v>
      </c>
      <c r="M786" s="8">
        <f>YEAR(Order_Details[[#This Row],[Order Date]])</f>
        <v>2018</v>
      </c>
      <c r="N786" s="8">
        <f>ROUNDUP(MONTH(Order_Details[[#This Row],[Order Date]])/3, 0)</f>
        <v>4</v>
      </c>
    </row>
    <row r="787" spans="1:14">
      <c r="A787" s="1" t="s">
        <v>638</v>
      </c>
      <c r="B787" s="1">
        <v>62</v>
      </c>
      <c r="C787" s="1">
        <v>6</v>
      </c>
      <c r="D787" s="1">
        <v>5</v>
      </c>
      <c r="E787" s="1" t="s">
        <v>1076</v>
      </c>
      <c r="F787" s="1" t="s">
        <v>1103</v>
      </c>
      <c r="G787" s="7" t="str">
        <f>_xlfn.XLOOKUP(Order_Details[[#This Row],[Order ID]], List_of_orders[Order ID], List_of_orders[State])</f>
        <v>Uttar Pradesh</v>
      </c>
      <c r="H787" s="10">
        <f>_xlfn.XLOOKUP(Order_Details[[#This Row],[Order ID]], List_of_orders[Order ID], List_of_orders[Order Date (Clean)])</f>
        <v>43419</v>
      </c>
      <c r="I787" s="7" t="str">
        <f>_xlfn.XLOOKUP(Order_Details[[#This Row],[Order ID]], List_of_orders[Order ID], List_of_orders[CustomerName])</f>
        <v>Aayush</v>
      </c>
      <c r="J787" s="7" t="str">
        <f>_xlfn.XLOOKUP(Order_Details[[#This Row],[Order ID]], List_of_orders[Order ID], List_of_orders[City])</f>
        <v>Lucknow</v>
      </c>
      <c r="K787" s="8" t="str">
        <f>TEXT(Order_Details[[#This Row],[Order Date]], "YY-MMM")</f>
        <v>18-Nov</v>
      </c>
      <c r="L787" s="11">
        <f>Order_Details[[#This Row],[Profit]]/Order_Details[[#This Row],[Amount]]</f>
        <v>9.6774193548387094E-2</v>
      </c>
      <c r="M787" s="8">
        <f>YEAR(Order_Details[[#This Row],[Order Date]])</f>
        <v>2018</v>
      </c>
      <c r="N787" s="8">
        <f>ROUNDUP(MONTH(Order_Details[[#This Row],[Order Date]])/3, 0)</f>
        <v>4</v>
      </c>
    </row>
    <row r="788" spans="1:14">
      <c r="A788" s="1" t="s">
        <v>638</v>
      </c>
      <c r="B788" s="1">
        <v>44</v>
      </c>
      <c r="C788" s="1">
        <v>14</v>
      </c>
      <c r="D788" s="1">
        <v>3</v>
      </c>
      <c r="E788" s="1" t="s">
        <v>1076</v>
      </c>
      <c r="F788" s="1" t="s">
        <v>1103</v>
      </c>
      <c r="G788" s="7" t="str">
        <f>_xlfn.XLOOKUP(Order_Details[[#This Row],[Order ID]], List_of_orders[Order ID], List_of_orders[State])</f>
        <v>Uttar Pradesh</v>
      </c>
      <c r="H788" s="10">
        <f>_xlfn.XLOOKUP(Order_Details[[#This Row],[Order ID]], List_of_orders[Order ID], List_of_orders[Order Date (Clean)])</f>
        <v>43419</v>
      </c>
      <c r="I788" s="7" t="str">
        <f>_xlfn.XLOOKUP(Order_Details[[#This Row],[Order ID]], List_of_orders[Order ID], List_of_orders[CustomerName])</f>
        <v>Aayush</v>
      </c>
      <c r="J788" s="7" t="str">
        <f>_xlfn.XLOOKUP(Order_Details[[#This Row],[Order ID]], List_of_orders[Order ID], List_of_orders[City])</f>
        <v>Lucknow</v>
      </c>
      <c r="K788" s="8" t="str">
        <f>TEXT(Order_Details[[#This Row],[Order Date]], "YY-MMM")</f>
        <v>18-Nov</v>
      </c>
      <c r="L788" s="11">
        <f>Order_Details[[#This Row],[Profit]]/Order_Details[[#This Row],[Amount]]</f>
        <v>0.31818181818181818</v>
      </c>
      <c r="M788" s="8">
        <f>YEAR(Order_Details[[#This Row],[Order Date]])</f>
        <v>2018</v>
      </c>
      <c r="N788" s="8">
        <f>ROUNDUP(MONTH(Order_Details[[#This Row],[Order Date]])/3, 0)</f>
        <v>4</v>
      </c>
    </row>
    <row r="789" spans="1:14">
      <c r="A789" s="1" t="s">
        <v>638</v>
      </c>
      <c r="B789" s="1">
        <v>56</v>
      </c>
      <c r="C789" s="1">
        <v>18</v>
      </c>
      <c r="D789" s="1">
        <v>2</v>
      </c>
      <c r="E789" s="1" t="s">
        <v>1076</v>
      </c>
      <c r="F789" s="1" t="s">
        <v>1103</v>
      </c>
      <c r="G789" s="7" t="str">
        <f>_xlfn.XLOOKUP(Order_Details[[#This Row],[Order ID]], List_of_orders[Order ID], List_of_orders[State])</f>
        <v>Uttar Pradesh</v>
      </c>
      <c r="H789" s="10">
        <f>_xlfn.XLOOKUP(Order_Details[[#This Row],[Order ID]], List_of_orders[Order ID], List_of_orders[Order Date (Clean)])</f>
        <v>43419</v>
      </c>
      <c r="I789" s="7" t="str">
        <f>_xlfn.XLOOKUP(Order_Details[[#This Row],[Order ID]], List_of_orders[Order ID], List_of_orders[CustomerName])</f>
        <v>Aayush</v>
      </c>
      <c r="J789" s="7" t="str">
        <f>_xlfn.XLOOKUP(Order_Details[[#This Row],[Order ID]], List_of_orders[Order ID], List_of_orders[City])</f>
        <v>Lucknow</v>
      </c>
      <c r="K789" s="8" t="str">
        <f>TEXT(Order_Details[[#This Row],[Order Date]], "YY-MMM")</f>
        <v>18-Nov</v>
      </c>
      <c r="L789" s="11">
        <f>Order_Details[[#This Row],[Profit]]/Order_Details[[#This Row],[Amount]]</f>
        <v>0.32142857142857145</v>
      </c>
      <c r="M789" s="8">
        <f>YEAR(Order_Details[[#This Row],[Order Date]])</f>
        <v>2018</v>
      </c>
      <c r="N789" s="8">
        <f>ROUNDUP(MONTH(Order_Details[[#This Row],[Order Date]])/3, 0)</f>
        <v>4</v>
      </c>
    </row>
    <row r="790" spans="1:14">
      <c r="A790" s="1" t="s">
        <v>638</v>
      </c>
      <c r="B790" s="1">
        <v>216</v>
      </c>
      <c r="C790" s="1">
        <v>-83</v>
      </c>
      <c r="D790" s="1">
        <v>3</v>
      </c>
      <c r="E790" s="1" t="s">
        <v>1077</v>
      </c>
      <c r="F790" s="1" t="s">
        <v>1104</v>
      </c>
      <c r="G790" s="7" t="str">
        <f>_xlfn.XLOOKUP(Order_Details[[#This Row],[Order ID]], List_of_orders[Order ID], List_of_orders[State])</f>
        <v>Uttar Pradesh</v>
      </c>
      <c r="H790" s="10">
        <f>_xlfn.XLOOKUP(Order_Details[[#This Row],[Order ID]], List_of_orders[Order ID], List_of_orders[Order Date (Clean)])</f>
        <v>43419</v>
      </c>
      <c r="I790" s="7" t="str">
        <f>_xlfn.XLOOKUP(Order_Details[[#This Row],[Order ID]], List_of_orders[Order ID], List_of_orders[CustomerName])</f>
        <v>Aayush</v>
      </c>
      <c r="J790" s="7" t="str">
        <f>_xlfn.XLOOKUP(Order_Details[[#This Row],[Order ID]], List_of_orders[Order ID], List_of_orders[City])</f>
        <v>Lucknow</v>
      </c>
      <c r="K790" s="8" t="str">
        <f>TEXT(Order_Details[[#This Row],[Order Date]], "YY-MMM")</f>
        <v>18-Nov</v>
      </c>
      <c r="L790" s="11">
        <f>Order_Details[[#This Row],[Profit]]/Order_Details[[#This Row],[Amount]]</f>
        <v>-0.38425925925925924</v>
      </c>
      <c r="M790" s="8">
        <f>YEAR(Order_Details[[#This Row],[Order Date]])</f>
        <v>2018</v>
      </c>
      <c r="N790" s="8">
        <f>ROUNDUP(MONTH(Order_Details[[#This Row],[Order Date]])/3, 0)</f>
        <v>4</v>
      </c>
    </row>
    <row r="791" spans="1:14">
      <c r="A791" s="1" t="s">
        <v>640</v>
      </c>
      <c r="B791" s="1">
        <v>2061</v>
      </c>
      <c r="C791" s="1">
        <v>701</v>
      </c>
      <c r="D791" s="1">
        <v>5</v>
      </c>
      <c r="E791" s="1" t="s">
        <v>1075</v>
      </c>
      <c r="F791" s="1" t="s">
        <v>1101</v>
      </c>
      <c r="G791" s="7" t="str">
        <f>_xlfn.XLOOKUP(Order_Details[[#This Row],[Order ID]], List_of_orders[Order ID], List_of_orders[State])</f>
        <v>Bihar</v>
      </c>
      <c r="H791" s="10">
        <f>_xlfn.XLOOKUP(Order_Details[[#This Row],[Order ID]], List_of_orders[Order ID], List_of_orders[Order Date (Clean)])</f>
        <v>43419</v>
      </c>
      <c r="I791" s="7" t="str">
        <f>_xlfn.XLOOKUP(Order_Details[[#This Row],[Order ID]], List_of_orders[Order ID], List_of_orders[CustomerName])</f>
        <v>Amol</v>
      </c>
      <c r="J791" s="7" t="str">
        <f>_xlfn.XLOOKUP(Order_Details[[#This Row],[Order ID]], List_of_orders[Order ID], List_of_orders[City])</f>
        <v>Patna</v>
      </c>
      <c r="K791" s="8" t="str">
        <f>TEXT(Order_Details[[#This Row],[Order Date]], "YY-MMM")</f>
        <v>18-Nov</v>
      </c>
      <c r="L791" s="11">
        <f>Order_Details[[#This Row],[Profit]]/Order_Details[[#This Row],[Amount]]</f>
        <v>0.34012615235322657</v>
      </c>
      <c r="M791" s="8">
        <f>YEAR(Order_Details[[#This Row],[Order Date]])</f>
        <v>2018</v>
      </c>
      <c r="N791" s="8">
        <f>ROUNDUP(MONTH(Order_Details[[#This Row],[Order Date]])/3, 0)</f>
        <v>4</v>
      </c>
    </row>
    <row r="792" spans="1:14">
      <c r="A792" s="1" t="s">
        <v>640</v>
      </c>
      <c r="B792" s="1">
        <v>121</v>
      </c>
      <c r="C792" s="1">
        <v>41</v>
      </c>
      <c r="D792" s="1">
        <v>4</v>
      </c>
      <c r="E792" s="1" t="s">
        <v>1076</v>
      </c>
      <c r="F792" s="1" t="s">
        <v>1102</v>
      </c>
      <c r="G792" s="7" t="str">
        <f>_xlfn.XLOOKUP(Order_Details[[#This Row],[Order ID]], List_of_orders[Order ID], List_of_orders[State])</f>
        <v>Bihar</v>
      </c>
      <c r="H792" s="10">
        <f>_xlfn.XLOOKUP(Order_Details[[#This Row],[Order ID]], List_of_orders[Order ID], List_of_orders[Order Date (Clean)])</f>
        <v>43419</v>
      </c>
      <c r="I792" s="7" t="str">
        <f>_xlfn.XLOOKUP(Order_Details[[#This Row],[Order ID]], List_of_orders[Order ID], List_of_orders[CustomerName])</f>
        <v>Amol</v>
      </c>
      <c r="J792" s="7" t="str">
        <f>_xlfn.XLOOKUP(Order_Details[[#This Row],[Order ID]], List_of_orders[Order ID], List_of_orders[City])</f>
        <v>Patna</v>
      </c>
      <c r="K792" s="8" t="str">
        <f>TEXT(Order_Details[[#This Row],[Order Date]], "YY-MMM")</f>
        <v>18-Nov</v>
      </c>
      <c r="L792" s="11">
        <f>Order_Details[[#This Row],[Profit]]/Order_Details[[#This Row],[Amount]]</f>
        <v>0.33884297520661155</v>
      </c>
      <c r="M792" s="8">
        <f>YEAR(Order_Details[[#This Row],[Order Date]])</f>
        <v>2018</v>
      </c>
      <c r="N792" s="8">
        <f>ROUNDUP(MONTH(Order_Details[[#This Row],[Order Date]])/3, 0)</f>
        <v>4</v>
      </c>
    </row>
    <row r="793" spans="1:14">
      <c r="A793" s="1" t="s">
        <v>640</v>
      </c>
      <c r="B793" s="1">
        <v>80</v>
      </c>
      <c r="C793" s="1">
        <v>3</v>
      </c>
      <c r="D793" s="1">
        <v>3</v>
      </c>
      <c r="E793" s="1" t="s">
        <v>1076</v>
      </c>
      <c r="F793" s="1" t="s">
        <v>1102</v>
      </c>
      <c r="G793" s="7" t="str">
        <f>_xlfn.XLOOKUP(Order_Details[[#This Row],[Order ID]], List_of_orders[Order ID], List_of_orders[State])</f>
        <v>Bihar</v>
      </c>
      <c r="H793" s="10">
        <f>_xlfn.XLOOKUP(Order_Details[[#This Row],[Order ID]], List_of_orders[Order ID], List_of_orders[Order Date (Clean)])</f>
        <v>43419</v>
      </c>
      <c r="I793" s="7" t="str">
        <f>_xlfn.XLOOKUP(Order_Details[[#This Row],[Order ID]], List_of_orders[Order ID], List_of_orders[CustomerName])</f>
        <v>Amol</v>
      </c>
      <c r="J793" s="7" t="str">
        <f>_xlfn.XLOOKUP(Order_Details[[#This Row],[Order ID]], List_of_orders[Order ID], List_of_orders[City])</f>
        <v>Patna</v>
      </c>
      <c r="K793" s="8" t="str">
        <f>TEXT(Order_Details[[#This Row],[Order Date]], "YY-MMM")</f>
        <v>18-Nov</v>
      </c>
      <c r="L793" s="11">
        <f>Order_Details[[#This Row],[Profit]]/Order_Details[[#This Row],[Amount]]</f>
        <v>3.7499999999999999E-2</v>
      </c>
      <c r="M793" s="8">
        <f>YEAR(Order_Details[[#This Row],[Order Date]])</f>
        <v>2018</v>
      </c>
      <c r="N793" s="8">
        <f>ROUNDUP(MONTH(Order_Details[[#This Row],[Order Date]])/3, 0)</f>
        <v>4</v>
      </c>
    </row>
    <row r="794" spans="1:14">
      <c r="A794" s="1" t="s">
        <v>642</v>
      </c>
      <c r="B794" s="1">
        <v>189</v>
      </c>
      <c r="C794" s="1">
        <v>87</v>
      </c>
      <c r="D794" s="1">
        <v>7</v>
      </c>
      <c r="E794" s="1" t="s">
        <v>1076</v>
      </c>
      <c r="F794" s="1" t="s">
        <v>1102</v>
      </c>
      <c r="G794" s="7" t="str">
        <f>_xlfn.XLOOKUP(Order_Details[[#This Row],[Order ID]], List_of_orders[Order ID], List_of_orders[State])</f>
        <v xml:space="preserve">Kerala </v>
      </c>
      <c r="H794" s="10">
        <f>_xlfn.XLOOKUP(Order_Details[[#This Row],[Order ID]], List_of_orders[Order ID], List_of_orders[Order Date (Clean)])</f>
        <v>43419</v>
      </c>
      <c r="I794" s="7" t="str">
        <f>_xlfn.XLOOKUP(Order_Details[[#This Row],[Order ID]], List_of_orders[Order ID], List_of_orders[CustomerName])</f>
        <v>Manibalan</v>
      </c>
      <c r="J794" s="7" t="str">
        <f>_xlfn.XLOOKUP(Order_Details[[#This Row],[Order ID]], List_of_orders[Order ID], List_of_orders[City])</f>
        <v>Thiruvananthapuram</v>
      </c>
      <c r="K794" s="8" t="str">
        <f>TEXT(Order_Details[[#This Row],[Order Date]], "YY-MMM")</f>
        <v>18-Nov</v>
      </c>
      <c r="L794" s="11">
        <f>Order_Details[[#This Row],[Profit]]/Order_Details[[#This Row],[Amount]]</f>
        <v>0.46031746031746029</v>
      </c>
      <c r="M794" s="8">
        <f>YEAR(Order_Details[[#This Row],[Order Date]])</f>
        <v>2018</v>
      </c>
      <c r="N794" s="8">
        <f>ROUNDUP(MONTH(Order_Details[[#This Row],[Order Date]])/3, 0)</f>
        <v>4</v>
      </c>
    </row>
    <row r="795" spans="1:14">
      <c r="A795" s="1" t="s">
        <v>644</v>
      </c>
      <c r="B795" s="1">
        <v>100</v>
      </c>
      <c r="C795" s="1">
        <v>6</v>
      </c>
      <c r="D795" s="1">
        <v>4</v>
      </c>
      <c r="E795" s="1" t="s">
        <v>1076</v>
      </c>
      <c r="F795" s="1" t="s">
        <v>1102</v>
      </c>
      <c r="G795" s="7" t="str">
        <f>_xlfn.XLOOKUP(Order_Details[[#This Row],[Order ID]], List_of_orders[Order ID], List_of_orders[State])</f>
        <v>Maharashtra</v>
      </c>
      <c r="H795" s="10">
        <f>_xlfn.XLOOKUP(Order_Details[[#This Row],[Order ID]], List_of_orders[Order ID], List_of_orders[Order Date (Clean)])</f>
        <v>43419</v>
      </c>
      <c r="I795" s="7" t="str">
        <f>_xlfn.XLOOKUP(Order_Details[[#This Row],[Order ID]], List_of_orders[Order ID], List_of_orders[CustomerName])</f>
        <v>Aromal</v>
      </c>
      <c r="J795" s="7" t="str">
        <f>_xlfn.XLOOKUP(Order_Details[[#This Row],[Order ID]], List_of_orders[Order ID], List_of_orders[City])</f>
        <v>Mumbai</v>
      </c>
      <c r="K795" s="8" t="str">
        <f>TEXT(Order_Details[[#This Row],[Order Date]], "YY-MMM")</f>
        <v>18-Nov</v>
      </c>
      <c r="L795" s="11">
        <f>Order_Details[[#This Row],[Profit]]/Order_Details[[#This Row],[Amount]]</f>
        <v>0.06</v>
      </c>
      <c r="M795" s="8">
        <f>YEAR(Order_Details[[#This Row],[Order Date]])</f>
        <v>2018</v>
      </c>
      <c r="N795" s="8">
        <f>ROUNDUP(MONTH(Order_Details[[#This Row],[Order Date]])/3, 0)</f>
        <v>4</v>
      </c>
    </row>
    <row r="796" spans="1:14">
      <c r="A796" s="1" t="s">
        <v>644</v>
      </c>
      <c r="B796" s="1">
        <v>17</v>
      </c>
      <c r="C796" s="1">
        <v>5</v>
      </c>
      <c r="D796" s="1">
        <v>1</v>
      </c>
      <c r="E796" s="1" t="s">
        <v>1076</v>
      </c>
      <c r="F796" s="1" t="s">
        <v>1103</v>
      </c>
      <c r="G796" s="7" t="str">
        <f>_xlfn.XLOOKUP(Order_Details[[#This Row],[Order ID]], List_of_orders[Order ID], List_of_orders[State])</f>
        <v>Maharashtra</v>
      </c>
      <c r="H796" s="10">
        <f>_xlfn.XLOOKUP(Order_Details[[#This Row],[Order ID]], List_of_orders[Order ID], List_of_orders[Order Date (Clean)])</f>
        <v>43419</v>
      </c>
      <c r="I796" s="7" t="str">
        <f>_xlfn.XLOOKUP(Order_Details[[#This Row],[Order ID]], List_of_orders[Order ID], List_of_orders[CustomerName])</f>
        <v>Aromal</v>
      </c>
      <c r="J796" s="7" t="str">
        <f>_xlfn.XLOOKUP(Order_Details[[#This Row],[Order ID]], List_of_orders[Order ID], List_of_orders[City])</f>
        <v>Mumbai</v>
      </c>
      <c r="K796" s="8" t="str">
        <f>TEXT(Order_Details[[#This Row],[Order Date]], "YY-MMM")</f>
        <v>18-Nov</v>
      </c>
      <c r="L796" s="11">
        <f>Order_Details[[#This Row],[Profit]]/Order_Details[[#This Row],[Amount]]</f>
        <v>0.29411764705882354</v>
      </c>
      <c r="M796" s="8">
        <f>YEAR(Order_Details[[#This Row],[Order Date]])</f>
        <v>2018</v>
      </c>
      <c r="N796" s="8">
        <f>ROUNDUP(MONTH(Order_Details[[#This Row],[Order Date]])/3, 0)</f>
        <v>4</v>
      </c>
    </row>
    <row r="797" spans="1:14">
      <c r="A797" s="1" t="s">
        <v>644</v>
      </c>
      <c r="B797" s="1">
        <v>22</v>
      </c>
      <c r="C797" s="1">
        <v>8</v>
      </c>
      <c r="D797" s="1">
        <v>2</v>
      </c>
      <c r="E797" s="1" t="s">
        <v>1076</v>
      </c>
      <c r="F797" s="1" t="s">
        <v>1112</v>
      </c>
      <c r="G797" s="7" t="str">
        <f>_xlfn.XLOOKUP(Order_Details[[#This Row],[Order ID]], List_of_orders[Order ID], List_of_orders[State])</f>
        <v>Maharashtra</v>
      </c>
      <c r="H797" s="10">
        <f>_xlfn.XLOOKUP(Order_Details[[#This Row],[Order ID]], List_of_orders[Order ID], List_of_orders[Order Date (Clean)])</f>
        <v>43419</v>
      </c>
      <c r="I797" s="7" t="str">
        <f>_xlfn.XLOOKUP(Order_Details[[#This Row],[Order ID]], List_of_orders[Order ID], List_of_orders[CustomerName])</f>
        <v>Aromal</v>
      </c>
      <c r="J797" s="7" t="str">
        <f>_xlfn.XLOOKUP(Order_Details[[#This Row],[Order ID]], List_of_orders[Order ID], List_of_orders[City])</f>
        <v>Mumbai</v>
      </c>
      <c r="K797" s="8" t="str">
        <f>TEXT(Order_Details[[#This Row],[Order Date]], "YY-MMM")</f>
        <v>18-Nov</v>
      </c>
      <c r="L797" s="11">
        <f>Order_Details[[#This Row],[Profit]]/Order_Details[[#This Row],[Amount]]</f>
        <v>0.36363636363636365</v>
      </c>
      <c r="M797" s="8">
        <f>YEAR(Order_Details[[#This Row],[Order Date]])</f>
        <v>2018</v>
      </c>
      <c r="N797" s="8">
        <f>ROUNDUP(MONTH(Order_Details[[#This Row],[Order Date]])/3, 0)</f>
        <v>4</v>
      </c>
    </row>
    <row r="798" spans="1:14">
      <c r="A798" s="1" t="s">
        <v>644</v>
      </c>
      <c r="B798" s="1">
        <v>27</v>
      </c>
      <c r="C798" s="1">
        <v>9</v>
      </c>
      <c r="D798" s="1">
        <v>2</v>
      </c>
      <c r="E798" s="1" t="s">
        <v>1076</v>
      </c>
      <c r="F798" s="1" t="s">
        <v>1103</v>
      </c>
      <c r="G798" s="7" t="str">
        <f>_xlfn.XLOOKUP(Order_Details[[#This Row],[Order ID]], List_of_orders[Order ID], List_of_orders[State])</f>
        <v>Maharashtra</v>
      </c>
      <c r="H798" s="10">
        <f>_xlfn.XLOOKUP(Order_Details[[#This Row],[Order ID]], List_of_orders[Order ID], List_of_orders[Order Date (Clean)])</f>
        <v>43419</v>
      </c>
      <c r="I798" s="7" t="str">
        <f>_xlfn.XLOOKUP(Order_Details[[#This Row],[Order ID]], List_of_orders[Order ID], List_of_orders[CustomerName])</f>
        <v>Aromal</v>
      </c>
      <c r="J798" s="7" t="str">
        <f>_xlfn.XLOOKUP(Order_Details[[#This Row],[Order ID]], List_of_orders[Order ID], List_of_orders[City])</f>
        <v>Mumbai</v>
      </c>
      <c r="K798" s="8" t="str">
        <f>TEXT(Order_Details[[#This Row],[Order Date]], "YY-MMM")</f>
        <v>18-Nov</v>
      </c>
      <c r="L798" s="11">
        <f>Order_Details[[#This Row],[Profit]]/Order_Details[[#This Row],[Amount]]</f>
        <v>0.33333333333333331</v>
      </c>
      <c r="M798" s="8">
        <f>YEAR(Order_Details[[#This Row],[Order Date]])</f>
        <v>2018</v>
      </c>
      <c r="N798" s="8">
        <f>ROUNDUP(MONTH(Order_Details[[#This Row],[Order Date]])/3, 0)</f>
        <v>4</v>
      </c>
    </row>
    <row r="799" spans="1:14">
      <c r="A799" s="1" t="s">
        <v>646</v>
      </c>
      <c r="B799" s="1">
        <v>85</v>
      </c>
      <c r="C799" s="1">
        <v>-1</v>
      </c>
      <c r="D799" s="1">
        <v>3</v>
      </c>
      <c r="E799" s="1" t="s">
        <v>1076</v>
      </c>
      <c r="F799" s="1" t="s">
        <v>1106</v>
      </c>
      <c r="G799" s="7" t="str">
        <f>_xlfn.XLOOKUP(Order_Details[[#This Row],[Order ID]], List_of_orders[Order ID], List_of_orders[State])</f>
        <v>Madhya Pradesh</v>
      </c>
      <c r="H799" s="10">
        <f>_xlfn.XLOOKUP(Order_Details[[#This Row],[Order ID]], List_of_orders[Order ID], List_of_orders[Order Date (Clean)])</f>
        <v>43419</v>
      </c>
      <c r="I799" s="7" t="str">
        <f>_xlfn.XLOOKUP(Order_Details[[#This Row],[Order ID]], List_of_orders[Order ID], List_of_orders[CustomerName])</f>
        <v>Arun</v>
      </c>
      <c r="J799" s="7" t="str">
        <f>_xlfn.XLOOKUP(Order_Details[[#This Row],[Order ID]], List_of_orders[Order ID], List_of_orders[City])</f>
        <v>Indore</v>
      </c>
      <c r="K799" s="8" t="str">
        <f>TEXT(Order_Details[[#This Row],[Order Date]], "YY-MMM")</f>
        <v>18-Nov</v>
      </c>
      <c r="L799" s="11">
        <f>Order_Details[[#This Row],[Profit]]/Order_Details[[#This Row],[Amount]]</f>
        <v>-1.1764705882352941E-2</v>
      </c>
      <c r="M799" s="8">
        <f>YEAR(Order_Details[[#This Row],[Order Date]])</f>
        <v>2018</v>
      </c>
      <c r="N799" s="8">
        <f>ROUNDUP(MONTH(Order_Details[[#This Row],[Order Date]])/3, 0)</f>
        <v>4</v>
      </c>
    </row>
    <row r="800" spans="1:14">
      <c r="A800" s="1" t="s">
        <v>648</v>
      </c>
      <c r="B800" s="1">
        <v>51</v>
      </c>
      <c r="C800" s="1">
        <v>14</v>
      </c>
      <c r="D800" s="1">
        <v>2</v>
      </c>
      <c r="E800" s="1" t="s">
        <v>1076</v>
      </c>
      <c r="F800" s="1" t="s">
        <v>1102</v>
      </c>
      <c r="G800" s="7" t="str">
        <f>_xlfn.XLOOKUP(Order_Details[[#This Row],[Order ID]], List_of_orders[Order ID], List_of_orders[State])</f>
        <v>Himachal Pradesh</v>
      </c>
      <c r="H800" s="10">
        <f>_xlfn.XLOOKUP(Order_Details[[#This Row],[Order ID]], List_of_orders[Order ID], List_of_orders[Order Date (Clean)])</f>
        <v>43420</v>
      </c>
      <c r="I800" s="7" t="str">
        <f>_xlfn.XLOOKUP(Order_Details[[#This Row],[Order ID]], List_of_orders[Order ID], List_of_orders[CustomerName])</f>
        <v>Komal</v>
      </c>
      <c r="J800" s="7" t="str">
        <f>_xlfn.XLOOKUP(Order_Details[[#This Row],[Order ID]], List_of_orders[Order ID], List_of_orders[City])</f>
        <v>Simla</v>
      </c>
      <c r="K800" s="8" t="str">
        <f>TEXT(Order_Details[[#This Row],[Order Date]], "YY-MMM")</f>
        <v>18-Nov</v>
      </c>
      <c r="L800" s="11">
        <f>Order_Details[[#This Row],[Profit]]/Order_Details[[#This Row],[Amount]]</f>
        <v>0.27450980392156865</v>
      </c>
      <c r="M800" s="8">
        <f>YEAR(Order_Details[[#This Row],[Order Date]])</f>
        <v>2018</v>
      </c>
      <c r="N800" s="8">
        <f>ROUNDUP(MONTH(Order_Details[[#This Row],[Order Date]])/3, 0)</f>
        <v>4</v>
      </c>
    </row>
    <row r="801" spans="1:14">
      <c r="A801" s="1" t="s">
        <v>651</v>
      </c>
      <c r="B801" s="1">
        <v>31</v>
      </c>
      <c r="C801" s="1">
        <v>14</v>
      </c>
      <c r="D801" s="1">
        <v>3</v>
      </c>
      <c r="E801" s="1" t="s">
        <v>1076</v>
      </c>
      <c r="F801" s="1" t="s">
        <v>1102</v>
      </c>
      <c r="G801" s="7" t="str">
        <f>_xlfn.XLOOKUP(Order_Details[[#This Row],[Order ID]], List_of_orders[Order ID], List_of_orders[State])</f>
        <v>Sikkim</v>
      </c>
      <c r="H801" s="10">
        <f>_xlfn.XLOOKUP(Order_Details[[#This Row],[Order ID]], List_of_orders[Order ID], List_of_orders[Order Date (Clean)])</f>
        <v>43421</v>
      </c>
      <c r="I801" s="7" t="str">
        <f>_xlfn.XLOOKUP(Order_Details[[#This Row],[Order ID]], List_of_orders[Order ID], List_of_orders[CustomerName])</f>
        <v>Ankit</v>
      </c>
      <c r="J801" s="7" t="str">
        <f>_xlfn.XLOOKUP(Order_Details[[#This Row],[Order ID]], List_of_orders[Order ID], List_of_orders[City])</f>
        <v>Gangtok</v>
      </c>
      <c r="K801" s="8" t="str">
        <f>TEXT(Order_Details[[#This Row],[Order Date]], "YY-MMM")</f>
        <v>18-Nov</v>
      </c>
      <c r="L801" s="11">
        <f>Order_Details[[#This Row],[Profit]]/Order_Details[[#This Row],[Amount]]</f>
        <v>0.45161290322580644</v>
      </c>
      <c r="M801" s="8">
        <f>YEAR(Order_Details[[#This Row],[Order Date]])</f>
        <v>2018</v>
      </c>
      <c r="N801" s="8">
        <f>ROUNDUP(MONTH(Order_Details[[#This Row],[Order Date]])/3, 0)</f>
        <v>4</v>
      </c>
    </row>
    <row r="802" spans="1:14">
      <c r="A802" s="1" t="s">
        <v>651</v>
      </c>
      <c r="B802" s="1">
        <v>240</v>
      </c>
      <c r="C802" s="1">
        <v>12</v>
      </c>
      <c r="D802" s="1">
        <v>6</v>
      </c>
      <c r="E802" s="1" t="s">
        <v>1076</v>
      </c>
      <c r="F802" s="1" t="s">
        <v>1109</v>
      </c>
      <c r="G802" s="7" t="str">
        <f>_xlfn.XLOOKUP(Order_Details[[#This Row],[Order ID]], List_of_orders[Order ID], List_of_orders[State])</f>
        <v>Sikkim</v>
      </c>
      <c r="H802" s="10">
        <f>_xlfn.XLOOKUP(Order_Details[[#This Row],[Order ID]], List_of_orders[Order ID], List_of_orders[Order Date (Clean)])</f>
        <v>43421</v>
      </c>
      <c r="I802" s="7" t="str">
        <f>_xlfn.XLOOKUP(Order_Details[[#This Row],[Order ID]], List_of_orders[Order ID], List_of_orders[CustomerName])</f>
        <v>Ankit</v>
      </c>
      <c r="J802" s="7" t="str">
        <f>_xlfn.XLOOKUP(Order_Details[[#This Row],[Order ID]], List_of_orders[Order ID], List_of_orders[City])</f>
        <v>Gangtok</v>
      </c>
      <c r="K802" s="8" t="str">
        <f>TEXT(Order_Details[[#This Row],[Order Date]], "YY-MMM")</f>
        <v>18-Nov</v>
      </c>
      <c r="L802" s="11">
        <f>Order_Details[[#This Row],[Profit]]/Order_Details[[#This Row],[Amount]]</f>
        <v>0.05</v>
      </c>
      <c r="M802" s="8">
        <f>YEAR(Order_Details[[#This Row],[Order Date]])</f>
        <v>2018</v>
      </c>
      <c r="N802" s="8">
        <f>ROUNDUP(MONTH(Order_Details[[#This Row],[Order Date]])/3, 0)</f>
        <v>4</v>
      </c>
    </row>
    <row r="803" spans="1:14">
      <c r="A803" s="1" t="s">
        <v>651</v>
      </c>
      <c r="B803" s="1">
        <v>163</v>
      </c>
      <c r="C803" s="1">
        <v>26</v>
      </c>
      <c r="D803" s="1">
        <v>4</v>
      </c>
      <c r="E803" s="1" t="s">
        <v>1076</v>
      </c>
      <c r="F803" s="1" t="s">
        <v>1111</v>
      </c>
      <c r="G803" s="7" t="str">
        <f>_xlfn.XLOOKUP(Order_Details[[#This Row],[Order ID]], List_of_orders[Order ID], List_of_orders[State])</f>
        <v>Sikkim</v>
      </c>
      <c r="H803" s="10">
        <f>_xlfn.XLOOKUP(Order_Details[[#This Row],[Order ID]], List_of_orders[Order ID], List_of_orders[Order Date (Clean)])</f>
        <v>43421</v>
      </c>
      <c r="I803" s="7" t="str">
        <f>_xlfn.XLOOKUP(Order_Details[[#This Row],[Order ID]], List_of_orders[Order ID], List_of_orders[CustomerName])</f>
        <v>Ankit</v>
      </c>
      <c r="J803" s="7" t="str">
        <f>_xlfn.XLOOKUP(Order_Details[[#This Row],[Order ID]], List_of_orders[Order ID], List_of_orders[City])</f>
        <v>Gangtok</v>
      </c>
      <c r="K803" s="8" t="str">
        <f>TEXT(Order_Details[[#This Row],[Order Date]], "YY-MMM")</f>
        <v>18-Nov</v>
      </c>
      <c r="L803" s="11">
        <f>Order_Details[[#This Row],[Profit]]/Order_Details[[#This Row],[Amount]]</f>
        <v>0.15950920245398773</v>
      </c>
      <c r="M803" s="8">
        <f>YEAR(Order_Details[[#This Row],[Order Date]])</f>
        <v>2018</v>
      </c>
      <c r="N803" s="8">
        <f>ROUNDUP(MONTH(Order_Details[[#This Row],[Order Date]])/3, 0)</f>
        <v>4</v>
      </c>
    </row>
    <row r="804" spans="1:14">
      <c r="A804" s="1" t="s">
        <v>653</v>
      </c>
      <c r="B804" s="1">
        <v>170</v>
      </c>
      <c r="C804" s="1">
        <v>73</v>
      </c>
      <c r="D804" s="1">
        <v>2</v>
      </c>
      <c r="E804" s="1" t="s">
        <v>1077</v>
      </c>
      <c r="F804" s="1" t="s">
        <v>1115</v>
      </c>
      <c r="G804" s="7" t="str">
        <f>_xlfn.XLOOKUP(Order_Details[[#This Row],[Order ID]], List_of_orders[Order ID], List_of_orders[State])</f>
        <v>Goa</v>
      </c>
      <c r="H804" s="10">
        <f>_xlfn.XLOOKUP(Order_Details[[#This Row],[Order ID]], List_of_orders[Order ID], List_of_orders[Order Date (Clean)])</f>
        <v>43422</v>
      </c>
      <c r="I804" s="7" t="str">
        <f>_xlfn.XLOOKUP(Order_Details[[#This Row],[Order ID]], List_of_orders[Order ID], List_of_orders[CustomerName])</f>
        <v>Vikash</v>
      </c>
      <c r="J804" s="7" t="str">
        <f>_xlfn.XLOOKUP(Order_Details[[#This Row],[Order ID]], List_of_orders[Order ID], List_of_orders[City])</f>
        <v>Goa</v>
      </c>
      <c r="K804" s="8" t="str">
        <f>TEXT(Order_Details[[#This Row],[Order Date]], "YY-MMM")</f>
        <v>18-Nov</v>
      </c>
      <c r="L804" s="11">
        <f>Order_Details[[#This Row],[Profit]]/Order_Details[[#This Row],[Amount]]</f>
        <v>0.42941176470588233</v>
      </c>
      <c r="M804" s="8">
        <f>YEAR(Order_Details[[#This Row],[Order Date]])</f>
        <v>2018</v>
      </c>
      <c r="N804" s="8">
        <f>ROUNDUP(MONTH(Order_Details[[#This Row],[Order Date]])/3, 0)</f>
        <v>4</v>
      </c>
    </row>
    <row r="805" spans="1:14">
      <c r="A805" s="1" t="s">
        <v>653</v>
      </c>
      <c r="B805" s="1">
        <v>62</v>
      </c>
      <c r="C805" s="1">
        <v>-1</v>
      </c>
      <c r="D805" s="1">
        <v>1</v>
      </c>
      <c r="E805" s="1" t="s">
        <v>1077</v>
      </c>
      <c r="F805" s="1" t="s">
        <v>1105</v>
      </c>
      <c r="G805" s="7" t="str">
        <f>_xlfn.XLOOKUP(Order_Details[[#This Row],[Order ID]], List_of_orders[Order ID], List_of_orders[State])</f>
        <v>Goa</v>
      </c>
      <c r="H805" s="10">
        <f>_xlfn.XLOOKUP(Order_Details[[#This Row],[Order ID]], List_of_orders[Order ID], List_of_orders[Order Date (Clean)])</f>
        <v>43422</v>
      </c>
      <c r="I805" s="7" t="str">
        <f>_xlfn.XLOOKUP(Order_Details[[#This Row],[Order ID]], List_of_orders[Order ID], List_of_orders[CustomerName])</f>
        <v>Vikash</v>
      </c>
      <c r="J805" s="7" t="str">
        <f>_xlfn.XLOOKUP(Order_Details[[#This Row],[Order ID]], List_of_orders[Order ID], List_of_orders[City])</f>
        <v>Goa</v>
      </c>
      <c r="K805" s="8" t="str">
        <f>TEXT(Order_Details[[#This Row],[Order Date]], "YY-MMM")</f>
        <v>18-Nov</v>
      </c>
      <c r="L805" s="11">
        <f>Order_Details[[#This Row],[Profit]]/Order_Details[[#This Row],[Amount]]</f>
        <v>-1.6129032258064516E-2</v>
      </c>
      <c r="M805" s="8">
        <f>YEAR(Order_Details[[#This Row],[Order Date]])</f>
        <v>2018</v>
      </c>
      <c r="N805" s="8">
        <f>ROUNDUP(MONTH(Order_Details[[#This Row],[Order Date]])/3, 0)</f>
        <v>4</v>
      </c>
    </row>
    <row r="806" spans="1:14">
      <c r="A806" s="1" t="s">
        <v>653</v>
      </c>
      <c r="B806" s="1">
        <v>1118</v>
      </c>
      <c r="C806" s="1">
        <v>206</v>
      </c>
      <c r="D806" s="1">
        <v>2</v>
      </c>
      <c r="E806" s="1" t="s">
        <v>1075</v>
      </c>
      <c r="F806" s="1" t="s">
        <v>1113</v>
      </c>
      <c r="G806" s="7" t="str">
        <f>_xlfn.XLOOKUP(Order_Details[[#This Row],[Order ID]], List_of_orders[Order ID], List_of_orders[State])</f>
        <v>Goa</v>
      </c>
      <c r="H806" s="10">
        <f>_xlfn.XLOOKUP(Order_Details[[#This Row],[Order ID]], List_of_orders[Order ID], List_of_orders[Order Date (Clean)])</f>
        <v>43422</v>
      </c>
      <c r="I806" s="7" t="str">
        <f>_xlfn.XLOOKUP(Order_Details[[#This Row],[Order ID]], List_of_orders[Order ID], List_of_orders[CustomerName])</f>
        <v>Vikash</v>
      </c>
      <c r="J806" s="7" t="str">
        <f>_xlfn.XLOOKUP(Order_Details[[#This Row],[Order ID]], List_of_orders[Order ID], List_of_orders[City])</f>
        <v>Goa</v>
      </c>
      <c r="K806" s="8" t="str">
        <f>TEXT(Order_Details[[#This Row],[Order Date]], "YY-MMM")</f>
        <v>18-Nov</v>
      </c>
      <c r="L806" s="11">
        <f>Order_Details[[#This Row],[Profit]]/Order_Details[[#This Row],[Amount]]</f>
        <v>0.18425760286225404</v>
      </c>
      <c r="M806" s="8">
        <f>YEAR(Order_Details[[#This Row],[Order Date]])</f>
        <v>2018</v>
      </c>
      <c r="N806" s="8">
        <f>ROUNDUP(MONTH(Order_Details[[#This Row],[Order Date]])/3, 0)</f>
        <v>4</v>
      </c>
    </row>
    <row r="807" spans="1:14">
      <c r="A807" s="1" t="s">
        <v>656</v>
      </c>
      <c r="B807" s="1">
        <v>86</v>
      </c>
      <c r="C807" s="1">
        <v>9</v>
      </c>
      <c r="D807" s="1">
        <v>3</v>
      </c>
      <c r="E807" s="1" t="s">
        <v>1076</v>
      </c>
      <c r="F807" s="1" t="s">
        <v>1106</v>
      </c>
      <c r="G807" s="7" t="str">
        <f>_xlfn.XLOOKUP(Order_Details[[#This Row],[Order ID]], List_of_orders[Order ID], List_of_orders[State])</f>
        <v>Nagaland</v>
      </c>
      <c r="H807" s="10">
        <f>_xlfn.XLOOKUP(Order_Details[[#This Row],[Order ID]], List_of_orders[Order ID], List_of_orders[Order Date (Clean)])</f>
        <v>43423</v>
      </c>
      <c r="I807" s="7" t="str">
        <f>_xlfn.XLOOKUP(Order_Details[[#This Row],[Order ID]], List_of_orders[Order ID], List_of_orders[CustomerName])</f>
        <v>Parakh</v>
      </c>
      <c r="J807" s="7" t="str">
        <f>_xlfn.XLOOKUP(Order_Details[[#This Row],[Order ID]], List_of_orders[Order ID], List_of_orders[City])</f>
        <v>Kohima</v>
      </c>
      <c r="K807" s="8" t="str">
        <f>TEXT(Order_Details[[#This Row],[Order Date]], "YY-MMM")</f>
        <v>18-Nov</v>
      </c>
      <c r="L807" s="11">
        <f>Order_Details[[#This Row],[Profit]]/Order_Details[[#This Row],[Amount]]</f>
        <v>0.10465116279069768</v>
      </c>
      <c r="M807" s="8">
        <f>YEAR(Order_Details[[#This Row],[Order Date]])</f>
        <v>2018</v>
      </c>
      <c r="N807" s="8">
        <f>ROUNDUP(MONTH(Order_Details[[#This Row],[Order Date]])/3, 0)</f>
        <v>4</v>
      </c>
    </row>
    <row r="808" spans="1:14">
      <c r="A808" s="1" t="s">
        <v>659</v>
      </c>
      <c r="B808" s="1">
        <v>10</v>
      </c>
      <c r="C808" s="1">
        <v>4</v>
      </c>
      <c r="D808" s="1">
        <v>1</v>
      </c>
      <c r="E808" s="1" t="s">
        <v>1076</v>
      </c>
      <c r="F808" s="1" t="s">
        <v>1109</v>
      </c>
      <c r="G808" s="7" t="str">
        <f>_xlfn.XLOOKUP(Order_Details[[#This Row],[Order ID]], List_of_orders[Order ID], List_of_orders[State])</f>
        <v>Andhra Pradesh</v>
      </c>
      <c r="H808" s="10">
        <f>_xlfn.XLOOKUP(Order_Details[[#This Row],[Order ID]], List_of_orders[Order ID], List_of_orders[Order Date (Clean)])</f>
        <v>43424</v>
      </c>
      <c r="I808" s="7" t="str">
        <f>_xlfn.XLOOKUP(Order_Details[[#This Row],[Order ID]], List_of_orders[Order ID], List_of_orders[CustomerName])</f>
        <v>Pranav</v>
      </c>
      <c r="J808" s="7" t="str">
        <f>_xlfn.XLOOKUP(Order_Details[[#This Row],[Order ID]], List_of_orders[Order ID], List_of_orders[City])</f>
        <v>Hyderabad</v>
      </c>
      <c r="K808" s="8" t="str">
        <f>TEXT(Order_Details[[#This Row],[Order Date]], "YY-MMM")</f>
        <v>18-Nov</v>
      </c>
      <c r="L808" s="11">
        <f>Order_Details[[#This Row],[Profit]]/Order_Details[[#This Row],[Amount]]</f>
        <v>0.4</v>
      </c>
      <c r="M808" s="8">
        <f>YEAR(Order_Details[[#This Row],[Order Date]])</f>
        <v>2018</v>
      </c>
      <c r="N808" s="8">
        <f>ROUNDUP(MONTH(Order_Details[[#This Row],[Order Date]])/3, 0)</f>
        <v>4</v>
      </c>
    </row>
    <row r="809" spans="1:14">
      <c r="A809" s="1" t="s">
        <v>659</v>
      </c>
      <c r="B809" s="1">
        <v>845</v>
      </c>
      <c r="C809" s="1">
        <v>84</v>
      </c>
      <c r="D809" s="1">
        <v>7</v>
      </c>
      <c r="E809" s="1" t="s">
        <v>1076</v>
      </c>
      <c r="F809" s="1" t="s">
        <v>1106</v>
      </c>
      <c r="G809" s="7" t="str">
        <f>_xlfn.XLOOKUP(Order_Details[[#This Row],[Order ID]], List_of_orders[Order ID], List_of_orders[State])</f>
        <v>Andhra Pradesh</v>
      </c>
      <c r="H809" s="10">
        <f>_xlfn.XLOOKUP(Order_Details[[#This Row],[Order ID]], List_of_orders[Order ID], List_of_orders[Order Date (Clean)])</f>
        <v>43424</v>
      </c>
      <c r="I809" s="7" t="str">
        <f>_xlfn.XLOOKUP(Order_Details[[#This Row],[Order ID]], List_of_orders[Order ID], List_of_orders[CustomerName])</f>
        <v>Pranav</v>
      </c>
      <c r="J809" s="7" t="str">
        <f>_xlfn.XLOOKUP(Order_Details[[#This Row],[Order ID]], List_of_orders[Order ID], List_of_orders[City])</f>
        <v>Hyderabad</v>
      </c>
      <c r="K809" s="8" t="str">
        <f>TEXT(Order_Details[[#This Row],[Order Date]], "YY-MMM")</f>
        <v>18-Nov</v>
      </c>
      <c r="L809" s="11">
        <f>Order_Details[[#This Row],[Profit]]/Order_Details[[#This Row],[Amount]]</f>
        <v>9.9408284023668636E-2</v>
      </c>
      <c r="M809" s="8">
        <f>YEAR(Order_Details[[#This Row],[Order Date]])</f>
        <v>2018</v>
      </c>
      <c r="N809" s="8">
        <f>ROUNDUP(MONTH(Order_Details[[#This Row],[Order Date]])/3, 0)</f>
        <v>4</v>
      </c>
    </row>
    <row r="810" spans="1:14">
      <c r="A810" s="1" t="s">
        <v>659</v>
      </c>
      <c r="B810" s="1">
        <v>57</v>
      </c>
      <c r="C810" s="1">
        <v>7</v>
      </c>
      <c r="D810" s="1">
        <v>3</v>
      </c>
      <c r="E810" s="1" t="s">
        <v>1075</v>
      </c>
      <c r="F810" s="1" t="s">
        <v>1116</v>
      </c>
      <c r="G810" s="7" t="str">
        <f>_xlfn.XLOOKUP(Order_Details[[#This Row],[Order ID]], List_of_orders[Order ID], List_of_orders[State])</f>
        <v>Andhra Pradesh</v>
      </c>
      <c r="H810" s="10">
        <f>_xlfn.XLOOKUP(Order_Details[[#This Row],[Order ID]], List_of_orders[Order ID], List_of_orders[Order Date (Clean)])</f>
        <v>43424</v>
      </c>
      <c r="I810" s="7" t="str">
        <f>_xlfn.XLOOKUP(Order_Details[[#This Row],[Order ID]], List_of_orders[Order ID], List_of_orders[CustomerName])</f>
        <v>Pranav</v>
      </c>
      <c r="J810" s="7" t="str">
        <f>_xlfn.XLOOKUP(Order_Details[[#This Row],[Order ID]], List_of_orders[Order ID], List_of_orders[City])</f>
        <v>Hyderabad</v>
      </c>
      <c r="K810" s="8" t="str">
        <f>TEXT(Order_Details[[#This Row],[Order Date]], "YY-MMM")</f>
        <v>18-Nov</v>
      </c>
      <c r="L810" s="11">
        <f>Order_Details[[#This Row],[Profit]]/Order_Details[[#This Row],[Amount]]</f>
        <v>0.12280701754385964</v>
      </c>
      <c r="M810" s="8">
        <f>YEAR(Order_Details[[#This Row],[Order Date]])</f>
        <v>2018</v>
      </c>
      <c r="N810" s="8">
        <f>ROUNDUP(MONTH(Order_Details[[#This Row],[Order Date]])/3, 0)</f>
        <v>4</v>
      </c>
    </row>
    <row r="811" spans="1:14">
      <c r="A811" s="1" t="s">
        <v>659</v>
      </c>
      <c r="B811" s="1">
        <v>473</v>
      </c>
      <c r="C811" s="1">
        <v>113</v>
      </c>
      <c r="D811" s="1">
        <v>9</v>
      </c>
      <c r="E811" s="1" t="s">
        <v>1076</v>
      </c>
      <c r="F811" s="1" t="s">
        <v>1103</v>
      </c>
      <c r="G811" s="7" t="str">
        <f>_xlfn.XLOOKUP(Order_Details[[#This Row],[Order ID]], List_of_orders[Order ID], List_of_orders[State])</f>
        <v>Andhra Pradesh</v>
      </c>
      <c r="H811" s="10">
        <f>_xlfn.XLOOKUP(Order_Details[[#This Row],[Order ID]], List_of_orders[Order ID], List_of_orders[Order Date (Clean)])</f>
        <v>43424</v>
      </c>
      <c r="I811" s="7" t="str">
        <f>_xlfn.XLOOKUP(Order_Details[[#This Row],[Order ID]], List_of_orders[Order ID], List_of_orders[CustomerName])</f>
        <v>Pranav</v>
      </c>
      <c r="J811" s="7" t="str">
        <f>_xlfn.XLOOKUP(Order_Details[[#This Row],[Order ID]], List_of_orders[Order ID], List_of_orders[City])</f>
        <v>Hyderabad</v>
      </c>
      <c r="K811" s="8" t="str">
        <f>TEXT(Order_Details[[#This Row],[Order Date]], "YY-MMM")</f>
        <v>18-Nov</v>
      </c>
      <c r="L811" s="11">
        <f>Order_Details[[#This Row],[Profit]]/Order_Details[[#This Row],[Amount]]</f>
        <v>0.23890063424947147</v>
      </c>
      <c r="M811" s="8">
        <f>YEAR(Order_Details[[#This Row],[Order Date]])</f>
        <v>2018</v>
      </c>
      <c r="N811" s="8">
        <f>ROUNDUP(MONTH(Order_Details[[#This Row],[Order Date]])/3, 0)</f>
        <v>4</v>
      </c>
    </row>
    <row r="812" spans="1:14">
      <c r="A812" s="1" t="s">
        <v>661</v>
      </c>
      <c r="B812" s="1">
        <v>118</v>
      </c>
      <c r="C812" s="1">
        <v>25</v>
      </c>
      <c r="D812" s="1">
        <v>4</v>
      </c>
      <c r="E812" s="1" t="s">
        <v>1076</v>
      </c>
      <c r="F812" s="1" t="s">
        <v>1103</v>
      </c>
      <c r="G812" s="7" t="str">
        <f>_xlfn.XLOOKUP(Order_Details[[#This Row],[Order ID]], List_of_orders[Order ID], List_of_orders[State])</f>
        <v>Gujarat</v>
      </c>
      <c r="H812" s="10">
        <f>_xlfn.XLOOKUP(Order_Details[[#This Row],[Order ID]], List_of_orders[Order ID], List_of_orders[Order Date (Clean)])</f>
        <v>43425</v>
      </c>
      <c r="I812" s="7" t="str">
        <f>_xlfn.XLOOKUP(Order_Details[[#This Row],[Order ID]], List_of_orders[Order ID], List_of_orders[CustomerName])</f>
        <v>Gunjal</v>
      </c>
      <c r="J812" s="7" t="str">
        <f>_xlfn.XLOOKUP(Order_Details[[#This Row],[Order ID]], List_of_orders[Order ID], List_of_orders[City])</f>
        <v>Surat</v>
      </c>
      <c r="K812" s="8" t="str">
        <f>TEXT(Order_Details[[#This Row],[Order Date]], "YY-MMM")</f>
        <v>18-Nov</v>
      </c>
      <c r="L812" s="11">
        <f>Order_Details[[#This Row],[Profit]]/Order_Details[[#This Row],[Amount]]</f>
        <v>0.21186440677966101</v>
      </c>
      <c r="M812" s="8">
        <f>YEAR(Order_Details[[#This Row],[Order Date]])</f>
        <v>2018</v>
      </c>
      <c r="N812" s="8">
        <f>ROUNDUP(MONTH(Order_Details[[#This Row],[Order Date]])/3, 0)</f>
        <v>4</v>
      </c>
    </row>
    <row r="813" spans="1:14">
      <c r="A813" s="1" t="s">
        <v>665</v>
      </c>
      <c r="B813" s="1">
        <v>57</v>
      </c>
      <c r="C813" s="1">
        <v>27</v>
      </c>
      <c r="D813" s="1">
        <v>2</v>
      </c>
      <c r="E813" s="1" t="s">
        <v>1076</v>
      </c>
      <c r="F813" s="1" t="s">
        <v>1111</v>
      </c>
      <c r="G813" s="7" t="str">
        <f>_xlfn.XLOOKUP(Order_Details[[#This Row],[Order ID]], List_of_orders[Order ID], List_of_orders[State])</f>
        <v>Maharashtra</v>
      </c>
      <c r="H813" s="10">
        <f>_xlfn.XLOOKUP(Order_Details[[#This Row],[Order ID]], List_of_orders[Order ID], List_of_orders[Order Date (Clean)])</f>
        <v>43426</v>
      </c>
      <c r="I813" s="7" t="str">
        <f>_xlfn.XLOOKUP(Order_Details[[#This Row],[Order ID]], List_of_orders[Order ID], List_of_orders[CustomerName])</f>
        <v>Saurabh</v>
      </c>
      <c r="J813" s="7" t="str">
        <f>_xlfn.XLOOKUP(Order_Details[[#This Row],[Order ID]], List_of_orders[Order ID], List_of_orders[City])</f>
        <v>Mumbai</v>
      </c>
      <c r="K813" s="8" t="str">
        <f>TEXT(Order_Details[[#This Row],[Order Date]], "YY-MMM")</f>
        <v>18-Nov</v>
      </c>
      <c r="L813" s="11">
        <f>Order_Details[[#This Row],[Profit]]/Order_Details[[#This Row],[Amount]]</f>
        <v>0.47368421052631576</v>
      </c>
      <c r="M813" s="8">
        <f>YEAR(Order_Details[[#This Row],[Order Date]])</f>
        <v>2018</v>
      </c>
      <c r="N813" s="8">
        <f>ROUNDUP(MONTH(Order_Details[[#This Row],[Order Date]])/3, 0)</f>
        <v>4</v>
      </c>
    </row>
    <row r="814" spans="1:14">
      <c r="A814" s="1" t="s">
        <v>668</v>
      </c>
      <c r="B814" s="1">
        <v>66</v>
      </c>
      <c r="C814" s="1">
        <v>12</v>
      </c>
      <c r="D814" s="1">
        <v>3</v>
      </c>
      <c r="E814" s="1" t="s">
        <v>1076</v>
      </c>
      <c r="F814" s="1" t="s">
        <v>1102</v>
      </c>
      <c r="G814" s="7" t="str">
        <f>_xlfn.XLOOKUP(Order_Details[[#This Row],[Order ID]], List_of_orders[Order ID], List_of_orders[State])</f>
        <v>Madhya Pradesh</v>
      </c>
      <c r="H814" s="10">
        <f>_xlfn.XLOOKUP(Order_Details[[#This Row],[Order ID]], List_of_orders[Order ID], List_of_orders[Order Date (Clean)])</f>
        <v>43427</v>
      </c>
      <c r="I814" s="7" t="str">
        <f>_xlfn.XLOOKUP(Order_Details[[#This Row],[Order ID]], List_of_orders[Order ID], List_of_orders[CustomerName])</f>
        <v>Divyeta</v>
      </c>
      <c r="J814" s="7" t="str">
        <f>_xlfn.XLOOKUP(Order_Details[[#This Row],[Order ID]], List_of_orders[Order ID], List_of_orders[City])</f>
        <v>Indore</v>
      </c>
      <c r="K814" s="8" t="str">
        <f>TEXT(Order_Details[[#This Row],[Order Date]], "YY-MMM")</f>
        <v>18-Nov</v>
      </c>
      <c r="L814" s="11">
        <f>Order_Details[[#This Row],[Profit]]/Order_Details[[#This Row],[Amount]]</f>
        <v>0.18181818181818182</v>
      </c>
      <c r="M814" s="8">
        <f>YEAR(Order_Details[[#This Row],[Order Date]])</f>
        <v>2018</v>
      </c>
      <c r="N814" s="8">
        <f>ROUNDUP(MONTH(Order_Details[[#This Row],[Order Date]])/3, 0)</f>
        <v>4</v>
      </c>
    </row>
    <row r="815" spans="1:14">
      <c r="A815" s="1" t="s">
        <v>668</v>
      </c>
      <c r="B815" s="1">
        <v>367</v>
      </c>
      <c r="C815" s="1">
        <v>73</v>
      </c>
      <c r="D815" s="1">
        <v>3</v>
      </c>
      <c r="E815" s="1" t="s">
        <v>1077</v>
      </c>
      <c r="F815" s="1" t="s">
        <v>1104</v>
      </c>
      <c r="G815" s="7" t="str">
        <f>_xlfn.XLOOKUP(Order_Details[[#This Row],[Order ID]], List_of_orders[Order ID], List_of_orders[State])</f>
        <v>Madhya Pradesh</v>
      </c>
      <c r="H815" s="10">
        <f>_xlfn.XLOOKUP(Order_Details[[#This Row],[Order ID]], List_of_orders[Order ID], List_of_orders[Order Date (Clean)])</f>
        <v>43427</v>
      </c>
      <c r="I815" s="7" t="str">
        <f>_xlfn.XLOOKUP(Order_Details[[#This Row],[Order ID]], List_of_orders[Order ID], List_of_orders[CustomerName])</f>
        <v>Divyeta</v>
      </c>
      <c r="J815" s="7" t="str">
        <f>_xlfn.XLOOKUP(Order_Details[[#This Row],[Order ID]], List_of_orders[Order ID], List_of_orders[City])</f>
        <v>Indore</v>
      </c>
      <c r="K815" s="8" t="str">
        <f>TEXT(Order_Details[[#This Row],[Order Date]], "YY-MMM")</f>
        <v>18-Nov</v>
      </c>
      <c r="L815" s="11">
        <f>Order_Details[[#This Row],[Profit]]/Order_Details[[#This Row],[Amount]]</f>
        <v>0.1989100817438692</v>
      </c>
      <c r="M815" s="8">
        <f>YEAR(Order_Details[[#This Row],[Order Date]])</f>
        <v>2018</v>
      </c>
      <c r="N815" s="8">
        <f>ROUNDUP(MONTH(Order_Details[[#This Row],[Order Date]])/3, 0)</f>
        <v>4</v>
      </c>
    </row>
    <row r="816" spans="1:14">
      <c r="A816" s="1" t="s">
        <v>668</v>
      </c>
      <c r="B816" s="1">
        <v>7</v>
      </c>
      <c r="C816" s="1">
        <v>1</v>
      </c>
      <c r="D816" s="1">
        <v>1</v>
      </c>
      <c r="E816" s="1" t="s">
        <v>1076</v>
      </c>
      <c r="F816" s="1" t="s">
        <v>1103</v>
      </c>
      <c r="G816" s="7" t="str">
        <f>_xlfn.XLOOKUP(Order_Details[[#This Row],[Order ID]], List_of_orders[Order ID], List_of_orders[State])</f>
        <v>Madhya Pradesh</v>
      </c>
      <c r="H816" s="10">
        <f>_xlfn.XLOOKUP(Order_Details[[#This Row],[Order ID]], List_of_orders[Order ID], List_of_orders[Order Date (Clean)])</f>
        <v>43427</v>
      </c>
      <c r="I816" s="7" t="str">
        <f>_xlfn.XLOOKUP(Order_Details[[#This Row],[Order ID]], List_of_orders[Order ID], List_of_orders[CustomerName])</f>
        <v>Divyeta</v>
      </c>
      <c r="J816" s="7" t="str">
        <f>_xlfn.XLOOKUP(Order_Details[[#This Row],[Order ID]], List_of_orders[Order ID], List_of_orders[City])</f>
        <v>Indore</v>
      </c>
      <c r="K816" s="8" t="str">
        <f>TEXT(Order_Details[[#This Row],[Order Date]], "YY-MMM")</f>
        <v>18-Nov</v>
      </c>
      <c r="L816" s="11">
        <f>Order_Details[[#This Row],[Profit]]/Order_Details[[#This Row],[Amount]]</f>
        <v>0.14285714285714285</v>
      </c>
      <c r="M816" s="8">
        <f>YEAR(Order_Details[[#This Row],[Order Date]])</f>
        <v>2018</v>
      </c>
      <c r="N816" s="8">
        <f>ROUNDUP(MONTH(Order_Details[[#This Row],[Order Date]])/3, 0)</f>
        <v>4</v>
      </c>
    </row>
    <row r="817" spans="1:14">
      <c r="A817" s="1" t="s">
        <v>668</v>
      </c>
      <c r="B817" s="1">
        <v>1275</v>
      </c>
      <c r="C817" s="1">
        <v>357</v>
      </c>
      <c r="D817" s="1">
        <v>2</v>
      </c>
      <c r="E817" s="1" t="s">
        <v>1077</v>
      </c>
      <c r="F817" s="1" t="s">
        <v>1105</v>
      </c>
      <c r="G817" s="7" t="str">
        <f>_xlfn.XLOOKUP(Order_Details[[#This Row],[Order ID]], List_of_orders[Order ID], List_of_orders[State])</f>
        <v>Madhya Pradesh</v>
      </c>
      <c r="H817" s="10">
        <f>_xlfn.XLOOKUP(Order_Details[[#This Row],[Order ID]], List_of_orders[Order ID], List_of_orders[Order Date (Clean)])</f>
        <v>43427</v>
      </c>
      <c r="I817" s="7" t="str">
        <f>_xlfn.XLOOKUP(Order_Details[[#This Row],[Order ID]], List_of_orders[Order ID], List_of_orders[CustomerName])</f>
        <v>Divyeta</v>
      </c>
      <c r="J817" s="7" t="str">
        <f>_xlfn.XLOOKUP(Order_Details[[#This Row],[Order ID]], List_of_orders[Order ID], List_of_orders[City])</f>
        <v>Indore</v>
      </c>
      <c r="K817" s="8" t="str">
        <f>TEXT(Order_Details[[#This Row],[Order Date]], "YY-MMM")</f>
        <v>18-Nov</v>
      </c>
      <c r="L817" s="11">
        <f>Order_Details[[#This Row],[Profit]]/Order_Details[[#This Row],[Amount]]</f>
        <v>0.28000000000000003</v>
      </c>
      <c r="M817" s="8">
        <f>YEAR(Order_Details[[#This Row],[Order Date]])</f>
        <v>2018</v>
      </c>
      <c r="N817" s="8">
        <f>ROUNDUP(MONTH(Order_Details[[#This Row],[Order Date]])/3, 0)</f>
        <v>4</v>
      </c>
    </row>
    <row r="818" spans="1:14">
      <c r="A818" s="1" t="s">
        <v>668</v>
      </c>
      <c r="B818" s="1">
        <v>42</v>
      </c>
      <c r="C818" s="1">
        <v>12</v>
      </c>
      <c r="D818" s="1">
        <v>2</v>
      </c>
      <c r="E818" s="1" t="s">
        <v>1076</v>
      </c>
      <c r="F818" s="1" t="s">
        <v>1109</v>
      </c>
      <c r="G818" s="7" t="str">
        <f>_xlfn.XLOOKUP(Order_Details[[#This Row],[Order ID]], List_of_orders[Order ID], List_of_orders[State])</f>
        <v>Madhya Pradesh</v>
      </c>
      <c r="H818" s="10">
        <f>_xlfn.XLOOKUP(Order_Details[[#This Row],[Order ID]], List_of_orders[Order ID], List_of_orders[Order Date (Clean)])</f>
        <v>43427</v>
      </c>
      <c r="I818" s="7" t="str">
        <f>_xlfn.XLOOKUP(Order_Details[[#This Row],[Order ID]], List_of_orders[Order ID], List_of_orders[CustomerName])</f>
        <v>Divyeta</v>
      </c>
      <c r="J818" s="7" t="str">
        <f>_xlfn.XLOOKUP(Order_Details[[#This Row],[Order ID]], List_of_orders[Order ID], List_of_orders[City])</f>
        <v>Indore</v>
      </c>
      <c r="K818" s="8" t="str">
        <f>TEXT(Order_Details[[#This Row],[Order Date]], "YY-MMM")</f>
        <v>18-Nov</v>
      </c>
      <c r="L818" s="11">
        <f>Order_Details[[#This Row],[Profit]]/Order_Details[[#This Row],[Amount]]</f>
        <v>0.2857142857142857</v>
      </c>
      <c r="M818" s="8">
        <f>YEAR(Order_Details[[#This Row],[Order Date]])</f>
        <v>2018</v>
      </c>
      <c r="N818" s="8">
        <f>ROUNDUP(MONTH(Order_Details[[#This Row],[Order Date]])/3, 0)</f>
        <v>4</v>
      </c>
    </row>
    <row r="819" spans="1:14">
      <c r="A819" s="1" t="s">
        <v>671</v>
      </c>
      <c r="B819" s="1">
        <v>124</v>
      </c>
      <c r="C819" s="1">
        <v>54</v>
      </c>
      <c r="D819" s="1">
        <v>5</v>
      </c>
      <c r="E819" s="1" t="s">
        <v>1076</v>
      </c>
      <c r="F819" s="1" t="s">
        <v>1110</v>
      </c>
      <c r="G819" s="7" t="str">
        <f>_xlfn.XLOOKUP(Order_Details[[#This Row],[Order ID]], List_of_orders[Order ID], List_of_orders[State])</f>
        <v>Rajasthan</v>
      </c>
      <c r="H819" s="10">
        <f>_xlfn.XLOOKUP(Order_Details[[#This Row],[Order ID]], List_of_orders[Order ID], List_of_orders[Order Date (Clean)])</f>
        <v>43428</v>
      </c>
      <c r="I819" s="7" t="str">
        <f>_xlfn.XLOOKUP(Order_Details[[#This Row],[Order ID]], List_of_orders[Order ID], List_of_orders[CustomerName])</f>
        <v>Megha</v>
      </c>
      <c r="J819" s="7" t="str">
        <f>_xlfn.XLOOKUP(Order_Details[[#This Row],[Order ID]], List_of_orders[Order ID], List_of_orders[City])</f>
        <v>Udaipur</v>
      </c>
      <c r="K819" s="8" t="str">
        <f>TEXT(Order_Details[[#This Row],[Order Date]], "YY-MMM")</f>
        <v>18-Nov</v>
      </c>
      <c r="L819" s="11">
        <f>Order_Details[[#This Row],[Profit]]/Order_Details[[#This Row],[Amount]]</f>
        <v>0.43548387096774194</v>
      </c>
      <c r="M819" s="8">
        <f>YEAR(Order_Details[[#This Row],[Order Date]])</f>
        <v>2018</v>
      </c>
      <c r="N819" s="8">
        <f>ROUNDUP(MONTH(Order_Details[[#This Row],[Order Date]])/3, 0)</f>
        <v>4</v>
      </c>
    </row>
    <row r="820" spans="1:14">
      <c r="A820" s="1" t="s">
        <v>674</v>
      </c>
      <c r="B820" s="1">
        <v>248</v>
      </c>
      <c r="C820" s="1">
        <v>8</v>
      </c>
      <c r="D820" s="1">
        <v>2</v>
      </c>
      <c r="E820" s="1" t="s">
        <v>1076</v>
      </c>
      <c r="F820" s="1" t="s">
        <v>1106</v>
      </c>
      <c r="G820" s="7" t="str">
        <f>_xlfn.XLOOKUP(Order_Details[[#This Row],[Order ID]], List_of_orders[Order ID], List_of_orders[State])</f>
        <v>Uttar Pradesh</v>
      </c>
      <c r="H820" s="10">
        <f>_xlfn.XLOOKUP(Order_Details[[#This Row],[Order ID]], List_of_orders[Order ID], List_of_orders[Order Date (Clean)])</f>
        <v>43428</v>
      </c>
      <c r="I820" s="7" t="str">
        <f>_xlfn.XLOOKUP(Order_Details[[#This Row],[Order ID]], List_of_orders[Order ID], List_of_orders[CustomerName])</f>
        <v>Divyeshkumar</v>
      </c>
      <c r="J820" s="7" t="str">
        <f>_xlfn.XLOOKUP(Order_Details[[#This Row],[Order ID]], List_of_orders[Order ID], List_of_orders[City])</f>
        <v>Allahabad</v>
      </c>
      <c r="K820" s="8" t="str">
        <f>TEXT(Order_Details[[#This Row],[Order Date]], "YY-MMM")</f>
        <v>18-Nov</v>
      </c>
      <c r="L820" s="11">
        <f>Order_Details[[#This Row],[Profit]]/Order_Details[[#This Row],[Amount]]</f>
        <v>3.2258064516129031E-2</v>
      </c>
      <c r="M820" s="8">
        <f>YEAR(Order_Details[[#This Row],[Order Date]])</f>
        <v>2018</v>
      </c>
      <c r="N820" s="8">
        <f>ROUNDUP(MONTH(Order_Details[[#This Row],[Order Date]])/3, 0)</f>
        <v>4</v>
      </c>
    </row>
    <row r="821" spans="1:14">
      <c r="A821" s="1" t="s">
        <v>677</v>
      </c>
      <c r="B821" s="1">
        <v>282</v>
      </c>
      <c r="C821" s="1">
        <v>14</v>
      </c>
      <c r="D821" s="1">
        <v>4</v>
      </c>
      <c r="E821" s="1" t="s">
        <v>1076</v>
      </c>
      <c r="F821" s="1" t="s">
        <v>1107</v>
      </c>
      <c r="G821" s="7" t="str">
        <f>_xlfn.XLOOKUP(Order_Details[[#This Row],[Order ID]], List_of_orders[Order ID], List_of_orders[State])</f>
        <v>Punjab</v>
      </c>
      <c r="H821" s="10">
        <f>_xlfn.XLOOKUP(Order_Details[[#This Row],[Order ID]], List_of_orders[Order ID], List_of_orders[Order Date (Clean)])</f>
        <v>43428</v>
      </c>
      <c r="I821" s="7" t="str">
        <f>_xlfn.XLOOKUP(Order_Details[[#This Row],[Order ID]], List_of_orders[Order ID], List_of_orders[CustomerName])</f>
        <v>Bhosale</v>
      </c>
      <c r="J821" s="7" t="str">
        <f>_xlfn.XLOOKUP(Order_Details[[#This Row],[Order ID]], List_of_orders[Order ID], List_of_orders[City])</f>
        <v>Amritsar</v>
      </c>
      <c r="K821" s="8" t="str">
        <f>TEXT(Order_Details[[#This Row],[Order Date]], "YY-MMM")</f>
        <v>18-Nov</v>
      </c>
      <c r="L821" s="11">
        <f>Order_Details[[#This Row],[Profit]]/Order_Details[[#This Row],[Amount]]</f>
        <v>4.9645390070921988E-2</v>
      </c>
      <c r="M821" s="8">
        <f>YEAR(Order_Details[[#This Row],[Order Date]])</f>
        <v>2018</v>
      </c>
      <c r="N821" s="8">
        <f>ROUNDUP(MONTH(Order_Details[[#This Row],[Order Date]])/3, 0)</f>
        <v>4</v>
      </c>
    </row>
    <row r="822" spans="1:14">
      <c r="A822" s="1" t="s">
        <v>680</v>
      </c>
      <c r="B822" s="1">
        <v>1137</v>
      </c>
      <c r="C822" s="1">
        <v>568</v>
      </c>
      <c r="D822" s="1">
        <v>2</v>
      </c>
      <c r="E822" s="1" t="s">
        <v>1076</v>
      </c>
      <c r="F822" s="1" t="s">
        <v>1107</v>
      </c>
      <c r="G822" s="7" t="str">
        <f>_xlfn.XLOOKUP(Order_Details[[#This Row],[Order ID]], List_of_orders[Order ID], List_of_orders[State])</f>
        <v>Gujarat</v>
      </c>
      <c r="H822" s="10">
        <f>_xlfn.XLOOKUP(Order_Details[[#This Row],[Order ID]], List_of_orders[Order ID], List_of_orders[Order Date (Clean)])</f>
        <v>43428</v>
      </c>
      <c r="I822" s="7" t="str">
        <f>_xlfn.XLOOKUP(Order_Details[[#This Row],[Order ID]], List_of_orders[Order ID], List_of_orders[CustomerName])</f>
        <v>Dashyam</v>
      </c>
      <c r="J822" s="7" t="str">
        <f>_xlfn.XLOOKUP(Order_Details[[#This Row],[Order ID]], List_of_orders[Order ID], List_of_orders[City])</f>
        <v>Surat</v>
      </c>
      <c r="K822" s="8" t="str">
        <f>TEXT(Order_Details[[#This Row],[Order Date]], "YY-MMM")</f>
        <v>18-Nov</v>
      </c>
      <c r="L822" s="11">
        <f>Order_Details[[#This Row],[Profit]]/Order_Details[[#This Row],[Amount]]</f>
        <v>0.49956024626209322</v>
      </c>
      <c r="M822" s="8">
        <f>YEAR(Order_Details[[#This Row],[Order Date]])</f>
        <v>2018</v>
      </c>
      <c r="N822" s="8">
        <f>ROUNDUP(MONTH(Order_Details[[#This Row],[Order Date]])/3, 0)</f>
        <v>4</v>
      </c>
    </row>
    <row r="823" spans="1:14">
      <c r="A823" s="1" t="s">
        <v>680</v>
      </c>
      <c r="B823" s="1">
        <v>269</v>
      </c>
      <c r="C823" s="1">
        <v>33</v>
      </c>
      <c r="D823" s="1">
        <v>5</v>
      </c>
      <c r="E823" s="1" t="s">
        <v>1075</v>
      </c>
      <c r="F823" s="1" t="s">
        <v>1108</v>
      </c>
      <c r="G823" s="7" t="str">
        <f>_xlfn.XLOOKUP(Order_Details[[#This Row],[Order ID]], List_of_orders[Order ID], List_of_orders[State])</f>
        <v>Gujarat</v>
      </c>
      <c r="H823" s="10">
        <f>_xlfn.XLOOKUP(Order_Details[[#This Row],[Order ID]], List_of_orders[Order ID], List_of_orders[Order Date (Clean)])</f>
        <v>43428</v>
      </c>
      <c r="I823" s="7" t="str">
        <f>_xlfn.XLOOKUP(Order_Details[[#This Row],[Order ID]], List_of_orders[Order ID], List_of_orders[CustomerName])</f>
        <v>Dashyam</v>
      </c>
      <c r="J823" s="7" t="str">
        <f>_xlfn.XLOOKUP(Order_Details[[#This Row],[Order ID]], List_of_orders[Order ID], List_of_orders[City])</f>
        <v>Surat</v>
      </c>
      <c r="K823" s="8" t="str">
        <f>TEXT(Order_Details[[#This Row],[Order Date]], "YY-MMM")</f>
        <v>18-Nov</v>
      </c>
      <c r="L823" s="11">
        <f>Order_Details[[#This Row],[Profit]]/Order_Details[[#This Row],[Amount]]</f>
        <v>0.12267657992565056</v>
      </c>
      <c r="M823" s="8">
        <f>YEAR(Order_Details[[#This Row],[Order Date]])</f>
        <v>2018</v>
      </c>
      <c r="N823" s="8">
        <f>ROUNDUP(MONTH(Order_Details[[#This Row],[Order Date]])/3, 0)</f>
        <v>4</v>
      </c>
    </row>
    <row r="824" spans="1:14">
      <c r="A824" s="1" t="s">
        <v>680</v>
      </c>
      <c r="B824" s="1">
        <v>24</v>
      </c>
      <c r="C824" s="1">
        <v>8</v>
      </c>
      <c r="D824" s="1">
        <v>2</v>
      </c>
      <c r="E824" s="1" t="s">
        <v>1076</v>
      </c>
      <c r="F824" s="1" t="s">
        <v>1117</v>
      </c>
      <c r="G824" s="7" t="str">
        <f>_xlfn.XLOOKUP(Order_Details[[#This Row],[Order ID]], List_of_orders[Order ID], List_of_orders[State])</f>
        <v>Gujarat</v>
      </c>
      <c r="H824" s="10">
        <f>_xlfn.XLOOKUP(Order_Details[[#This Row],[Order ID]], List_of_orders[Order ID], List_of_orders[Order Date (Clean)])</f>
        <v>43428</v>
      </c>
      <c r="I824" s="7" t="str">
        <f>_xlfn.XLOOKUP(Order_Details[[#This Row],[Order ID]], List_of_orders[Order ID], List_of_orders[CustomerName])</f>
        <v>Dashyam</v>
      </c>
      <c r="J824" s="7" t="str">
        <f>_xlfn.XLOOKUP(Order_Details[[#This Row],[Order ID]], List_of_orders[Order ID], List_of_orders[City])</f>
        <v>Surat</v>
      </c>
      <c r="K824" s="8" t="str">
        <f>TEXT(Order_Details[[#This Row],[Order Date]], "YY-MMM")</f>
        <v>18-Nov</v>
      </c>
      <c r="L824" s="11">
        <f>Order_Details[[#This Row],[Profit]]/Order_Details[[#This Row],[Amount]]</f>
        <v>0.33333333333333331</v>
      </c>
      <c r="M824" s="8">
        <f>YEAR(Order_Details[[#This Row],[Order Date]])</f>
        <v>2018</v>
      </c>
      <c r="N824" s="8">
        <f>ROUNDUP(MONTH(Order_Details[[#This Row],[Order Date]])/3, 0)</f>
        <v>4</v>
      </c>
    </row>
    <row r="825" spans="1:14">
      <c r="A825" s="1" t="s">
        <v>682</v>
      </c>
      <c r="B825" s="1">
        <v>165</v>
      </c>
      <c r="C825" s="1">
        <v>46</v>
      </c>
      <c r="D825" s="1">
        <v>3</v>
      </c>
      <c r="E825" s="1" t="s">
        <v>1075</v>
      </c>
      <c r="F825" s="1" t="s">
        <v>1116</v>
      </c>
      <c r="G825" s="7" t="str">
        <f>_xlfn.XLOOKUP(Order_Details[[#This Row],[Order ID]], List_of_orders[Order ID], List_of_orders[State])</f>
        <v>Maharashtra</v>
      </c>
      <c r="H825" s="10">
        <f>_xlfn.XLOOKUP(Order_Details[[#This Row],[Order ID]], List_of_orders[Order ID], List_of_orders[Order Date (Clean)])</f>
        <v>43428</v>
      </c>
      <c r="I825" s="7" t="str">
        <f>_xlfn.XLOOKUP(Order_Details[[#This Row],[Order ID]], List_of_orders[Order ID], List_of_orders[CustomerName])</f>
        <v>Mrinal</v>
      </c>
      <c r="J825" s="7" t="str">
        <f>_xlfn.XLOOKUP(Order_Details[[#This Row],[Order ID]], List_of_orders[Order ID], List_of_orders[City])</f>
        <v>Mumbai</v>
      </c>
      <c r="K825" s="8" t="str">
        <f>TEXT(Order_Details[[#This Row],[Order Date]], "YY-MMM")</f>
        <v>18-Nov</v>
      </c>
      <c r="L825" s="11">
        <f>Order_Details[[#This Row],[Profit]]/Order_Details[[#This Row],[Amount]]</f>
        <v>0.27878787878787881</v>
      </c>
      <c r="M825" s="8">
        <f>YEAR(Order_Details[[#This Row],[Order Date]])</f>
        <v>2018</v>
      </c>
      <c r="N825" s="8">
        <f>ROUNDUP(MONTH(Order_Details[[#This Row],[Order Date]])/3, 0)</f>
        <v>4</v>
      </c>
    </row>
    <row r="826" spans="1:14">
      <c r="A826" s="1" t="s">
        <v>682</v>
      </c>
      <c r="B826" s="1">
        <v>46</v>
      </c>
      <c r="C826" s="1">
        <v>0</v>
      </c>
      <c r="D826" s="1">
        <v>4</v>
      </c>
      <c r="E826" s="1" t="s">
        <v>1076</v>
      </c>
      <c r="F826" s="1" t="s">
        <v>1112</v>
      </c>
      <c r="G826" s="7" t="str">
        <f>_xlfn.XLOOKUP(Order_Details[[#This Row],[Order ID]], List_of_orders[Order ID], List_of_orders[State])</f>
        <v>Maharashtra</v>
      </c>
      <c r="H826" s="10">
        <f>_xlfn.XLOOKUP(Order_Details[[#This Row],[Order ID]], List_of_orders[Order ID], List_of_orders[Order Date (Clean)])</f>
        <v>43428</v>
      </c>
      <c r="I826" s="7" t="str">
        <f>_xlfn.XLOOKUP(Order_Details[[#This Row],[Order ID]], List_of_orders[Order ID], List_of_orders[CustomerName])</f>
        <v>Mrinal</v>
      </c>
      <c r="J826" s="7" t="str">
        <f>_xlfn.XLOOKUP(Order_Details[[#This Row],[Order ID]], List_of_orders[Order ID], List_of_orders[City])</f>
        <v>Mumbai</v>
      </c>
      <c r="K826" s="8" t="str">
        <f>TEXT(Order_Details[[#This Row],[Order Date]], "YY-MMM")</f>
        <v>18-Nov</v>
      </c>
      <c r="L826" s="11">
        <f>Order_Details[[#This Row],[Profit]]/Order_Details[[#This Row],[Amount]]</f>
        <v>0</v>
      </c>
      <c r="M826" s="8">
        <f>YEAR(Order_Details[[#This Row],[Order Date]])</f>
        <v>2018</v>
      </c>
      <c r="N826" s="8">
        <f>ROUNDUP(MONTH(Order_Details[[#This Row],[Order Date]])/3, 0)</f>
        <v>4</v>
      </c>
    </row>
    <row r="827" spans="1:14">
      <c r="A827" s="1" t="s">
        <v>682</v>
      </c>
      <c r="B827" s="1">
        <v>84</v>
      </c>
      <c r="C827" s="1">
        <v>41</v>
      </c>
      <c r="D827" s="1">
        <v>3</v>
      </c>
      <c r="E827" s="1" t="s">
        <v>1076</v>
      </c>
      <c r="F827" s="1" t="s">
        <v>1110</v>
      </c>
      <c r="G827" s="7" t="str">
        <f>_xlfn.XLOOKUP(Order_Details[[#This Row],[Order ID]], List_of_orders[Order ID], List_of_orders[State])</f>
        <v>Maharashtra</v>
      </c>
      <c r="H827" s="10">
        <f>_xlfn.XLOOKUP(Order_Details[[#This Row],[Order ID]], List_of_orders[Order ID], List_of_orders[Order Date (Clean)])</f>
        <v>43428</v>
      </c>
      <c r="I827" s="7" t="str">
        <f>_xlfn.XLOOKUP(Order_Details[[#This Row],[Order ID]], List_of_orders[Order ID], List_of_orders[CustomerName])</f>
        <v>Mrinal</v>
      </c>
      <c r="J827" s="7" t="str">
        <f>_xlfn.XLOOKUP(Order_Details[[#This Row],[Order ID]], List_of_orders[Order ID], List_of_orders[City])</f>
        <v>Mumbai</v>
      </c>
      <c r="K827" s="8" t="str">
        <f>TEXT(Order_Details[[#This Row],[Order Date]], "YY-MMM")</f>
        <v>18-Nov</v>
      </c>
      <c r="L827" s="11">
        <f>Order_Details[[#This Row],[Profit]]/Order_Details[[#This Row],[Amount]]</f>
        <v>0.48809523809523808</v>
      </c>
      <c r="M827" s="8">
        <f>YEAR(Order_Details[[#This Row],[Order Date]])</f>
        <v>2018</v>
      </c>
      <c r="N827" s="8">
        <f>ROUNDUP(MONTH(Order_Details[[#This Row],[Order Date]])/3, 0)</f>
        <v>4</v>
      </c>
    </row>
    <row r="828" spans="1:14">
      <c r="A828" s="1" t="s">
        <v>682</v>
      </c>
      <c r="B828" s="1">
        <v>140</v>
      </c>
      <c r="C828" s="1">
        <v>15</v>
      </c>
      <c r="D828" s="1">
        <v>5</v>
      </c>
      <c r="E828" s="1" t="s">
        <v>1076</v>
      </c>
      <c r="F828" s="1" t="s">
        <v>1102</v>
      </c>
      <c r="G828" s="7" t="str">
        <f>_xlfn.XLOOKUP(Order_Details[[#This Row],[Order ID]], List_of_orders[Order ID], List_of_orders[State])</f>
        <v>Maharashtra</v>
      </c>
      <c r="H828" s="10">
        <f>_xlfn.XLOOKUP(Order_Details[[#This Row],[Order ID]], List_of_orders[Order ID], List_of_orders[Order Date (Clean)])</f>
        <v>43428</v>
      </c>
      <c r="I828" s="7" t="str">
        <f>_xlfn.XLOOKUP(Order_Details[[#This Row],[Order ID]], List_of_orders[Order ID], List_of_orders[CustomerName])</f>
        <v>Mrinal</v>
      </c>
      <c r="J828" s="7" t="str">
        <f>_xlfn.XLOOKUP(Order_Details[[#This Row],[Order ID]], List_of_orders[Order ID], List_of_orders[City])</f>
        <v>Mumbai</v>
      </c>
      <c r="K828" s="8" t="str">
        <f>TEXT(Order_Details[[#This Row],[Order Date]], "YY-MMM")</f>
        <v>18-Nov</v>
      </c>
      <c r="L828" s="11">
        <f>Order_Details[[#This Row],[Profit]]/Order_Details[[#This Row],[Amount]]</f>
        <v>0.10714285714285714</v>
      </c>
      <c r="M828" s="8">
        <f>YEAR(Order_Details[[#This Row],[Order Date]])</f>
        <v>2018</v>
      </c>
      <c r="N828" s="8">
        <f>ROUNDUP(MONTH(Order_Details[[#This Row],[Order Date]])/3, 0)</f>
        <v>4</v>
      </c>
    </row>
    <row r="829" spans="1:14">
      <c r="A829" s="1" t="s">
        <v>682</v>
      </c>
      <c r="B829" s="1">
        <v>741</v>
      </c>
      <c r="C829" s="1">
        <v>267</v>
      </c>
      <c r="D829" s="1">
        <v>5</v>
      </c>
      <c r="E829" s="1" t="s">
        <v>1075</v>
      </c>
      <c r="F829" s="1" t="s">
        <v>1101</v>
      </c>
      <c r="G829" s="7" t="str">
        <f>_xlfn.XLOOKUP(Order_Details[[#This Row],[Order ID]], List_of_orders[Order ID], List_of_orders[State])</f>
        <v>Maharashtra</v>
      </c>
      <c r="H829" s="10">
        <f>_xlfn.XLOOKUP(Order_Details[[#This Row],[Order ID]], List_of_orders[Order ID], List_of_orders[Order Date (Clean)])</f>
        <v>43428</v>
      </c>
      <c r="I829" s="7" t="str">
        <f>_xlfn.XLOOKUP(Order_Details[[#This Row],[Order ID]], List_of_orders[Order ID], List_of_orders[CustomerName])</f>
        <v>Mrinal</v>
      </c>
      <c r="J829" s="7" t="str">
        <f>_xlfn.XLOOKUP(Order_Details[[#This Row],[Order ID]], List_of_orders[Order ID], List_of_orders[City])</f>
        <v>Mumbai</v>
      </c>
      <c r="K829" s="8" t="str">
        <f>TEXT(Order_Details[[#This Row],[Order Date]], "YY-MMM")</f>
        <v>18-Nov</v>
      </c>
      <c r="L829" s="11">
        <f>Order_Details[[#This Row],[Profit]]/Order_Details[[#This Row],[Amount]]</f>
        <v>0.36032388663967613</v>
      </c>
      <c r="M829" s="8">
        <f>YEAR(Order_Details[[#This Row],[Order Date]])</f>
        <v>2018</v>
      </c>
      <c r="N829" s="8">
        <f>ROUNDUP(MONTH(Order_Details[[#This Row],[Order Date]])/3, 0)</f>
        <v>4</v>
      </c>
    </row>
    <row r="830" spans="1:14">
      <c r="A830" s="1" t="s">
        <v>682</v>
      </c>
      <c r="B830" s="1">
        <v>719</v>
      </c>
      <c r="C830" s="1">
        <v>303</v>
      </c>
      <c r="D830" s="1">
        <v>6</v>
      </c>
      <c r="E830" s="1" t="s">
        <v>1075</v>
      </c>
      <c r="F830" s="1" t="s">
        <v>1108</v>
      </c>
      <c r="G830" s="7" t="str">
        <f>_xlfn.XLOOKUP(Order_Details[[#This Row],[Order ID]], List_of_orders[Order ID], List_of_orders[State])</f>
        <v>Maharashtra</v>
      </c>
      <c r="H830" s="10">
        <f>_xlfn.XLOOKUP(Order_Details[[#This Row],[Order ID]], List_of_orders[Order ID], List_of_orders[Order Date (Clean)])</f>
        <v>43428</v>
      </c>
      <c r="I830" s="7" t="str">
        <f>_xlfn.XLOOKUP(Order_Details[[#This Row],[Order ID]], List_of_orders[Order ID], List_of_orders[CustomerName])</f>
        <v>Mrinal</v>
      </c>
      <c r="J830" s="7" t="str">
        <f>_xlfn.XLOOKUP(Order_Details[[#This Row],[Order ID]], List_of_orders[Order ID], List_of_orders[City])</f>
        <v>Mumbai</v>
      </c>
      <c r="K830" s="8" t="str">
        <f>TEXT(Order_Details[[#This Row],[Order Date]], "YY-MMM")</f>
        <v>18-Nov</v>
      </c>
      <c r="L830" s="11">
        <f>Order_Details[[#This Row],[Profit]]/Order_Details[[#This Row],[Amount]]</f>
        <v>0.42141863699582754</v>
      </c>
      <c r="M830" s="8">
        <f>YEAR(Order_Details[[#This Row],[Order Date]])</f>
        <v>2018</v>
      </c>
      <c r="N830" s="8">
        <f>ROUNDUP(MONTH(Order_Details[[#This Row],[Order Date]])/3, 0)</f>
        <v>4</v>
      </c>
    </row>
    <row r="831" spans="1:14">
      <c r="A831" s="1" t="s">
        <v>684</v>
      </c>
      <c r="B831" s="1">
        <v>57</v>
      </c>
      <c r="C831" s="1">
        <v>28</v>
      </c>
      <c r="D831" s="1">
        <v>2</v>
      </c>
      <c r="E831" s="1" t="s">
        <v>1076</v>
      </c>
      <c r="F831" s="1" t="s">
        <v>1109</v>
      </c>
      <c r="G831" s="7" t="str">
        <f>_xlfn.XLOOKUP(Order_Details[[#This Row],[Order ID]], List_of_orders[Order ID], List_of_orders[State])</f>
        <v>Madhya Pradesh</v>
      </c>
      <c r="H831" s="10">
        <f>_xlfn.XLOOKUP(Order_Details[[#This Row],[Order ID]], List_of_orders[Order ID], List_of_orders[Order Date (Clean)])</f>
        <v>43428</v>
      </c>
      <c r="I831" s="7" t="str">
        <f>_xlfn.XLOOKUP(Order_Details[[#This Row],[Order ID]], List_of_orders[Order ID], List_of_orders[CustomerName])</f>
        <v>Siddharth</v>
      </c>
      <c r="J831" s="7" t="str">
        <f>_xlfn.XLOOKUP(Order_Details[[#This Row],[Order ID]], List_of_orders[Order ID], List_of_orders[City])</f>
        <v>Indore</v>
      </c>
      <c r="K831" s="8" t="str">
        <f>TEXT(Order_Details[[#This Row],[Order Date]], "YY-MMM")</f>
        <v>18-Nov</v>
      </c>
      <c r="L831" s="11">
        <f>Order_Details[[#This Row],[Profit]]/Order_Details[[#This Row],[Amount]]</f>
        <v>0.49122807017543857</v>
      </c>
      <c r="M831" s="8">
        <f>YEAR(Order_Details[[#This Row],[Order Date]])</f>
        <v>2018</v>
      </c>
      <c r="N831" s="8">
        <f>ROUNDUP(MONTH(Order_Details[[#This Row],[Order Date]])/3, 0)</f>
        <v>4</v>
      </c>
    </row>
    <row r="832" spans="1:14">
      <c r="A832" s="1" t="s">
        <v>685</v>
      </c>
      <c r="B832" s="1">
        <v>108</v>
      </c>
      <c r="C832" s="1">
        <v>37</v>
      </c>
      <c r="D832" s="1">
        <v>2</v>
      </c>
      <c r="E832" s="1" t="s">
        <v>1076</v>
      </c>
      <c r="F832" s="1" t="s">
        <v>1102</v>
      </c>
      <c r="G832" s="7" t="str">
        <f>_xlfn.XLOOKUP(Order_Details[[#This Row],[Order ID]], List_of_orders[Order ID], List_of_orders[State])</f>
        <v>Rajasthan</v>
      </c>
      <c r="H832" s="10">
        <f>_xlfn.XLOOKUP(Order_Details[[#This Row],[Order ID]], List_of_orders[Order ID], List_of_orders[Order Date (Clean)])</f>
        <v>43428</v>
      </c>
      <c r="I832" s="7" t="str">
        <f>_xlfn.XLOOKUP(Order_Details[[#This Row],[Order ID]], List_of_orders[Order ID], List_of_orders[CustomerName])</f>
        <v>Apoorv</v>
      </c>
      <c r="J832" s="7" t="str">
        <f>_xlfn.XLOOKUP(Order_Details[[#This Row],[Order ID]], List_of_orders[Order ID], List_of_orders[City])</f>
        <v>Udaipur</v>
      </c>
      <c r="K832" s="8" t="str">
        <f>TEXT(Order_Details[[#This Row],[Order Date]], "YY-MMM")</f>
        <v>18-Nov</v>
      </c>
      <c r="L832" s="11">
        <f>Order_Details[[#This Row],[Profit]]/Order_Details[[#This Row],[Amount]]</f>
        <v>0.34259259259259262</v>
      </c>
      <c r="M832" s="8">
        <f>YEAR(Order_Details[[#This Row],[Order Date]])</f>
        <v>2018</v>
      </c>
      <c r="N832" s="8">
        <f>ROUNDUP(MONTH(Order_Details[[#This Row],[Order Date]])/3, 0)</f>
        <v>4</v>
      </c>
    </row>
    <row r="833" spans="1:14">
      <c r="A833" s="1" t="s">
        <v>687</v>
      </c>
      <c r="B833" s="1">
        <v>37</v>
      </c>
      <c r="C833" s="1">
        <v>3</v>
      </c>
      <c r="D833" s="1">
        <v>3</v>
      </c>
      <c r="E833" s="1" t="s">
        <v>1076</v>
      </c>
      <c r="F833" s="1" t="s">
        <v>1103</v>
      </c>
      <c r="G833" s="7" t="str">
        <f>_xlfn.XLOOKUP(Order_Details[[#This Row],[Order ID]], List_of_orders[Order ID], List_of_orders[State])</f>
        <v>Uttar Pradesh</v>
      </c>
      <c r="H833" s="10">
        <f>_xlfn.XLOOKUP(Order_Details[[#This Row],[Order ID]], List_of_orders[Order ID], List_of_orders[Order Date (Clean)])</f>
        <v>43429</v>
      </c>
      <c r="I833" s="7" t="str">
        <f>_xlfn.XLOOKUP(Order_Details[[#This Row],[Order ID]], List_of_orders[Order ID], List_of_orders[CustomerName])</f>
        <v>Pooja</v>
      </c>
      <c r="J833" s="7" t="str">
        <f>_xlfn.XLOOKUP(Order_Details[[#This Row],[Order ID]], List_of_orders[Order ID], List_of_orders[City])</f>
        <v>Allahabad</v>
      </c>
      <c r="K833" s="8" t="str">
        <f>TEXT(Order_Details[[#This Row],[Order Date]], "YY-MMM")</f>
        <v>18-Nov</v>
      </c>
      <c r="L833" s="11">
        <f>Order_Details[[#This Row],[Profit]]/Order_Details[[#This Row],[Amount]]</f>
        <v>8.1081081081081086E-2</v>
      </c>
      <c r="M833" s="8">
        <f>YEAR(Order_Details[[#This Row],[Order Date]])</f>
        <v>2018</v>
      </c>
      <c r="N833" s="8">
        <f>ROUNDUP(MONTH(Order_Details[[#This Row],[Order Date]])/3, 0)</f>
        <v>4</v>
      </c>
    </row>
    <row r="834" spans="1:14">
      <c r="A834" s="1" t="s">
        <v>687</v>
      </c>
      <c r="B834" s="1">
        <v>26</v>
      </c>
      <c r="C834" s="1">
        <v>9</v>
      </c>
      <c r="D834" s="1">
        <v>2</v>
      </c>
      <c r="E834" s="1" t="s">
        <v>1076</v>
      </c>
      <c r="F834" s="1" t="s">
        <v>1112</v>
      </c>
      <c r="G834" s="7" t="str">
        <f>_xlfn.XLOOKUP(Order_Details[[#This Row],[Order ID]], List_of_orders[Order ID], List_of_orders[State])</f>
        <v>Uttar Pradesh</v>
      </c>
      <c r="H834" s="10">
        <f>_xlfn.XLOOKUP(Order_Details[[#This Row],[Order ID]], List_of_orders[Order ID], List_of_orders[Order Date (Clean)])</f>
        <v>43429</v>
      </c>
      <c r="I834" s="7" t="str">
        <f>_xlfn.XLOOKUP(Order_Details[[#This Row],[Order ID]], List_of_orders[Order ID], List_of_orders[CustomerName])</f>
        <v>Pooja</v>
      </c>
      <c r="J834" s="7" t="str">
        <f>_xlfn.XLOOKUP(Order_Details[[#This Row],[Order ID]], List_of_orders[Order ID], List_of_orders[City])</f>
        <v>Allahabad</v>
      </c>
      <c r="K834" s="8" t="str">
        <f>TEXT(Order_Details[[#This Row],[Order Date]], "YY-MMM")</f>
        <v>18-Nov</v>
      </c>
      <c r="L834" s="11">
        <f>Order_Details[[#This Row],[Profit]]/Order_Details[[#This Row],[Amount]]</f>
        <v>0.34615384615384615</v>
      </c>
      <c r="M834" s="8">
        <f>YEAR(Order_Details[[#This Row],[Order Date]])</f>
        <v>2018</v>
      </c>
      <c r="N834" s="8">
        <f>ROUNDUP(MONTH(Order_Details[[#This Row],[Order Date]])/3, 0)</f>
        <v>4</v>
      </c>
    </row>
    <row r="835" spans="1:14">
      <c r="A835" s="1" t="s">
        <v>687</v>
      </c>
      <c r="B835" s="1">
        <v>1351</v>
      </c>
      <c r="C835" s="1">
        <v>111</v>
      </c>
      <c r="D835" s="1">
        <v>6</v>
      </c>
      <c r="E835" s="1" t="s">
        <v>1077</v>
      </c>
      <c r="F835" s="1" t="s">
        <v>1104</v>
      </c>
      <c r="G835" s="7" t="str">
        <f>_xlfn.XLOOKUP(Order_Details[[#This Row],[Order ID]], List_of_orders[Order ID], List_of_orders[State])</f>
        <v>Uttar Pradesh</v>
      </c>
      <c r="H835" s="10">
        <f>_xlfn.XLOOKUP(Order_Details[[#This Row],[Order ID]], List_of_orders[Order ID], List_of_orders[Order Date (Clean)])</f>
        <v>43429</v>
      </c>
      <c r="I835" s="7" t="str">
        <f>_xlfn.XLOOKUP(Order_Details[[#This Row],[Order ID]], List_of_orders[Order ID], List_of_orders[CustomerName])</f>
        <v>Pooja</v>
      </c>
      <c r="J835" s="7" t="str">
        <f>_xlfn.XLOOKUP(Order_Details[[#This Row],[Order ID]], List_of_orders[Order ID], List_of_orders[City])</f>
        <v>Allahabad</v>
      </c>
      <c r="K835" s="8" t="str">
        <f>TEXT(Order_Details[[#This Row],[Order Date]], "YY-MMM")</f>
        <v>18-Nov</v>
      </c>
      <c r="L835" s="11">
        <f>Order_Details[[#This Row],[Profit]]/Order_Details[[#This Row],[Amount]]</f>
        <v>8.2161361954108073E-2</v>
      </c>
      <c r="M835" s="8">
        <f>YEAR(Order_Details[[#This Row],[Order Date]])</f>
        <v>2018</v>
      </c>
      <c r="N835" s="8">
        <f>ROUNDUP(MONTH(Order_Details[[#This Row],[Order Date]])/3, 0)</f>
        <v>4</v>
      </c>
    </row>
    <row r="836" spans="1:14">
      <c r="A836" s="1" t="s">
        <v>687</v>
      </c>
      <c r="B836" s="1">
        <v>2244</v>
      </c>
      <c r="C836" s="1">
        <v>247</v>
      </c>
      <c r="D836" s="1">
        <v>4</v>
      </c>
      <c r="E836" s="1" t="s">
        <v>1076</v>
      </c>
      <c r="F836" s="1" t="s">
        <v>1107</v>
      </c>
      <c r="G836" s="7" t="str">
        <f>_xlfn.XLOOKUP(Order_Details[[#This Row],[Order ID]], List_of_orders[Order ID], List_of_orders[State])</f>
        <v>Uttar Pradesh</v>
      </c>
      <c r="H836" s="10">
        <f>_xlfn.XLOOKUP(Order_Details[[#This Row],[Order ID]], List_of_orders[Order ID], List_of_orders[Order Date (Clean)])</f>
        <v>43429</v>
      </c>
      <c r="I836" s="7" t="str">
        <f>_xlfn.XLOOKUP(Order_Details[[#This Row],[Order ID]], List_of_orders[Order ID], List_of_orders[CustomerName])</f>
        <v>Pooja</v>
      </c>
      <c r="J836" s="7" t="str">
        <f>_xlfn.XLOOKUP(Order_Details[[#This Row],[Order ID]], List_of_orders[Order ID], List_of_orders[City])</f>
        <v>Allahabad</v>
      </c>
      <c r="K836" s="8" t="str">
        <f>TEXT(Order_Details[[#This Row],[Order Date]], "YY-MMM")</f>
        <v>18-Nov</v>
      </c>
      <c r="L836" s="11">
        <f>Order_Details[[#This Row],[Profit]]/Order_Details[[#This Row],[Amount]]</f>
        <v>0.11007130124777184</v>
      </c>
      <c r="M836" s="8">
        <f>YEAR(Order_Details[[#This Row],[Order Date]])</f>
        <v>2018</v>
      </c>
      <c r="N836" s="8">
        <f>ROUNDUP(MONTH(Order_Details[[#This Row],[Order Date]])/3, 0)</f>
        <v>4</v>
      </c>
    </row>
    <row r="837" spans="1:14">
      <c r="A837" s="1" t="s">
        <v>687</v>
      </c>
      <c r="B837" s="1">
        <v>36</v>
      </c>
      <c r="C837" s="1">
        <v>7</v>
      </c>
      <c r="D837" s="1">
        <v>3</v>
      </c>
      <c r="E837" s="1" t="s">
        <v>1076</v>
      </c>
      <c r="F837" s="1" t="s">
        <v>1112</v>
      </c>
      <c r="G837" s="7" t="str">
        <f>_xlfn.XLOOKUP(Order_Details[[#This Row],[Order ID]], List_of_orders[Order ID], List_of_orders[State])</f>
        <v>Uttar Pradesh</v>
      </c>
      <c r="H837" s="10">
        <f>_xlfn.XLOOKUP(Order_Details[[#This Row],[Order ID]], List_of_orders[Order ID], List_of_orders[Order Date (Clean)])</f>
        <v>43429</v>
      </c>
      <c r="I837" s="7" t="str">
        <f>_xlfn.XLOOKUP(Order_Details[[#This Row],[Order ID]], List_of_orders[Order ID], List_of_orders[CustomerName])</f>
        <v>Pooja</v>
      </c>
      <c r="J837" s="7" t="str">
        <f>_xlfn.XLOOKUP(Order_Details[[#This Row],[Order ID]], List_of_orders[Order ID], List_of_orders[City])</f>
        <v>Allahabad</v>
      </c>
      <c r="K837" s="8" t="str">
        <f>TEXT(Order_Details[[#This Row],[Order Date]], "YY-MMM")</f>
        <v>18-Nov</v>
      </c>
      <c r="L837" s="11">
        <f>Order_Details[[#This Row],[Profit]]/Order_Details[[#This Row],[Amount]]</f>
        <v>0.19444444444444445</v>
      </c>
      <c r="M837" s="8">
        <f>YEAR(Order_Details[[#This Row],[Order Date]])</f>
        <v>2018</v>
      </c>
      <c r="N837" s="8">
        <f>ROUNDUP(MONTH(Order_Details[[#This Row],[Order Date]])/3, 0)</f>
        <v>4</v>
      </c>
    </row>
    <row r="838" spans="1:14">
      <c r="A838" s="1" t="s">
        <v>687</v>
      </c>
      <c r="B838" s="1">
        <v>2115</v>
      </c>
      <c r="C838" s="1">
        <v>23</v>
      </c>
      <c r="D838" s="1">
        <v>5</v>
      </c>
      <c r="E838" s="1" t="s">
        <v>1075</v>
      </c>
      <c r="F838" s="1" t="s">
        <v>1108</v>
      </c>
      <c r="G838" s="7" t="str">
        <f>_xlfn.XLOOKUP(Order_Details[[#This Row],[Order ID]], List_of_orders[Order ID], List_of_orders[State])</f>
        <v>Uttar Pradesh</v>
      </c>
      <c r="H838" s="10">
        <f>_xlfn.XLOOKUP(Order_Details[[#This Row],[Order ID]], List_of_orders[Order ID], List_of_orders[Order Date (Clean)])</f>
        <v>43429</v>
      </c>
      <c r="I838" s="7" t="str">
        <f>_xlfn.XLOOKUP(Order_Details[[#This Row],[Order ID]], List_of_orders[Order ID], List_of_orders[CustomerName])</f>
        <v>Pooja</v>
      </c>
      <c r="J838" s="7" t="str">
        <f>_xlfn.XLOOKUP(Order_Details[[#This Row],[Order ID]], List_of_orders[Order ID], List_of_orders[City])</f>
        <v>Allahabad</v>
      </c>
      <c r="K838" s="8" t="str">
        <f>TEXT(Order_Details[[#This Row],[Order Date]], "YY-MMM")</f>
        <v>18-Nov</v>
      </c>
      <c r="L838" s="11">
        <f>Order_Details[[#This Row],[Profit]]/Order_Details[[#This Row],[Amount]]</f>
        <v>1.0874704491725768E-2</v>
      </c>
      <c r="M838" s="8">
        <f>YEAR(Order_Details[[#This Row],[Order Date]])</f>
        <v>2018</v>
      </c>
      <c r="N838" s="8">
        <f>ROUNDUP(MONTH(Order_Details[[#This Row],[Order Date]])/3, 0)</f>
        <v>4</v>
      </c>
    </row>
    <row r="839" spans="1:14">
      <c r="A839" s="1" t="s">
        <v>689</v>
      </c>
      <c r="B839" s="1">
        <v>121</v>
      </c>
      <c r="C839" s="1">
        <v>19</v>
      </c>
      <c r="D839" s="1">
        <v>4</v>
      </c>
      <c r="E839" s="1" t="s">
        <v>1076</v>
      </c>
      <c r="F839" s="1" t="s">
        <v>1102</v>
      </c>
      <c r="G839" s="7" t="str">
        <f>_xlfn.XLOOKUP(Order_Details[[#This Row],[Order ID]], List_of_orders[Order ID], List_of_orders[State])</f>
        <v>Punjab</v>
      </c>
      <c r="H839" s="10">
        <f>_xlfn.XLOOKUP(Order_Details[[#This Row],[Order ID]], List_of_orders[Order ID], List_of_orders[Order Date (Clean)])</f>
        <v>43430</v>
      </c>
      <c r="I839" s="7" t="str">
        <f>_xlfn.XLOOKUP(Order_Details[[#This Row],[Order ID]], List_of_orders[Order ID], List_of_orders[CustomerName])</f>
        <v>Masurkar</v>
      </c>
      <c r="J839" s="7" t="str">
        <f>_xlfn.XLOOKUP(Order_Details[[#This Row],[Order ID]], List_of_orders[Order ID], List_of_orders[City])</f>
        <v>Amritsar</v>
      </c>
      <c r="K839" s="8" t="str">
        <f>TEXT(Order_Details[[#This Row],[Order Date]], "YY-MMM")</f>
        <v>18-Nov</v>
      </c>
      <c r="L839" s="11">
        <f>Order_Details[[#This Row],[Profit]]/Order_Details[[#This Row],[Amount]]</f>
        <v>0.15702479338842976</v>
      </c>
      <c r="M839" s="8">
        <f>YEAR(Order_Details[[#This Row],[Order Date]])</f>
        <v>2018</v>
      </c>
      <c r="N839" s="8">
        <f>ROUNDUP(MONTH(Order_Details[[#This Row],[Order Date]])/3, 0)</f>
        <v>4</v>
      </c>
    </row>
    <row r="840" spans="1:14">
      <c r="A840" s="1" t="s">
        <v>692</v>
      </c>
      <c r="B840" s="1">
        <v>146</v>
      </c>
      <c r="C840" s="1">
        <v>42</v>
      </c>
      <c r="D840" s="1">
        <v>5</v>
      </c>
      <c r="E840" s="1" t="s">
        <v>1076</v>
      </c>
      <c r="F840" s="1" t="s">
        <v>1103</v>
      </c>
      <c r="G840" s="7" t="str">
        <f>_xlfn.XLOOKUP(Order_Details[[#This Row],[Order ID]], List_of_orders[Order ID], List_of_orders[State])</f>
        <v>Gujarat</v>
      </c>
      <c r="H840" s="10">
        <f>_xlfn.XLOOKUP(Order_Details[[#This Row],[Order ID]], List_of_orders[Order ID], List_of_orders[Order Date (Clean)])</f>
        <v>43431</v>
      </c>
      <c r="I840" s="7" t="str">
        <f>_xlfn.XLOOKUP(Order_Details[[#This Row],[Order ID]], List_of_orders[Order ID], List_of_orders[CustomerName])</f>
        <v>Saptadeep</v>
      </c>
      <c r="J840" s="7" t="str">
        <f>_xlfn.XLOOKUP(Order_Details[[#This Row],[Order ID]], List_of_orders[Order ID], List_of_orders[City])</f>
        <v>Surat</v>
      </c>
      <c r="K840" s="8" t="str">
        <f>TEXT(Order_Details[[#This Row],[Order Date]], "YY-MMM")</f>
        <v>18-Nov</v>
      </c>
      <c r="L840" s="11">
        <f>Order_Details[[#This Row],[Profit]]/Order_Details[[#This Row],[Amount]]</f>
        <v>0.28767123287671231</v>
      </c>
      <c r="M840" s="8">
        <f>YEAR(Order_Details[[#This Row],[Order Date]])</f>
        <v>2018</v>
      </c>
      <c r="N840" s="8">
        <f>ROUNDUP(MONTH(Order_Details[[#This Row],[Order Date]])/3, 0)</f>
        <v>4</v>
      </c>
    </row>
    <row r="841" spans="1:14">
      <c r="A841" s="1" t="s">
        <v>692</v>
      </c>
      <c r="B841" s="1">
        <v>105</v>
      </c>
      <c r="C841" s="1">
        <v>26</v>
      </c>
      <c r="D841" s="1">
        <v>8</v>
      </c>
      <c r="E841" s="1" t="s">
        <v>1076</v>
      </c>
      <c r="F841" s="1" t="s">
        <v>1112</v>
      </c>
      <c r="G841" s="7" t="str">
        <f>_xlfn.XLOOKUP(Order_Details[[#This Row],[Order ID]], List_of_orders[Order ID], List_of_orders[State])</f>
        <v>Gujarat</v>
      </c>
      <c r="H841" s="10">
        <f>_xlfn.XLOOKUP(Order_Details[[#This Row],[Order ID]], List_of_orders[Order ID], List_of_orders[Order Date (Clean)])</f>
        <v>43431</v>
      </c>
      <c r="I841" s="7" t="str">
        <f>_xlfn.XLOOKUP(Order_Details[[#This Row],[Order ID]], List_of_orders[Order ID], List_of_orders[CustomerName])</f>
        <v>Saptadeep</v>
      </c>
      <c r="J841" s="7" t="str">
        <f>_xlfn.XLOOKUP(Order_Details[[#This Row],[Order ID]], List_of_orders[Order ID], List_of_orders[City])</f>
        <v>Surat</v>
      </c>
      <c r="K841" s="8" t="str">
        <f>TEXT(Order_Details[[#This Row],[Order Date]], "YY-MMM")</f>
        <v>18-Nov</v>
      </c>
      <c r="L841" s="11">
        <f>Order_Details[[#This Row],[Profit]]/Order_Details[[#This Row],[Amount]]</f>
        <v>0.24761904761904763</v>
      </c>
      <c r="M841" s="8">
        <f>YEAR(Order_Details[[#This Row],[Order Date]])</f>
        <v>2018</v>
      </c>
      <c r="N841" s="8">
        <f>ROUNDUP(MONTH(Order_Details[[#This Row],[Order Date]])/3, 0)</f>
        <v>4</v>
      </c>
    </row>
    <row r="842" spans="1:14">
      <c r="A842" s="1" t="s">
        <v>692</v>
      </c>
      <c r="B842" s="1">
        <v>127</v>
      </c>
      <c r="C842" s="1">
        <v>29</v>
      </c>
      <c r="D842" s="1">
        <v>3</v>
      </c>
      <c r="E842" s="1" t="s">
        <v>1075</v>
      </c>
      <c r="F842" s="1" t="s">
        <v>1116</v>
      </c>
      <c r="G842" s="7" t="str">
        <f>_xlfn.XLOOKUP(Order_Details[[#This Row],[Order ID]], List_of_orders[Order ID], List_of_orders[State])</f>
        <v>Gujarat</v>
      </c>
      <c r="H842" s="10">
        <f>_xlfn.XLOOKUP(Order_Details[[#This Row],[Order ID]], List_of_orders[Order ID], List_of_orders[Order Date (Clean)])</f>
        <v>43431</v>
      </c>
      <c r="I842" s="7" t="str">
        <f>_xlfn.XLOOKUP(Order_Details[[#This Row],[Order ID]], List_of_orders[Order ID], List_of_orders[CustomerName])</f>
        <v>Saptadeep</v>
      </c>
      <c r="J842" s="7" t="str">
        <f>_xlfn.XLOOKUP(Order_Details[[#This Row],[Order ID]], List_of_orders[Order ID], List_of_orders[City])</f>
        <v>Surat</v>
      </c>
      <c r="K842" s="8" t="str">
        <f>TEXT(Order_Details[[#This Row],[Order Date]], "YY-MMM")</f>
        <v>18-Nov</v>
      </c>
      <c r="L842" s="11">
        <f>Order_Details[[#This Row],[Profit]]/Order_Details[[#This Row],[Amount]]</f>
        <v>0.2283464566929134</v>
      </c>
      <c r="M842" s="8">
        <f>YEAR(Order_Details[[#This Row],[Order Date]])</f>
        <v>2018</v>
      </c>
      <c r="N842" s="8">
        <f>ROUNDUP(MONTH(Order_Details[[#This Row],[Order Date]])/3, 0)</f>
        <v>4</v>
      </c>
    </row>
    <row r="843" spans="1:14">
      <c r="A843" s="1" t="s">
        <v>692</v>
      </c>
      <c r="B843" s="1">
        <v>16</v>
      </c>
      <c r="C843" s="1">
        <v>-15</v>
      </c>
      <c r="D843" s="1">
        <v>4</v>
      </c>
      <c r="E843" s="1" t="s">
        <v>1076</v>
      </c>
      <c r="F843" s="1" t="s">
        <v>1103</v>
      </c>
      <c r="G843" s="7" t="str">
        <f>_xlfn.XLOOKUP(Order_Details[[#This Row],[Order ID]], List_of_orders[Order ID], List_of_orders[State])</f>
        <v>Gujarat</v>
      </c>
      <c r="H843" s="10">
        <f>_xlfn.XLOOKUP(Order_Details[[#This Row],[Order ID]], List_of_orders[Order ID], List_of_orders[Order Date (Clean)])</f>
        <v>43431</v>
      </c>
      <c r="I843" s="7" t="str">
        <f>_xlfn.XLOOKUP(Order_Details[[#This Row],[Order ID]], List_of_orders[Order ID], List_of_orders[CustomerName])</f>
        <v>Saptadeep</v>
      </c>
      <c r="J843" s="7" t="str">
        <f>_xlfn.XLOOKUP(Order_Details[[#This Row],[Order ID]], List_of_orders[Order ID], List_of_orders[City])</f>
        <v>Surat</v>
      </c>
      <c r="K843" s="8" t="str">
        <f>TEXT(Order_Details[[#This Row],[Order Date]], "YY-MMM")</f>
        <v>18-Nov</v>
      </c>
      <c r="L843" s="11">
        <f>Order_Details[[#This Row],[Profit]]/Order_Details[[#This Row],[Amount]]</f>
        <v>-0.9375</v>
      </c>
      <c r="M843" s="8">
        <f>YEAR(Order_Details[[#This Row],[Order Date]])</f>
        <v>2018</v>
      </c>
      <c r="N843" s="8">
        <f>ROUNDUP(MONTH(Order_Details[[#This Row],[Order Date]])/3, 0)</f>
        <v>4</v>
      </c>
    </row>
    <row r="844" spans="1:14">
      <c r="A844" s="1" t="s">
        <v>692</v>
      </c>
      <c r="B844" s="1">
        <v>10</v>
      </c>
      <c r="C844" s="1">
        <v>-2</v>
      </c>
      <c r="D844" s="1">
        <v>2</v>
      </c>
      <c r="E844" s="1" t="s">
        <v>1076</v>
      </c>
      <c r="F844" s="1" t="s">
        <v>1112</v>
      </c>
      <c r="G844" s="7" t="str">
        <f>_xlfn.XLOOKUP(Order_Details[[#This Row],[Order ID]], List_of_orders[Order ID], List_of_orders[State])</f>
        <v>Gujarat</v>
      </c>
      <c r="H844" s="10">
        <f>_xlfn.XLOOKUP(Order_Details[[#This Row],[Order ID]], List_of_orders[Order ID], List_of_orders[Order Date (Clean)])</f>
        <v>43431</v>
      </c>
      <c r="I844" s="7" t="str">
        <f>_xlfn.XLOOKUP(Order_Details[[#This Row],[Order ID]], List_of_orders[Order ID], List_of_orders[CustomerName])</f>
        <v>Saptadeep</v>
      </c>
      <c r="J844" s="7" t="str">
        <f>_xlfn.XLOOKUP(Order_Details[[#This Row],[Order ID]], List_of_orders[Order ID], List_of_orders[City])</f>
        <v>Surat</v>
      </c>
      <c r="K844" s="8" t="str">
        <f>TEXT(Order_Details[[#This Row],[Order Date]], "YY-MMM")</f>
        <v>18-Nov</v>
      </c>
      <c r="L844" s="11">
        <f>Order_Details[[#This Row],[Profit]]/Order_Details[[#This Row],[Amount]]</f>
        <v>-0.2</v>
      </c>
      <c r="M844" s="8">
        <f>YEAR(Order_Details[[#This Row],[Order Date]])</f>
        <v>2018</v>
      </c>
      <c r="N844" s="8">
        <f>ROUNDUP(MONTH(Order_Details[[#This Row],[Order Date]])/3, 0)</f>
        <v>4</v>
      </c>
    </row>
    <row r="845" spans="1:14">
      <c r="A845" s="1" t="s">
        <v>695</v>
      </c>
      <c r="B845" s="1">
        <v>24</v>
      </c>
      <c r="C845" s="1">
        <v>2</v>
      </c>
      <c r="D845" s="1">
        <v>4</v>
      </c>
      <c r="E845" s="1" t="s">
        <v>1076</v>
      </c>
      <c r="F845" s="1" t="s">
        <v>1103</v>
      </c>
      <c r="G845" s="7" t="str">
        <f>_xlfn.XLOOKUP(Order_Details[[#This Row],[Order ID]], List_of_orders[Order ID], List_of_orders[State])</f>
        <v>Maharashtra</v>
      </c>
      <c r="H845" s="10">
        <f>_xlfn.XLOOKUP(Order_Details[[#This Row],[Order ID]], List_of_orders[Order ID], List_of_orders[Order Date (Clean)])</f>
        <v>43432</v>
      </c>
      <c r="I845" s="7" t="str">
        <f>_xlfn.XLOOKUP(Order_Details[[#This Row],[Order ID]], List_of_orders[Order ID], List_of_orders[CustomerName])</f>
        <v>Sumeet</v>
      </c>
      <c r="J845" s="7" t="str">
        <f>_xlfn.XLOOKUP(Order_Details[[#This Row],[Order ID]], List_of_orders[Order ID], List_of_orders[City])</f>
        <v>Mumbai</v>
      </c>
      <c r="K845" s="8" t="str">
        <f>TEXT(Order_Details[[#This Row],[Order Date]], "YY-MMM")</f>
        <v>18-Nov</v>
      </c>
      <c r="L845" s="11">
        <f>Order_Details[[#This Row],[Profit]]/Order_Details[[#This Row],[Amount]]</f>
        <v>8.3333333333333329E-2</v>
      </c>
      <c r="M845" s="8">
        <f>YEAR(Order_Details[[#This Row],[Order Date]])</f>
        <v>2018</v>
      </c>
      <c r="N845" s="8">
        <f>ROUNDUP(MONTH(Order_Details[[#This Row],[Order Date]])/3, 0)</f>
        <v>4</v>
      </c>
    </row>
    <row r="846" spans="1:14">
      <c r="A846" s="1" t="s">
        <v>698</v>
      </c>
      <c r="B846" s="1">
        <v>94</v>
      </c>
      <c r="C846" s="1">
        <v>27</v>
      </c>
      <c r="D846" s="1">
        <v>2</v>
      </c>
      <c r="E846" s="1" t="s">
        <v>1076</v>
      </c>
      <c r="F846" s="1" t="s">
        <v>1111</v>
      </c>
      <c r="G846" s="7" t="str">
        <f>_xlfn.XLOOKUP(Order_Details[[#This Row],[Order ID]], List_of_orders[Order ID], List_of_orders[State])</f>
        <v>Madhya Pradesh</v>
      </c>
      <c r="H846" s="10">
        <f>_xlfn.XLOOKUP(Order_Details[[#This Row],[Order ID]], List_of_orders[Order ID], List_of_orders[Order Date (Clean)])</f>
        <v>43432</v>
      </c>
      <c r="I846" s="7" t="str">
        <f>_xlfn.XLOOKUP(Order_Details[[#This Row],[Order ID]], List_of_orders[Order ID], List_of_orders[CustomerName])</f>
        <v>Shatayu</v>
      </c>
      <c r="J846" s="7" t="str">
        <f>_xlfn.XLOOKUP(Order_Details[[#This Row],[Order ID]], List_of_orders[Order ID], List_of_orders[City])</f>
        <v>Indore</v>
      </c>
      <c r="K846" s="8" t="str">
        <f>TEXT(Order_Details[[#This Row],[Order Date]], "YY-MMM")</f>
        <v>18-Nov</v>
      </c>
      <c r="L846" s="11">
        <f>Order_Details[[#This Row],[Profit]]/Order_Details[[#This Row],[Amount]]</f>
        <v>0.28723404255319152</v>
      </c>
      <c r="M846" s="8">
        <f>YEAR(Order_Details[[#This Row],[Order Date]])</f>
        <v>2018</v>
      </c>
      <c r="N846" s="8">
        <f>ROUNDUP(MONTH(Order_Details[[#This Row],[Order Date]])/3, 0)</f>
        <v>4</v>
      </c>
    </row>
    <row r="847" spans="1:14">
      <c r="A847" s="1" t="s">
        <v>698</v>
      </c>
      <c r="B847" s="1">
        <v>394</v>
      </c>
      <c r="C847" s="1">
        <v>146</v>
      </c>
      <c r="D847" s="1">
        <v>2</v>
      </c>
      <c r="E847" s="1" t="s">
        <v>1075</v>
      </c>
      <c r="F847" s="1" t="s">
        <v>1101</v>
      </c>
      <c r="G847" s="7" t="str">
        <f>_xlfn.XLOOKUP(Order_Details[[#This Row],[Order ID]], List_of_orders[Order ID], List_of_orders[State])</f>
        <v>Madhya Pradesh</v>
      </c>
      <c r="H847" s="10">
        <f>_xlfn.XLOOKUP(Order_Details[[#This Row],[Order ID]], List_of_orders[Order ID], List_of_orders[Order Date (Clean)])</f>
        <v>43432</v>
      </c>
      <c r="I847" s="7" t="str">
        <f>_xlfn.XLOOKUP(Order_Details[[#This Row],[Order ID]], List_of_orders[Order ID], List_of_orders[CustomerName])</f>
        <v>Shatayu</v>
      </c>
      <c r="J847" s="7" t="str">
        <f>_xlfn.XLOOKUP(Order_Details[[#This Row],[Order ID]], List_of_orders[Order ID], List_of_orders[City])</f>
        <v>Indore</v>
      </c>
      <c r="K847" s="8" t="str">
        <f>TEXT(Order_Details[[#This Row],[Order Date]], "YY-MMM")</f>
        <v>18-Nov</v>
      </c>
      <c r="L847" s="11">
        <f>Order_Details[[#This Row],[Profit]]/Order_Details[[#This Row],[Amount]]</f>
        <v>0.37055837563451777</v>
      </c>
      <c r="M847" s="8">
        <f>YEAR(Order_Details[[#This Row],[Order Date]])</f>
        <v>2018</v>
      </c>
      <c r="N847" s="8">
        <f>ROUNDUP(MONTH(Order_Details[[#This Row],[Order Date]])/3, 0)</f>
        <v>4</v>
      </c>
    </row>
    <row r="848" spans="1:14">
      <c r="A848" s="1" t="s">
        <v>698</v>
      </c>
      <c r="B848" s="1">
        <v>734</v>
      </c>
      <c r="C848" s="1">
        <v>248</v>
      </c>
      <c r="D848" s="1">
        <v>2</v>
      </c>
      <c r="E848" s="1" t="s">
        <v>1075</v>
      </c>
      <c r="F848" s="1" t="s">
        <v>1108</v>
      </c>
      <c r="G848" s="7" t="str">
        <f>_xlfn.XLOOKUP(Order_Details[[#This Row],[Order ID]], List_of_orders[Order ID], List_of_orders[State])</f>
        <v>Madhya Pradesh</v>
      </c>
      <c r="H848" s="10">
        <f>_xlfn.XLOOKUP(Order_Details[[#This Row],[Order ID]], List_of_orders[Order ID], List_of_orders[Order Date (Clean)])</f>
        <v>43432</v>
      </c>
      <c r="I848" s="7" t="str">
        <f>_xlfn.XLOOKUP(Order_Details[[#This Row],[Order ID]], List_of_orders[Order ID], List_of_orders[CustomerName])</f>
        <v>Shatayu</v>
      </c>
      <c r="J848" s="7" t="str">
        <f>_xlfn.XLOOKUP(Order_Details[[#This Row],[Order ID]], List_of_orders[Order ID], List_of_orders[City])</f>
        <v>Indore</v>
      </c>
      <c r="K848" s="8" t="str">
        <f>TEXT(Order_Details[[#This Row],[Order Date]], "YY-MMM")</f>
        <v>18-Nov</v>
      </c>
      <c r="L848" s="11">
        <f>Order_Details[[#This Row],[Profit]]/Order_Details[[#This Row],[Amount]]</f>
        <v>0.33787465940054495</v>
      </c>
      <c r="M848" s="8">
        <f>YEAR(Order_Details[[#This Row],[Order Date]])</f>
        <v>2018</v>
      </c>
      <c r="N848" s="8">
        <f>ROUNDUP(MONTH(Order_Details[[#This Row],[Order Date]])/3, 0)</f>
        <v>4</v>
      </c>
    </row>
    <row r="849" spans="1:14">
      <c r="A849" s="1" t="s">
        <v>698</v>
      </c>
      <c r="B849" s="1">
        <v>349</v>
      </c>
      <c r="C849" s="1">
        <v>0</v>
      </c>
      <c r="D849" s="1">
        <v>7</v>
      </c>
      <c r="E849" s="1" t="s">
        <v>1076</v>
      </c>
      <c r="F849" s="1" t="s">
        <v>1102</v>
      </c>
      <c r="G849" s="7" t="str">
        <f>_xlfn.XLOOKUP(Order_Details[[#This Row],[Order ID]], List_of_orders[Order ID], List_of_orders[State])</f>
        <v>Madhya Pradesh</v>
      </c>
      <c r="H849" s="10">
        <f>_xlfn.XLOOKUP(Order_Details[[#This Row],[Order ID]], List_of_orders[Order ID], List_of_orders[Order Date (Clean)])</f>
        <v>43432</v>
      </c>
      <c r="I849" s="7" t="str">
        <f>_xlfn.XLOOKUP(Order_Details[[#This Row],[Order ID]], List_of_orders[Order ID], List_of_orders[CustomerName])</f>
        <v>Shatayu</v>
      </c>
      <c r="J849" s="7" t="str">
        <f>_xlfn.XLOOKUP(Order_Details[[#This Row],[Order ID]], List_of_orders[Order ID], List_of_orders[City])</f>
        <v>Indore</v>
      </c>
      <c r="K849" s="8" t="str">
        <f>TEXT(Order_Details[[#This Row],[Order Date]], "YY-MMM")</f>
        <v>18-Nov</v>
      </c>
      <c r="L849" s="11">
        <f>Order_Details[[#This Row],[Profit]]/Order_Details[[#This Row],[Amount]]</f>
        <v>0</v>
      </c>
      <c r="M849" s="8">
        <f>YEAR(Order_Details[[#This Row],[Order Date]])</f>
        <v>2018</v>
      </c>
      <c r="N849" s="8">
        <f>ROUNDUP(MONTH(Order_Details[[#This Row],[Order Date]])/3, 0)</f>
        <v>4</v>
      </c>
    </row>
    <row r="850" spans="1:14">
      <c r="A850" s="1" t="s">
        <v>700</v>
      </c>
      <c r="B850" s="1">
        <v>89</v>
      </c>
      <c r="C850" s="1">
        <v>17</v>
      </c>
      <c r="D850" s="1">
        <v>2</v>
      </c>
      <c r="E850" s="1" t="s">
        <v>1076</v>
      </c>
      <c r="F850" s="1" t="s">
        <v>1102</v>
      </c>
      <c r="G850" s="7" t="str">
        <f>_xlfn.XLOOKUP(Order_Details[[#This Row],[Order ID]], List_of_orders[Order ID], List_of_orders[State])</f>
        <v>Rajasthan</v>
      </c>
      <c r="H850" s="10">
        <f>_xlfn.XLOOKUP(Order_Details[[#This Row],[Order ID]], List_of_orders[Order ID], List_of_orders[Order Date (Clean)])</f>
        <v>43432</v>
      </c>
      <c r="I850" s="7" t="str">
        <f>_xlfn.XLOOKUP(Order_Details[[#This Row],[Order ID]], List_of_orders[Order ID], List_of_orders[CustomerName])</f>
        <v>Brijesh</v>
      </c>
      <c r="J850" s="7" t="str">
        <f>_xlfn.XLOOKUP(Order_Details[[#This Row],[Order ID]], List_of_orders[Order ID], List_of_orders[City])</f>
        <v>Udaipur</v>
      </c>
      <c r="K850" s="8" t="str">
        <f>TEXT(Order_Details[[#This Row],[Order Date]], "YY-MMM")</f>
        <v>18-Nov</v>
      </c>
      <c r="L850" s="11">
        <f>Order_Details[[#This Row],[Profit]]/Order_Details[[#This Row],[Amount]]</f>
        <v>0.19101123595505617</v>
      </c>
      <c r="M850" s="8">
        <f>YEAR(Order_Details[[#This Row],[Order Date]])</f>
        <v>2018</v>
      </c>
      <c r="N850" s="8">
        <f>ROUNDUP(MONTH(Order_Details[[#This Row],[Order Date]])/3, 0)</f>
        <v>4</v>
      </c>
    </row>
    <row r="851" spans="1:14">
      <c r="A851" s="1" t="s">
        <v>700</v>
      </c>
      <c r="B851" s="1">
        <v>502</v>
      </c>
      <c r="C851" s="1">
        <v>84</v>
      </c>
      <c r="D851" s="1">
        <v>4</v>
      </c>
      <c r="E851" s="1" t="s">
        <v>1077</v>
      </c>
      <c r="F851" s="1" t="s">
        <v>1105</v>
      </c>
      <c r="G851" s="7" t="str">
        <f>_xlfn.XLOOKUP(Order_Details[[#This Row],[Order ID]], List_of_orders[Order ID], List_of_orders[State])</f>
        <v>Rajasthan</v>
      </c>
      <c r="H851" s="10">
        <f>_xlfn.XLOOKUP(Order_Details[[#This Row],[Order ID]], List_of_orders[Order ID], List_of_orders[Order Date (Clean)])</f>
        <v>43432</v>
      </c>
      <c r="I851" s="7" t="str">
        <f>_xlfn.XLOOKUP(Order_Details[[#This Row],[Order ID]], List_of_orders[Order ID], List_of_orders[CustomerName])</f>
        <v>Brijesh</v>
      </c>
      <c r="J851" s="7" t="str">
        <f>_xlfn.XLOOKUP(Order_Details[[#This Row],[Order ID]], List_of_orders[Order ID], List_of_orders[City])</f>
        <v>Udaipur</v>
      </c>
      <c r="K851" s="8" t="str">
        <f>TEXT(Order_Details[[#This Row],[Order Date]], "YY-MMM")</f>
        <v>18-Nov</v>
      </c>
      <c r="L851" s="11">
        <f>Order_Details[[#This Row],[Profit]]/Order_Details[[#This Row],[Amount]]</f>
        <v>0.16733067729083664</v>
      </c>
      <c r="M851" s="8">
        <f>YEAR(Order_Details[[#This Row],[Order Date]])</f>
        <v>2018</v>
      </c>
      <c r="N851" s="8">
        <f>ROUNDUP(MONTH(Order_Details[[#This Row],[Order Date]])/3, 0)</f>
        <v>4</v>
      </c>
    </row>
    <row r="852" spans="1:14">
      <c r="A852" s="1" t="s">
        <v>700</v>
      </c>
      <c r="B852" s="1">
        <v>63</v>
      </c>
      <c r="C852" s="1">
        <v>1</v>
      </c>
      <c r="D852" s="1">
        <v>4</v>
      </c>
      <c r="E852" s="1" t="s">
        <v>1076</v>
      </c>
      <c r="F852" s="1" t="s">
        <v>1110</v>
      </c>
      <c r="G852" s="7" t="str">
        <f>_xlfn.XLOOKUP(Order_Details[[#This Row],[Order ID]], List_of_orders[Order ID], List_of_orders[State])</f>
        <v>Rajasthan</v>
      </c>
      <c r="H852" s="10">
        <f>_xlfn.XLOOKUP(Order_Details[[#This Row],[Order ID]], List_of_orders[Order ID], List_of_orders[Order Date (Clean)])</f>
        <v>43432</v>
      </c>
      <c r="I852" s="7" t="str">
        <f>_xlfn.XLOOKUP(Order_Details[[#This Row],[Order ID]], List_of_orders[Order ID], List_of_orders[CustomerName])</f>
        <v>Brijesh</v>
      </c>
      <c r="J852" s="7" t="str">
        <f>_xlfn.XLOOKUP(Order_Details[[#This Row],[Order ID]], List_of_orders[Order ID], List_of_orders[City])</f>
        <v>Udaipur</v>
      </c>
      <c r="K852" s="8" t="str">
        <f>TEXT(Order_Details[[#This Row],[Order Date]], "YY-MMM")</f>
        <v>18-Nov</v>
      </c>
      <c r="L852" s="11">
        <f>Order_Details[[#This Row],[Profit]]/Order_Details[[#This Row],[Amount]]</f>
        <v>1.5873015873015872E-2</v>
      </c>
      <c r="M852" s="8">
        <f>YEAR(Order_Details[[#This Row],[Order Date]])</f>
        <v>2018</v>
      </c>
      <c r="N852" s="8">
        <f>ROUNDUP(MONTH(Order_Details[[#This Row],[Order Date]])/3, 0)</f>
        <v>4</v>
      </c>
    </row>
    <row r="853" spans="1:14">
      <c r="A853" s="1" t="s">
        <v>700</v>
      </c>
      <c r="B853" s="1">
        <v>107</v>
      </c>
      <c r="C853" s="1">
        <v>37</v>
      </c>
      <c r="D853" s="1">
        <v>3</v>
      </c>
      <c r="E853" s="1" t="s">
        <v>1076</v>
      </c>
      <c r="F853" s="1" t="s">
        <v>1111</v>
      </c>
      <c r="G853" s="7" t="str">
        <f>_xlfn.XLOOKUP(Order_Details[[#This Row],[Order ID]], List_of_orders[Order ID], List_of_orders[State])</f>
        <v>Rajasthan</v>
      </c>
      <c r="H853" s="10">
        <f>_xlfn.XLOOKUP(Order_Details[[#This Row],[Order ID]], List_of_orders[Order ID], List_of_orders[Order Date (Clean)])</f>
        <v>43432</v>
      </c>
      <c r="I853" s="7" t="str">
        <f>_xlfn.XLOOKUP(Order_Details[[#This Row],[Order ID]], List_of_orders[Order ID], List_of_orders[CustomerName])</f>
        <v>Brijesh</v>
      </c>
      <c r="J853" s="7" t="str">
        <f>_xlfn.XLOOKUP(Order_Details[[#This Row],[Order ID]], List_of_orders[Order ID], List_of_orders[City])</f>
        <v>Udaipur</v>
      </c>
      <c r="K853" s="8" t="str">
        <f>TEXT(Order_Details[[#This Row],[Order Date]], "YY-MMM")</f>
        <v>18-Nov</v>
      </c>
      <c r="L853" s="11">
        <f>Order_Details[[#This Row],[Profit]]/Order_Details[[#This Row],[Amount]]</f>
        <v>0.34579439252336447</v>
      </c>
      <c r="M853" s="8">
        <f>YEAR(Order_Details[[#This Row],[Order Date]])</f>
        <v>2018</v>
      </c>
      <c r="N853" s="8">
        <f>ROUNDUP(MONTH(Order_Details[[#This Row],[Order Date]])/3, 0)</f>
        <v>4</v>
      </c>
    </row>
    <row r="854" spans="1:14">
      <c r="A854" s="1" t="s">
        <v>702</v>
      </c>
      <c r="B854" s="1">
        <v>83</v>
      </c>
      <c r="C854" s="1">
        <v>6</v>
      </c>
      <c r="D854" s="1">
        <v>6</v>
      </c>
      <c r="E854" s="1" t="s">
        <v>1076</v>
      </c>
      <c r="F854" s="1" t="s">
        <v>1111</v>
      </c>
      <c r="G854" s="7" t="str">
        <f>_xlfn.XLOOKUP(Order_Details[[#This Row],[Order ID]], List_of_orders[Order ID], List_of_orders[State])</f>
        <v>Uttar Pradesh</v>
      </c>
      <c r="H854" s="10">
        <f>_xlfn.XLOOKUP(Order_Details[[#This Row],[Order ID]], List_of_orders[Order ID], List_of_orders[Order Date (Clean)])</f>
        <v>43435</v>
      </c>
      <c r="I854" s="7" t="str">
        <f>_xlfn.XLOOKUP(Order_Details[[#This Row],[Order ID]], List_of_orders[Order ID], List_of_orders[CustomerName])</f>
        <v>Vedant</v>
      </c>
      <c r="J854" s="7" t="str">
        <f>_xlfn.XLOOKUP(Order_Details[[#This Row],[Order ID]], List_of_orders[Order ID], List_of_orders[City])</f>
        <v>Allahabad</v>
      </c>
      <c r="K854" s="8" t="str">
        <f>TEXT(Order_Details[[#This Row],[Order Date]], "YY-MMM")</f>
        <v>18-Dec</v>
      </c>
      <c r="L854" s="11">
        <f>Order_Details[[#This Row],[Profit]]/Order_Details[[#This Row],[Amount]]</f>
        <v>7.2289156626506021E-2</v>
      </c>
      <c r="M854" s="8">
        <f>YEAR(Order_Details[[#This Row],[Order Date]])</f>
        <v>2018</v>
      </c>
      <c r="N854" s="8">
        <f>ROUNDUP(MONTH(Order_Details[[#This Row],[Order Date]])/3, 0)</f>
        <v>4</v>
      </c>
    </row>
    <row r="855" spans="1:14">
      <c r="A855" s="1" t="s">
        <v>702</v>
      </c>
      <c r="B855" s="1">
        <v>2125</v>
      </c>
      <c r="C855" s="1">
        <v>234</v>
      </c>
      <c r="D855" s="1">
        <v>6</v>
      </c>
      <c r="E855" s="1" t="s">
        <v>1077</v>
      </c>
      <c r="F855" s="1" t="s">
        <v>1114</v>
      </c>
      <c r="G855" s="7" t="str">
        <f>_xlfn.XLOOKUP(Order_Details[[#This Row],[Order ID]], List_of_orders[Order ID], List_of_orders[State])</f>
        <v>Uttar Pradesh</v>
      </c>
      <c r="H855" s="10">
        <f>_xlfn.XLOOKUP(Order_Details[[#This Row],[Order ID]], List_of_orders[Order ID], List_of_orders[Order Date (Clean)])</f>
        <v>43435</v>
      </c>
      <c r="I855" s="7" t="str">
        <f>_xlfn.XLOOKUP(Order_Details[[#This Row],[Order ID]], List_of_orders[Order ID], List_of_orders[CustomerName])</f>
        <v>Vedant</v>
      </c>
      <c r="J855" s="7" t="str">
        <f>_xlfn.XLOOKUP(Order_Details[[#This Row],[Order ID]], List_of_orders[Order ID], List_of_orders[City])</f>
        <v>Allahabad</v>
      </c>
      <c r="K855" s="8" t="str">
        <f>TEXT(Order_Details[[#This Row],[Order Date]], "YY-MMM")</f>
        <v>18-Dec</v>
      </c>
      <c r="L855" s="11">
        <f>Order_Details[[#This Row],[Profit]]/Order_Details[[#This Row],[Amount]]</f>
        <v>0.11011764705882353</v>
      </c>
      <c r="M855" s="8">
        <f>YEAR(Order_Details[[#This Row],[Order Date]])</f>
        <v>2018</v>
      </c>
      <c r="N855" s="8">
        <f>ROUNDUP(MONTH(Order_Details[[#This Row],[Order Date]])/3, 0)</f>
        <v>4</v>
      </c>
    </row>
    <row r="856" spans="1:14">
      <c r="A856" s="1" t="s">
        <v>704</v>
      </c>
      <c r="B856" s="1">
        <v>18</v>
      </c>
      <c r="C856" s="1">
        <v>2</v>
      </c>
      <c r="D856" s="1">
        <v>3</v>
      </c>
      <c r="E856" s="1" t="s">
        <v>1076</v>
      </c>
      <c r="F856" s="1" t="s">
        <v>1103</v>
      </c>
      <c r="G856" s="7" t="str">
        <f>_xlfn.XLOOKUP(Order_Details[[#This Row],[Order ID]], List_of_orders[Order ID], List_of_orders[State])</f>
        <v>Punjab</v>
      </c>
      <c r="H856" s="10">
        <f>_xlfn.XLOOKUP(Order_Details[[#This Row],[Order ID]], List_of_orders[Order ID], List_of_orders[Order Date (Clean)])</f>
        <v>43436</v>
      </c>
      <c r="I856" s="7" t="str">
        <f>_xlfn.XLOOKUP(Order_Details[[#This Row],[Order ID]], List_of_orders[Order ID], List_of_orders[CustomerName])</f>
        <v>Rohan</v>
      </c>
      <c r="J856" s="7" t="str">
        <f>_xlfn.XLOOKUP(Order_Details[[#This Row],[Order ID]], List_of_orders[Order ID], List_of_orders[City])</f>
        <v>Amritsar</v>
      </c>
      <c r="K856" s="8" t="str">
        <f>TEXT(Order_Details[[#This Row],[Order Date]], "YY-MMM")</f>
        <v>18-Dec</v>
      </c>
      <c r="L856" s="11">
        <f>Order_Details[[#This Row],[Profit]]/Order_Details[[#This Row],[Amount]]</f>
        <v>0.1111111111111111</v>
      </c>
      <c r="M856" s="8">
        <f>YEAR(Order_Details[[#This Row],[Order Date]])</f>
        <v>2018</v>
      </c>
      <c r="N856" s="8">
        <f>ROUNDUP(MONTH(Order_Details[[#This Row],[Order Date]])/3, 0)</f>
        <v>4</v>
      </c>
    </row>
    <row r="857" spans="1:14">
      <c r="A857" s="1" t="s">
        <v>704</v>
      </c>
      <c r="B857" s="1">
        <v>223</v>
      </c>
      <c r="C857" s="1">
        <v>4</v>
      </c>
      <c r="D857" s="1">
        <v>3</v>
      </c>
      <c r="E857" s="1" t="s">
        <v>1077</v>
      </c>
      <c r="F857" s="1" t="s">
        <v>1105</v>
      </c>
      <c r="G857" s="7" t="str">
        <f>_xlfn.XLOOKUP(Order_Details[[#This Row],[Order ID]], List_of_orders[Order ID], List_of_orders[State])</f>
        <v>Punjab</v>
      </c>
      <c r="H857" s="10">
        <f>_xlfn.XLOOKUP(Order_Details[[#This Row],[Order ID]], List_of_orders[Order ID], List_of_orders[Order Date (Clean)])</f>
        <v>43436</v>
      </c>
      <c r="I857" s="7" t="str">
        <f>_xlfn.XLOOKUP(Order_Details[[#This Row],[Order ID]], List_of_orders[Order ID], List_of_orders[CustomerName])</f>
        <v>Rohan</v>
      </c>
      <c r="J857" s="7" t="str">
        <f>_xlfn.XLOOKUP(Order_Details[[#This Row],[Order ID]], List_of_orders[Order ID], List_of_orders[City])</f>
        <v>Amritsar</v>
      </c>
      <c r="K857" s="8" t="str">
        <f>TEXT(Order_Details[[#This Row],[Order Date]], "YY-MMM")</f>
        <v>18-Dec</v>
      </c>
      <c r="L857" s="11">
        <f>Order_Details[[#This Row],[Profit]]/Order_Details[[#This Row],[Amount]]</f>
        <v>1.7937219730941704E-2</v>
      </c>
      <c r="M857" s="8">
        <f>YEAR(Order_Details[[#This Row],[Order Date]])</f>
        <v>2018</v>
      </c>
      <c r="N857" s="8">
        <f>ROUNDUP(MONTH(Order_Details[[#This Row],[Order Date]])/3, 0)</f>
        <v>4</v>
      </c>
    </row>
    <row r="858" spans="1:14">
      <c r="A858" s="1" t="s">
        <v>704</v>
      </c>
      <c r="B858" s="1">
        <v>646</v>
      </c>
      <c r="C858" s="1">
        <v>213</v>
      </c>
      <c r="D858" s="1">
        <v>3</v>
      </c>
      <c r="E858" s="1" t="s">
        <v>1077</v>
      </c>
      <c r="F858" s="1" t="s">
        <v>1104</v>
      </c>
      <c r="G858" s="7" t="str">
        <f>_xlfn.XLOOKUP(Order_Details[[#This Row],[Order ID]], List_of_orders[Order ID], List_of_orders[State])</f>
        <v>Punjab</v>
      </c>
      <c r="H858" s="10">
        <f>_xlfn.XLOOKUP(Order_Details[[#This Row],[Order ID]], List_of_orders[Order ID], List_of_orders[Order Date (Clean)])</f>
        <v>43436</v>
      </c>
      <c r="I858" s="7" t="str">
        <f>_xlfn.XLOOKUP(Order_Details[[#This Row],[Order ID]], List_of_orders[Order ID], List_of_orders[CustomerName])</f>
        <v>Rohan</v>
      </c>
      <c r="J858" s="7" t="str">
        <f>_xlfn.XLOOKUP(Order_Details[[#This Row],[Order ID]], List_of_orders[Order ID], List_of_orders[City])</f>
        <v>Amritsar</v>
      </c>
      <c r="K858" s="8" t="str">
        <f>TEXT(Order_Details[[#This Row],[Order Date]], "YY-MMM")</f>
        <v>18-Dec</v>
      </c>
      <c r="L858" s="11">
        <f>Order_Details[[#This Row],[Profit]]/Order_Details[[#This Row],[Amount]]</f>
        <v>0.32972136222910214</v>
      </c>
      <c r="M858" s="8">
        <f>YEAR(Order_Details[[#This Row],[Order Date]])</f>
        <v>2018</v>
      </c>
      <c r="N858" s="8">
        <f>ROUNDUP(MONTH(Order_Details[[#This Row],[Order Date]])/3, 0)</f>
        <v>4</v>
      </c>
    </row>
    <row r="859" spans="1:14">
      <c r="A859" s="1" t="s">
        <v>705</v>
      </c>
      <c r="B859" s="1">
        <v>31</v>
      </c>
      <c r="C859" s="1">
        <v>10</v>
      </c>
      <c r="D859" s="1">
        <v>1</v>
      </c>
      <c r="E859" s="1" t="s">
        <v>1076</v>
      </c>
      <c r="F859" s="1" t="s">
        <v>1109</v>
      </c>
      <c r="G859" s="7" t="str">
        <f>_xlfn.XLOOKUP(Order_Details[[#This Row],[Order ID]], List_of_orders[Order ID], List_of_orders[State])</f>
        <v>Gujarat</v>
      </c>
      <c r="H859" s="10">
        <f>_xlfn.XLOOKUP(Order_Details[[#This Row],[Order ID]], List_of_orders[Order ID], List_of_orders[Order Date (Clean)])</f>
        <v>43437</v>
      </c>
      <c r="I859" s="7" t="str">
        <f>_xlfn.XLOOKUP(Order_Details[[#This Row],[Order ID]], List_of_orders[Order ID], List_of_orders[CustomerName])</f>
        <v>Abhishek</v>
      </c>
      <c r="J859" s="7" t="str">
        <f>_xlfn.XLOOKUP(Order_Details[[#This Row],[Order ID]], List_of_orders[Order ID], List_of_orders[City])</f>
        <v>Surat</v>
      </c>
      <c r="K859" s="8" t="str">
        <f>TEXT(Order_Details[[#This Row],[Order Date]], "YY-MMM")</f>
        <v>18-Dec</v>
      </c>
      <c r="L859" s="11">
        <f>Order_Details[[#This Row],[Profit]]/Order_Details[[#This Row],[Amount]]</f>
        <v>0.32258064516129031</v>
      </c>
      <c r="M859" s="8">
        <f>YEAR(Order_Details[[#This Row],[Order Date]])</f>
        <v>2018</v>
      </c>
      <c r="N859" s="8">
        <f>ROUNDUP(MONTH(Order_Details[[#This Row],[Order Date]])/3, 0)</f>
        <v>4</v>
      </c>
    </row>
    <row r="860" spans="1:14">
      <c r="A860" s="1" t="s">
        <v>705</v>
      </c>
      <c r="B860" s="1">
        <v>119</v>
      </c>
      <c r="C860" s="1">
        <v>43</v>
      </c>
      <c r="D860" s="1">
        <v>7</v>
      </c>
      <c r="E860" s="1" t="s">
        <v>1076</v>
      </c>
      <c r="F860" s="1" t="s">
        <v>1109</v>
      </c>
      <c r="G860" s="7" t="str">
        <f>_xlfn.XLOOKUP(Order_Details[[#This Row],[Order ID]], List_of_orders[Order ID], List_of_orders[State])</f>
        <v>Gujarat</v>
      </c>
      <c r="H860" s="10">
        <f>_xlfn.XLOOKUP(Order_Details[[#This Row],[Order ID]], List_of_orders[Order ID], List_of_orders[Order Date (Clean)])</f>
        <v>43437</v>
      </c>
      <c r="I860" s="7" t="str">
        <f>_xlfn.XLOOKUP(Order_Details[[#This Row],[Order ID]], List_of_orders[Order ID], List_of_orders[CustomerName])</f>
        <v>Abhishek</v>
      </c>
      <c r="J860" s="7" t="str">
        <f>_xlfn.XLOOKUP(Order_Details[[#This Row],[Order ID]], List_of_orders[Order ID], List_of_orders[City])</f>
        <v>Surat</v>
      </c>
      <c r="K860" s="8" t="str">
        <f>TEXT(Order_Details[[#This Row],[Order Date]], "YY-MMM")</f>
        <v>18-Dec</v>
      </c>
      <c r="L860" s="11">
        <f>Order_Details[[#This Row],[Profit]]/Order_Details[[#This Row],[Amount]]</f>
        <v>0.36134453781512604</v>
      </c>
      <c r="M860" s="8">
        <f>YEAR(Order_Details[[#This Row],[Order Date]])</f>
        <v>2018</v>
      </c>
      <c r="N860" s="8">
        <f>ROUNDUP(MONTH(Order_Details[[#This Row],[Order Date]])/3, 0)</f>
        <v>4</v>
      </c>
    </row>
    <row r="861" spans="1:14">
      <c r="A861" s="1" t="s">
        <v>705</v>
      </c>
      <c r="B861" s="1">
        <v>114</v>
      </c>
      <c r="C861" s="1">
        <v>11</v>
      </c>
      <c r="D861" s="1">
        <v>4</v>
      </c>
      <c r="E861" s="1" t="s">
        <v>1076</v>
      </c>
      <c r="F861" s="1" t="s">
        <v>1110</v>
      </c>
      <c r="G861" s="7" t="str">
        <f>_xlfn.XLOOKUP(Order_Details[[#This Row],[Order ID]], List_of_orders[Order ID], List_of_orders[State])</f>
        <v>Gujarat</v>
      </c>
      <c r="H861" s="10">
        <f>_xlfn.XLOOKUP(Order_Details[[#This Row],[Order ID]], List_of_orders[Order ID], List_of_orders[Order Date (Clean)])</f>
        <v>43437</v>
      </c>
      <c r="I861" s="7" t="str">
        <f>_xlfn.XLOOKUP(Order_Details[[#This Row],[Order ID]], List_of_orders[Order ID], List_of_orders[CustomerName])</f>
        <v>Abhishek</v>
      </c>
      <c r="J861" s="7" t="str">
        <f>_xlfn.XLOOKUP(Order_Details[[#This Row],[Order ID]], List_of_orders[Order ID], List_of_orders[City])</f>
        <v>Surat</v>
      </c>
      <c r="K861" s="8" t="str">
        <f>TEXT(Order_Details[[#This Row],[Order Date]], "YY-MMM")</f>
        <v>18-Dec</v>
      </c>
      <c r="L861" s="11">
        <f>Order_Details[[#This Row],[Profit]]/Order_Details[[#This Row],[Amount]]</f>
        <v>9.6491228070175433E-2</v>
      </c>
      <c r="M861" s="8">
        <f>YEAR(Order_Details[[#This Row],[Order Date]])</f>
        <v>2018</v>
      </c>
      <c r="N861" s="8">
        <f>ROUNDUP(MONTH(Order_Details[[#This Row],[Order Date]])/3, 0)</f>
        <v>4</v>
      </c>
    </row>
    <row r="862" spans="1:14">
      <c r="A862" s="1" t="s">
        <v>706</v>
      </c>
      <c r="B862" s="1">
        <v>465</v>
      </c>
      <c r="C862" s="1">
        <v>207</v>
      </c>
      <c r="D862" s="1">
        <v>9</v>
      </c>
      <c r="E862" s="1" t="s">
        <v>1076</v>
      </c>
      <c r="F862" s="1" t="s">
        <v>1106</v>
      </c>
      <c r="G862" s="7" t="str">
        <f>_xlfn.XLOOKUP(Order_Details[[#This Row],[Order ID]], List_of_orders[Order ID], List_of_orders[State])</f>
        <v>Maharashtra</v>
      </c>
      <c r="H862" s="10">
        <f>_xlfn.XLOOKUP(Order_Details[[#This Row],[Order ID]], List_of_orders[Order ID], List_of_orders[Order Date (Clean)])</f>
        <v>43438</v>
      </c>
      <c r="I862" s="7" t="str">
        <f>_xlfn.XLOOKUP(Order_Details[[#This Row],[Order ID]], List_of_orders[Order ID], List_of_orders[CustomerName])</f>
        <v>Divyansha</v>
      </c>
      <c r="J862" s="7" t="str">
        <f>_xlfn.XLOOKUP(Order_Details[[#This Row],[Order ID]], List_of_orders[Order ID], List_of_orders[City])</f>
        <v>Mumbai</v>
      </c>
      <c r="K862" s="8" t="str">
        <f>TEXT(Order_Details[[#This Row],[Order Date]], "YY-MMM")</f>
        <v>18-Dec</v>
      </c>
      <c r="L862" s="11">
        <f>Order_Details[[#This Row],[Profit]]/Order_Details[[#This Row],[Amount]]</f>
        <v>0.44516129032258067</v>
      </c>
      <c r="M862" s="8">
        <f>YEAR(Order_Details[[#This Row],[Order Date]])</f>
        <v>2018</v>
      </c>
      <c r="N862" s="8">
        <f>ROUNDUP(MONTH(Order_Details[[#This Row],[Order Date]])/3, 0)</f>
        <v>4</v>
      </c>
    </row>
    <row r="863" spans="1:14">
      <c r="A863" s="1" t="s">
        <v>708</v>
      </c>
      <c r="B863" s="1">
        <v>25</v>
      </c>
      <c r="C863" s="1">
        <v>2</v>
      </c>
      <c r="D863" s="1">
        <v>2</v>
      </c>
      <c r="E863" s="1" t="s">
        <v>1076</v>
      </c>
      <c r="F863" s="1" t="s">
        <v>1103</v>
      </c>
      <c r="G863" s="7" t="str">
        <f>_xlfn.XLOOKUP(Order_Details[[#This Row],[Order ID]], List_of_orders[Order ID], List_of_orders[State])</f>
        <v>Madhya Pradesh</v>
      </c>
      <c r="H863" s="10">
        <f>_xlfn.XLOOKUP(Order_Details[[#This Row],[Order ID]], List_of_orders[Order ID], List_of_orders[Order Date (Clean)])</f>
        <v>43438</v>
      </c>
      <c r="I863" s="7" t="str">
        <f>_xlfn.XLOOKUP(Order_Details[[#This Row],[Order ID]], List_of_orders[Order ID], List_of_orders[CustomerName])</f>
        <v>Shivani</v>
      </c>
      <c r="J863" s="7" t="str">
        <f>_xlfn.XLOOKUP(Order_Details[[#This Row],[Order ID]], List_of_orders[Order ID], List_of_orders[City])</f>
        <v>Indore</v>
      </c>
      <c r="K863" s="8" t="str">
        <f>TEXT(Order_Details[[#This Row],[Order Date]], "YY-MMM")</f>
        <v>18-Dec</v>
      </c>
      <c r="L863" s="11">
        <f>Order_Details[[#This Row],[Profit]]/Order_Details[[#This Row],[Amount]]</f>
        <v>0.08</v>
      </c>
      <c r="M863" s="8">
        <f>YEAR(Order_Details[[#This Row],[Order Date]])</f>
        <v>2018</v>
      </c>
      <c r="N863" s="8">
        <f>ROUNDUP(MONTH(Order_Details[[#This Row],[Order Date]])/3, 0)</f>
        <v>4</v>
      </c>
    </row>
    <row r="864" spans="1:14">
      <c r="A864" s="1" t="s">
        <v>708</v>
      </c>
      <c r="B864" s="1">
        <v>97</v>
      </c>
      <c r="C864" s="1">
        <v>36</v>
      </c>
      <c r="D864" s="1">
        <v>7</v>
      </c>
      <c r="E864" s="1" t="s">
        <v>1076</v>
      </c>
      <c r="F864" s="1" t="s">
        <v>1103</v>
      </c>
      <c r="G864" s="7" t="str">
        <f>_xlfn.XLOOKUP(Order_Details[[#This Row],[Order ID]], List_of_orders[Order ID], List_of_orders[State])</f>
        <v>Madhya Pradesh</v>
      </c>
      <c r="H864" s="10">
        <f>_xlfn.XLOOKUP(Order_Details[[#This Row],[Order ID]], List_of_orders[Order ID], List_of_orders[Order Date (Clean)])</f>
        <v>43438</v>
      </c>
      <c r="I864" s="7" t="str">
        <f>_xlfn.XLOOKUP(Order_Details[[#This Row],[Order ID]], List_of_orders[Order ID], List_of_orders[CustomerName])</f>
        <v>Shivani</v>
      </c>
      <c r="J864" s="7" t="str">
        <f>_xlfn.XLOOKUP(Order_Details[[#This Row],[Order ID]], List_of_orders[Order ID], List_of_orders[City])</f>
        <v>Indore</v>
      </c>
      <c r="K864" s="8" t="str">
        <f>TEXT(Order_Details[[#This Row],[Order Date]], "YY-MMM")</f>
        <v>18-Dec</v>
      </c>
      <c r="L864" s="11">
        <f>Order_Details[[#This Row],[Profit]]/Order_Details[[#This Row],[Amount]]</f>
        <v>0.37113402061855671</v>
      </c>
      <c r="M864" s="8">
        <f>YEAR(Order_Details[[#This Row],[Order Date]])</f>
        <v>2018</v>
      </c>
      <c r="N864" s="8">
        <f>ROUNDUP(MONTH(Order_Details[[#This Row],[Order Date]])/3, 0)</f>
        <v>4</v>
      </c>
    </row>
    <row r="865" spans="1:14">
      <c r="A865" s="1" t="s">
        <v>708</v>
      </c>
      <c r="B865" s="1">
        <v>121</v>
      </c>
      <c r="C865" s="1">
        <v>41</v>
      </c>
      <c r="D865" s="1">
        <v>4</v>
      </c>
      <c r="E865" s="1" t="s">
        <v>1076</v>
      </c>
      <c r="F865" s="1" t="s">
        <v>1102</v>
      </c>
      <c r="G865" s="7" t="str">
        <f>_xlfn.XLOOKUP(Order_Details[[#This Row],[Order ID]], List_of_orders[Order ID], List_of_orders[State])</f>
        <v>Madhya Pradesh</v>
      </c>
      <c r="H865" s="10">
        <f>_xlfn.XLOOKUP(Order_Details[[#This Row],[Order ID]], List_of_orders[Order ID], List_of_orders[Order Date (Clean)])</f>
        <v>43438</v>
      </c>
      <c r="I865" s="7" t="str">
        <f>_xlfn.XLOOKUP(Order_Details[[#This Row],[Order ID]], List_of_orders[Order ID], List_of_orders[CustomerName])</f>
        <v>Shivani</v>
      </c>
      <c r="J865" s="7" t="str">
        <f>_xlfn.XLOOKUP(Order_Details[[#This Row],[Order ID]], List_of_orders[Order ID], List_of_orders[City])</f>
        <v>Indore</v>
      </c>
      <c r="K865" s="8" t="str">
        <f>TEXT(Order_Details[[#This Row],[Order Date]], "YY-MMM")</f>
        <v>18-Dec</v>
      </c>
      <c r="L865" s="11">
        <f>Order_Details[[#This Row],[Profit]]/Order_Details[[#This Row],[Amount]]</f>
        <v>0.33884297520661155</v>
      </c>
      <c r="M865" s="8">
        <f>YEAR(Order_Details[[#This Row],[Order Date]])</f>
        <v>2018</v>
      </c>
      <c r="N865" s="8">
        <f>ROUNDUP(MONTH(Order_Details[[#This Row],[Order Date]])/3, 0)</f>
        <v>4</v>
      </c>
    </row>
    <row r="866" spans="1:14">
      <c r="A866" s="1" t="s">
        <v>709</v>
      </c>
      <c r="B866" s="1">
        <v>139</v>
      </c>
      <c r="C866" s="1">
        <v>30</v>
      </c>
      <c r="D866" s="1">
        <v>3</v>
      </c>
      <c r="E866" s="1" t="s">
        <v>1076</v>
      </c>
      <c r="F866" s="1" t="s">
        <v>1111</v>
      </c>
      <c r="G866" s="7" t="str">
        <f>_xlfn.XLOOKUP(Order_Details[[#This Row],[Order ID]], List_of_orders[Order ID], List_of_orders[State])</f>
        <v>Rajasthan</v>
      </c>
      <c r="H866" s="10">
        <f>_xlfn.XLOOKUP(Order_Details[[#This Row],[Order ID]], List_of_orders[Order ID], List_of_orders[Order Date (Clean)])</f>
        <v>43438</v>
      </c>
      <c r="I866" s="7" t="str">
        <f>_xlfn.XLOOKUP(Order_Details[[#This Row],[Order ID]], List_of_orders[Order ID], List_of_orders[CustomerName])</f>
        <v>Aditi</v>
      </c>
      <c r="J866" s="7" t="str">
        <f>_xlfn.XLOOKUP(Order_Details[[#This Row],[Order ID]], List_of_orders[Order ID], List_of_orders[City])</f>
        <v>Udaipur</v>
      </c>
      <c r="K866" s="8" t="str">
        <f>TEXT(Order_Details[[#This Row],[Order Date]], "YY-MMM")</f>
        <v>18-Dec</v>
      </c>
      <c r="L866" s="11">
        <f>Order_Details[[#This Row],[Profit]]/Order_Details[[#This Row],[Amount]]</f>
        <v>0.21582733812949639</v>
      </c>
      <c r="M866" s="8">
        <f>YEAR(Order_Details[[#This Row],[Order Date]])</f>
        <v>2018</v>
      </c>
      <c r="N866" s="8">
        <f>ROUNDUP(MONTH(Order_Details[[#This Row],[Order Date]])/3, 0)</f>
        <v>4</v>
      </c>
    </row>
    <row r="867" spans="1:14">
      <c r="A867" s="1" t="s">
        <v>710</v>
      </c>
      <c r="B867" s="1">
        <v>355</v>
      </c>
      <c r="C867" s="1">
        <v>114</v>
      </c>
      <c r="D867" s="1">
        <v>7</v>
      </c>
      <c r="E867" s="1" t="s">
        <v>1076</v>
      </c>
      <c r="F867" s="1" t="s">
        <v>1102</v>
      </c>
      <c r="G867" s="7" t="str">
        <f>_xlfn.XLOOKUP(Order_Details[[#This Row],[Order ID]], List_of_orders[Order ID], List_of_orders[State])</f>
        <v>Uttar Pradesh</v>
      </c>
      <c r="H867" s="10">
        <f>_xlfn.XLOOKUP(Order_Details[[#This Row],[Order ID]], List_of_orders[Order ID], List_of_orders[Order Date (Clean)])</f>
        <v>43438</v>
      </c>
      <c r="I867" s="7" t="str">
        <f>_xlfn.XLOOKUP(Order_Details[[#This Row],[Order ID]], List_of_orders[Order ID], List_of_orders[CustomerName])</f>
        <v>Aashna</v>
      </c>
      <c r="J867" s="7" t="str">
        <f>_xlfn.XLOOKUP(Order_Details[[#This Row],[Order ID]], List_of_orders[Order ID], List_of_orders[City])</f>
        <v>Allahabad</v>
      </c>
      <c r="K867" s="8" t="str">
        <f>TEXT(Order_Details[[#This Row],[Order Date]], "YY-MMM")</f>
        <v>18-Dec</v>
      </c>
      <c r="L867" s="11">
        <f>Order_Details[[#This Row],[Profit]]/Order_Details[[#This Row],[Amount]]</f>
        <v>0.3211267605633803</v>
      </c>
      <c r="M867" s="8">
        <f>YEAR(Order_Details[[#This Row],[Order Date]])</f>
        <v>2018</v>
      </c>
      <c r="N867" s="8">
        <f>ROUNDUP(MONTH(Order_Details[[#This Row],[Order Date]])/3, 0)</f>
        <v>4</v>
      </c>
    </row>
    <row r="868" spans="1:14">
      <c r="A868" s="1" t="s">
        <v>710</v>
      </c>
      <c r="B868" s="1">
        <v>61</v>
      </c>
      <c r="C868" s="1">
        <v>11</v>
      </c>
      <c r="D868" s="1">
        <v>3</v>
      </c>
      <c r="E868" s="1" t="s">
        <v>1076</v>
      </c>
      <c r="F868" s="1" t="s">
        <v>1109</v>
      </c>
      <c r="G868" s="7" t="str">
        <f>_xlfn.XLOOKUP(Order_Details[[#This Row],[Order ID]], List_of_orders[Order ID], List_of_orders[State])</f>
        <v>Uttar Pradesh</v>
      </c>
      <c r="H868" s="10">
        <f>_xlfn.XLOOKUP(Order_Details[[#This Row],[Order ID]], List_of_orders[Order ID], List_of_orders[Order Date (Clean)])</f>
        <v>43438</v>
      </c>
      <c r="I868" s="7" t="str">
        <f>_xlfn.XLOOKUP(Order_Details[[#This Row],[Order ID]], List_of_orders[Order ID], List_of_orders[CustomerName])</f>
        <v>Aashna</v>
      </c>
      <c r="J868" s="7" t="str">
        <f>_xlfn.XLOOKUP(Order_Details[[#This Row],[Order ID]], List_of_orders[Order ID], List_of_orders[City])</f>
        <v>Allahabad</v>
      </c>
      <c r="K868" s="8" t="str">
        <f>TEXT(Order_Details[[#This Row],[Order Date]], "YY-MMM")</f>
        <v>18-Dec</v>
      </c>
      <c r="L868" s="11">
        <f>Order_Details[[#This Row],[Profit]]/Order_Details[[#This Row],[Amount]]</f>
        <v>0.18032786885245902</v>
      </c>
      <c r="M868" s="8">
        <f>YEAR(Order_Details[[#This Row],[Order Date]])</f>
        <v>2018</v>
      </c>
      <c r="N868" s="8">
        <f>ROUNDUP(MONTH(Order_Details[[#This Row],[Order Date]])/3, 0)</f>
        <v>4</v>
      </c>
    </row>
    <row r="869" spans="1:14">
      <c r="A869" s="1" t="s">
        <v>710</v>
      </c>
      <c r="B869" s="1">
        <v>149</v>
      </c>
      <c r="C869" s="1">
        <v>15</v>
      </c>
      <c r="D869" s="1">
        <v>3</v>
      </c>
      <c r="E869" s="1" t="s">
        <v>1076</v>
      </c>
      <c r="F869" s="1" t="s">
        <v>1106</v>
      </c>
      <c r="G869" s="7" t="str">
        <f>_xlfn.XLOOKUP(Order_Details[[#This Row],[Order ID]], List_of_orders[Order ID], List_of_orders[State])</f>
        <v>Uttar Pradesh</v>
      </c>
      <c r="H869" s="10">
        <f>_xlfn.XLOOKUP(Order_Details[[#This Row],[Order ID]], List_of_orders[Order ID], List_of_orders[Order Date (Clean)])</f>
        <v>43438</v>
      </c>
      <c r="I869" s="7" t="str">
        <f>_xlfn.XLOOKUP(Order_Details[[#This Row],[Order ID]], List_of_orders[Order ID], List_of_orders[CustomerName])</f>
        <v>Aashna</v>
      </c>
      <c r="J869" s="7" t="str">
        <f>_xlfn.XLOOKUP(Order_Details[[#This Row],[Order ID]], List_of_orders[Order ID], List_of_orders[City])</f>
        <v>Allahabad</v>
      </c>
      <c r="K869" s="8" t="str">
        <f>TEXT(Order_Details[[#This Row],[Order Date]], "YY-MMM")</f>
        <v>18-Dec</v>
      </c>
      <c r="L869" s="11">
        <f>Order_Details[[#This Row],[Profit]]/Order_Details[[#This Row],[Amount]]</f>
        <v>0.10067114093959731</v>
      </c>
      <c r="M869" s="8">
        <f>YEAR(Order_Details[[#This Row],[Order Date]])</f>
        <v>2018</v>
      </c>
      <c r="N869" s="8">
        <f>ROUNDUP(MONTH(Order_Details[[#This Row],[Order Date]])/3, 0)</f>
        <v>4</v>
      </c>
    </row>
    <row r="870" spans="1:14">
      <c r="A870" s="1" t="s">
        <v>710</v>
      </c>
      <c r="B870" s="1">
        <v>688</v>
      </c>
      <c r="C870" s="1">
        <v>103</v>
      </c>
      <c r="D870" s="1">
        <v>6</v>
      </c>
      <c r="E870" s="1" t="s">
        <v>1077</v>
      </c>
      <c r="F870" s="1" t="s">
        <v>1115</v>
      </c>
      <c r="G870" s="7" t="str">
        <f>_xlfn.XLOOKUP(Order_Details[[#This Row],[Order ID]], List_of_orders[Order ID], List_of_orders[State])</f>
        <v>Uttar Pradesh</v>
      </c>
      <c r="H870" s="10">
        <f>_xlfn.XLOOKUP(Order_Details[[#This Row],[Order ID]], List_of_orders[Order ID], List_of_orders[Order Date (Clean)])</f>
        <v>43438</v>
      </c>
      <c r="I870" s="7" t="str">
        <f>_xlfn.XLOOKUP(Order_Details[[#This Row],[Order ID]], List_of_orders[Order ID], List_of_orders[CustomerName])</f>
        <v>Aashna</v>
      </c>
      <c r="J870" s="7" t="str">
        <f>_xlfn.XLOOKUP(Order_Details[[#This Row],[Order ID]], List_of_orders[Order ID], List_of_orders[City])</f>
        <v>Allahabad</v>
      </c>
      <c r="K870" s="8" t="str">
        <f>TEXT(Order_Details[[#This Row],[Order Date]], "YY-MMM")</f>
        <v>18-Dec</v>
      </c>
      <c r="L870" s="11">
        <f>Order_Details[[#This Row],[Profit]]/Order_Details[[#This Row],[Amount]]</f>
        <v>0.14970930232558138</v>
      </c>
      <c r="M870" s="8">
        <f>YEAR(Order_Details[[#This Row],[Order Date]])</f>
        <v>2018</v>
      </c>
      <c r="N870" s="8">
        <f>ROUNDUP(MONTH(Order_Details[[#This Row],[Order Date]])/3, 0)</f>
        <v>4</v>
      </c>
    </row>
    <row r="871" spans="1:14">
      <c r="A871" s="1" t="s">
        <v>710</v>
      </c>
      <c r="B871" s="1">
        <v>372</v>
      </c>
      <c r="C871" s="1">
        <v>59</v>
      </c>
      <c r="D871" s="1">
        <v>3</v>
      </c>
      <c r="E871" s="1" t="s">
        <v>1077</v>
      </c>
      <c r="F871" s="1" t="s">
        <v>1114</v>
      </c>
      <c r="G871" s="7" t="str">
        <f>_xlfn.XLOOKUP(Order_Details[[#This Row],[Order ID]], List_of_orders[Order ID], List_of_orders[State])</f>
        <v>Uttar Pradesh</v>
      </c>
      <c r="H871" s="10">
        <f>_xlfn.XLOOKUP(Order_Details[[#This Row],[Order ID]], List_of_orders[Order ID], List_of_orders[Order Date (Clean)])</f>
        <v>43438</v>
      </c>
      <c r="I871" s="7" t="str">
        <f>_xlfn.XLOOKUP(Order_Details[[#This Row],[Order ID]], List_of_orders[Order ID], List_of_orders[CustomerName])</f>
        <v>Aashna</v>
      </c>
      <c r="J871" s="7" t="str">
        <f>_xlfn.XLOOKUP(Order_Details[[#This Row],[Order ID]], List_of_orders[Order ID], List_of_orders[City])</f>
        <v>Allahabad</v>
      </c>
      <c r="K871" s="8" t="str">
        <f>TEXT(Order_Details[[#This Row],[Order Date]], "YY-MMM")</f>
        <v>18-Dec</v>
      </c>
      <c r="L871" s="11">
        <f>Order_Details[[#This Row],[Profit]]/Order_Details[[#This Row],[Amount]]</f>
        <v>0.15860215053763441</v>
      </c>
      <c r="M871" s="8">
        <f>YEAR(Order_Details[[#This Row],[Order Date]])</f>
        <v>2018</v>
      </c>
      <c r="N871" s="8">
        <f>ROUNDUP(MONTH(Order_Details[[#This Row],[Order Date]])/3, 0)</f>
        <v>4</v>
      </c>
    </row>
    <row r="872" spans="1:14">
      <c r="A872" s="1" t="s">
        <v>710</v>
      </c>
      <c r="B872" s="1">
        <v>223</v>
      </c>
      <c r="C872" s="1">
        <v>62</v>
      </c>
      <c r="D872" s="1">
        <v>7</v>
      </c>
      <c r="E872" s="1" t="s">
        <v>1076</v>
      </c>
      <c r="F872" s="1" t="s">
        <v>1111</v>
      </c>
      <c r="G872" s="7" t="str">
        <f>_xlfn.XLOOKUP(Order_Details[[#This Row],[Order ID]], List_of_orders[Order ID], List_of_orders[State])</f>
        <v>Uttar Pradesh</v>
      </c>
      <c r="H872" s="10">
        <f>_xlfn.XLOOKUP(Order_Details[[#This Row],[Order ID]], List_of_orders[Order ID], List_of_orders[Order Date (Clean)])</f>
        <v>43438</v>
      </c>
      <c r="I872" s="7" t="str">
        <f>_xlfn.XLOOKUP(Order_Details[[#This Row],[Order ID]], List_of_orders[Order ID], List_of_orders[CustomerName])</f>
        <v>Aashna</v>
      </c>
      <c r="J872" s="7" t="str">
        <f>_xlfn.XLOOKUP(Order_Details[[#This Row],[Order ID]], List_of_orders[Order ID], List_of_orders[City])</f>
        <v>Allahabad</v>
      </c>
      <c r="K872" s="8" t="str">
        <f>TEXT(Order_Details[[#This Row],[Order Date]], "YY-MMM")</f>
        <v>18-Dec</v>
      </c>
      <c r="L872" s="11">
        <f>Order_Details[[#This Row],[Profit]]/Order_Details[[#This Row],[Amount]]</f>
        <v>0.27802690582959644</v>
      </c>
      <c r="M872" s="8">
        <f>YEAR(Order_Details[[#This Row],[Order Date]])</f>
        <v>2018</v>
      </c>
      <c r="N872" s="8">
        <f>ROUNDUP(MONTH(Order_Details[[#This Row],[Order Date]])/3, 0)</f>
        <v>4</v>
      </c>
    </row>
    <row r="873" spans="1:14">
      <c r="A873" s="1" t="s">
        <v>710</v>
      </c>
      <c r="B873" s="1">
        <v>83</v>
      </c>
      <c r="C873" s="1">
        <v>12</v>
      </c>
      <c r="D873" s="1">
        <v>3</v>
      </c>
      <c r="E873" s="1" t="s">
        <v>1076</v>
      </c>
      <c r="F873" s="1" t="s">
        <v>1102</v>
      </c>
      <c r="G873" s="7" t="str">
        <f>_xlfn.XLOOKUP(Order_Details[[#This Row],[Order ID]], List_of_orders[Order ID], List_of_orders[State])</f>
        <v>Uttar Pradesh</v>
      </c>
      <c r="H873" s="10">
        <f>_xlfn.XLOOKUP(Order_Details[[#This Row],[Order ID]], List_of_orders[Order ID], List_of_orders[Order Date (Clean)])</f>
        <v>43438</v>
      </c>
      <c r="I873" s="7" t="str">
        <f>_xlfn.XLOOKUP(Order_Details[[#This Row],[Order ID]], List_of_orders[Order ID], List_of_orders[CustomerName])</f>
        <v>Aashna</v>
      </c>
      <c r="J873" s="7" t="str">
        <f>_xlfn.XLOOKUP(Order_Details[[#This Row],[Order ID]], List_of_orders[Order ID], List_of_orders[City])</f>
        <v>Allahabad</v>
      </c>
      <c r="K873" s="8" t="str">
        <f>TEXT(Order_Details[[#This Row],[Order Date]], "YY-MMM")</f>
        <v>18-Dec</v>
      </c>
      <c r="L873" s="11">
        <f>Order_Details[[#This Row],[Profit]]/Order_Details[[#This Row],[Amount]]</f>
        <v>0.14457831325301204</v>
      </c>
      <c r="M873" s="8">
        <f>YEAR(Order_Details[[#This Row],[Order Date]])</f>
        <v>2018</v>
      </c>
      <c r="N873" s="8">
        <f>ROUNDUP(MONTH(Order_Details[[#This Row],[Order Date]])/3, 0)</f>
        <v>4</v>
      </c>
    </row>
    <row r="874" spans="1:14">
      <c r="A874" s="1" t="s">
        <v>712</v>
      </c>
      <c r="B874" s="1">
        <v>1246</v>
      </c>
      <c r="C874" s="1">
        <v>62</v>
      </c>
      <c r="D874" s="1">
        <v>3</v>
      </c>
      <c r="E874" s="1" t="s">
        <v>1075</v>
      </c>
      <c r="F874" s="1" t="s">
        <v>1101</v>
      </c>
      <c r="G874" s="7" t="str">
        <f>_xlfn.XLOOKUP(Order_Details[[#This Row],[Order ID]], List_of_orders[Order ID], List_of_orders[State])</f>
        <v>Punjab</v>
      </c>
      <c r="H874" s="10">
        <f>_xlfn.XLOOKUP(Order_Details[[#This Row],[Order ID]], List_of_orders[Order ID], List_of_orders[Order Date (Clean)])</f>
        <v>43438</v>
      </c>
      <c r="I874" s="7" t="str">
        <f>_xlfn.XLOOKUP(Order_Details[[#This Row],[Order ID]], List_of_orders[Order ID], List_of_orders[CustomerName])</f>
        <v>Monu</v>
      </c>
      <c r="J874" s="7" t="str">
        <f>_xlfn.XLOOKUP(Order_Details[[#This Row],[Order ID]], List_of_orders[Order ID], List_of_orders[City])</f>
        <v>Amritsar</v>
      </c>
      <c r="K874" s="8" t="str">
        <f>TEXT(Order_Details[[#This Row],[Order Date]], "YY-MMM")</f>
        <v>18-Dec</v>
      </c>
      <c r="L874" s="11">
        <f>Order_Details[[#This Row],[Profit]]/Order_Details[[#This Row],[Amount]]</f>
        <v>4.9759229534510431E-2</v>
      </c>
      <c r="M874" s="8">
        <f>YEAR(Order_Details[[#This Row],[Order Date]])</f>
        <v>2018</v>
      </c>
      <c r="N874" s="8">
        <f>ROUNDUP(MONTH(Order_Details[[#This Row],[Order Date]])/3, 0)</f>
        <v>4</v>
      </c>
    </row>
    <row r="875" spans="1:14">
      <c r="A875" s="1" t="s">
        <v>714</v>
      </c>
      <c r="B875" s="1">
        <v>388</v>
      </c>
      <c r="C875" s="1">
        <v>93</v>
      </c>
      <c r="D875" s="1">
        <v>2</v>
      </c>
      <c r="E875" s="1" t="s">
        <v>1075</v>
      </c>
      <c r="F875" s="1" t="s">
        <v>1101</v>
      </c>
      <c r="G875" s="7" t="str">
        <f>_xlfn.XLOOKUP(Order_Details[[#This Row],[Order ID]], List_of_orders[Order ID], List_of_orders[State])</f>
        <v>Gujarat</v>
      </c>
      <c r="H875" s="10">
        <f>_xlfn.XLOOKUP(Order_Details[[#This Row],[Order ID]], List_of_orders[Order ID], List_of_orders[Order Date (Clean)])</f>
        <v>43438</v>
      </c>
      <c r="I875" s="7" t="str">
        <f>_xlfn.XLOOKUP(Order_Details[[#This Row],[Order ID]], List_of_orders[Order ID], List_of_orders[CustomerName])</f>
        <v>Sathya</v>
      </c>
      <c r="J875" s="7" t="str">
        <f>_xlfn.XLOOKUP(Order_Details[[#This Row],[Order ID]], List_of_orders[Order ID], List_of_orders[City])</f>
        <v>Surat</v>
      </c>
      <c r="K875" s="8" t="str">
        <f>TEXT(Order_Details[[#This Row],[Order Date]], "YY-MMM")</f>
        <v>18-Dec</v>
      </c>
      <c r="L875" s="11">
        <f>Order_Details[[#This Row],[Profit]]/Order_Details[[#This Row],[Amount]]</f>
        <v>0.23969072164948454</v>
      </c>
      <c r="M875" s="8">
        <f>YEAR(Order_Details[[#This Row],[Order Date]])</f>
        <v>2018</v>
      </c>
      <c r="N875" s="8">
        <f>ROUNDUP(MONTH(Order_Details[[#This Row],[Order Date]])/3, 0)</f>
        <v>4</v>
      </c>
    </row>
    <row r="876" spans="1:14">
      <c r="A876" s="1" t="s">
        <v>716</v>
      </c>
      <c r="B876" s="1">
        <v>31</v>
      </c>
      <c r="C876" s="1">
        <v>11</v>
      </c>
      <c r="D876" s="1">
        <v>3</v>
      </c>
      <c r="E876" s="1" t="s">
        <v>1076</v>
      </c>
      <c r="F876" s="1" t="s">
        <v>1117</v>
      </c>
      <c r="G876" s="7" t="str">
        <f>_xlfn.XLOOKUP(Order_Details[[#This Row],[Order ID]], List_of_orders[Order ID], List_of_orders[State])</f>
        <v>Maharashtra</v>
      </c>
      <c r="H876" s="10">
        <f>_xlfn.XLOOKUP(Order_Details[[#This Row],[Order ID]], List_of_orders[Order ID], List_of_orders[Order Date (Clean)])</f>
        <v>43439</v>
      </c>
      <c r="I876" s="7" t="str">
        <f>_xlfn.XLOOKUP(Order_Details[[#This Row],[Order ID]], List_of_orders[Order ID], List_of_orders[CustomerName])</f>
        <v>Aman</v>
      </c>
      <c r="J876" s="7" t="str">
        <f>_xlfn.XLOOKUP(Order_Details[[#This Row],[Order ID]], List_of_orders[Order ID], List_of_orders[City])</f>
        <v>Mumbai</v>
      </c>
      <c r="K876" s="8" t="str">
        <f>TEXT(Order_Details[[#This Row],[Order Date]], "YY-MMM")</f>
        <v>18-Dec</v>
      </c>
      <c r="L876" s="11">
        <f>Order_Details[[#This Row],[Profit]]/Order_Details[[#This Row],[Amount]]</f>
        <v>0.35483870967741937</v>
      </c>
      <c r="M876" s="8">
        <f>YEAR(Order_Details[[#This Row],[Order Date]])</f>
        <v>2018</v>
      </c>
      <c r="N876" s="8">
        <f>ROUNDUP(MONTH(Order_Details[[#This Row],[Order Date]])/3, 0)</f>
        <v>4</v>
      </c>
    </row>
    <row r="877" spans="1:14">
      <c r="A877" s="1" t="s">
        <v>716</v>
      </c>
      <c r="B877" s="1">
        <v>42</v>
      </c>
      <c r="C877" s="1">
        <v>7</v>
      </c>
      <c r="D877" s="1">
        <v>2</v>
      </c>
      <c r="E877" s="1" t="s">
        <v>1076</v>
      </c>
      <c r="F877" s="1" t="s">
        <v>1109</v>
      </c>
      <c r="G877" s="7" t="str">
        <f>_xlfn.XLOOKUP(Order_Details[[#This Row],[Order ID]], List_of_orders[Order ID], List_of_orders[State])</f>
        <v>Maharashtra</v>
      </c>
      <c r="H877" s="10">
        <f>_xlfn.XLOOKUP(Order_Details[[#This Row],[Order ID]], List_of_orders[Order ID], List_of_orders[Order Date (Clean)])</f>
        <v>43439</v>
      </c>
      <c r="I877" s="7" t="str">
        <f>_xlfn.XLOOKUP(Order_Details[[#This Row],[Order ID]], List_of_orders[Order ID], List_of_orders[CustomerName])</f>
        <v>Aman</v>
      </c>
      <c r="J877" s="7" t="str">
        <f>_xlfn.XLOOKUP(Order_Details[[#This Row],[Order ID]], List_of_orders[Order ID], List_of_orders[City])</f>
        <v>Mumbai</v>
      </c>
      <c r="K877" s="8" t="str">
        <f>TEXT(Order_Details[[#This Row],[Order Date]], "YY-MMM")</f>
        <v>18-Dec</v>
      </c>
      <c r="L877" s="11">
        <f>Order_Details[[#This Row],[Profit]]/Order_Details[[#This Row],[Amount]]</f>
        <v>0.16666666666666666</v>
      </c>
      <c r="M877" s="8">
        <f>YEAR(Order_Details[[#This Row],[Order Date]])</f>
        <v>2018</v>
      </c>
      <c r="N877" s="8">
        <f>ROUNDUP(MONTH(Order_Details[[#This Row],[Order Date]])/3, 0)</f>
        <v>4</v>
      </c>
    </row>
    <row r="878" spans="1:14">
      <c r="A878" s="1" t="s">
        <v>716</v>
      </c>
      <c r="B878" s="1">
        <v>190</v>
      </c>
      <c r="C878" s="1">
        <v>68</v>
      </c>
      <c r="D878" s="1">
        <v>8</v>
      </c>
      <c r="E878" s="1" t="s">
        <v>1076</v>
      </c>
      <c r="F878" s="1" t="s">
        <v>1110</v>
      </c>
      <c r="G878" s="7" t="str">
        <f>_xlfn.XLOOKUP(Order_Details[[#This Row],[Order ID]], List_of_orders[Order ID], List_of_orders[State])</f>
        <v>Maharashtra</v>
      </c>
      <c r="H878" s="10">
        <f>_xlfn.XLOOKUP(Order_Details[[#This Row],[Order ID]], List_of_orders[Order ID], List_of_orders[Order Date (Clean)])</f>
        <v>43439</v>
      </c>
      <c r="I878" s="7" t="str">
        <f>_xlfn.XLOOKUP(Order_Details[[#This Row],[Order ID]], List_of_orders[Order ID], List_of_orders[CustomerName])</f>
        <v>Aman</v>
      </c>
      <c r="J878" s="7" t="str">
        <f>_xlfn.XLOOKUP(Order_Details[[#This Row],[Order ID]], List_of_orders[Order ID], List_of_orders[City])</f>
        <v>Mumbai</v>
      </c>
      <c r="K878" s="8" t="str">
        <f>TEXT(Order_Details[[#This Row],[Order Date]], "YY-MMM")</f>
        <v>18-Dec</v>
      </c>
      <c r="L878" s="11">
        <f>Order_Details[[#This Row],[Profit]]/Order_Details[[#This Row],[Amount]]</f>
        <v>0.35789473684210527</v>
      </c>
      <c r="M878" s="8">
        <f>YEAR(Order_Details[[#This Row],[Order Date]])</f>
        <v>2018</v>
      </c>
      <c r="N878" s="8">
        <f>ROUNDUP(MONTH(Order_Details[[#This Row],[Order Date]])/3, 0)</f>
        <v>4</v>
      </c>
    </row>
    <row r="879" spans="1:14">
      <c r="A879" s="1" t="s">
        <v>716</v>
      </c>
      <c r="B879" s="1">
        <v>103</v>
      </c>
      <c r="C879" s="1">
        <v>36</v>
      </c>
      <c r="D879" s="1">
        <v>2</v>
      </c>
      <c r="E879" s="1" t="s">
        <v>1076</v>
      </c>
      <c r="F879" s="1" t="s">
        <v>1103</v>
      </c>
      <c r="G879" s="7" t="str">
        <f>_xlfn.XLOOKUP(Order_Details[[#This Row],[Order ID]], List_of_orders[Order ID], List_of_orders[State])</f>
        <v>Maharashtra</v>
      </c>
      <c r="H879" s="10">
        <f>_xlfn.XLOOKUP(Order_Details[[#This Row],[Order ID]], List_of_orders[Order ID], List_of_orders[Order Date (Clean)])</f>
        <v>43439</v>
      </c>
      <c r="I879" s="7" t="str">
        <f>_xlfn.XLOOKUP(Order_Details[[#This Row],[Order ID]], List_of_orders[Order ID], List_of_orders[CustomerName])</f>
        <v>Aman</v>
      </c>
      <c r="J879" s="7" t="str">
        <f>_xlfn.XLOOKUP(Order_Details[[#This Row],[Order ID]], List_of_orders[Order ID], List_of_orders[City])</f>
        <v>Mumbai</v>
      </c>
      <c r="K879" s="8" t="str">
        <f>TEXT(Order_Details[[#This Row],[Order Date]], "YY-MMM")</f>
        <v>18-Dec</v>
      </c>
      <c r="L879" s="11">
        <f>Order_Details[[#This Row],[Profit]]/Order_Details[[#This Row],[Amount]]</f>
        <v>0.34951456310679613</v>
      </c>
      <c r="M879" s="8">
        <f>YEAR(Order_Details[[#This Row],[Order Date]])</f>
        <v>2018</v>
      </c>
      <c r="N879" s="8">
        <f>ROUNDUP(MONTH(Order_Details[[#This Row],[Order Date]])/3, 0)</f>
        <v>4</v>
      </c>
    </row>
    <row r="880" spans="1:14">
      <c r="A880" s="1" t="s">
        <v>716</v>
      </c>
      <c r="B880" s="1">
        <v>287</v>
      </c>
      <c r="C880" s="1">
        <v>66</v>
      </c>
      <c r="D880" s="1">
        <v>6</v>
      </c>
      <c r="E880" s="1" t="s">
        <v>1076</v>
      </c>
      <c r="F880" s="1" t="s">
        <v>1109</v>
      </c>
      <c r="G880" s="7" t="str">
        <f>_xlfn.XLOOKUP(Order_Details[[#This Row],[Order ID]], List_of_orders[Order ID], List_of_orders[State])</f>
        <v>Maharashtra</v>
      </c>
      <c r="H880" s="10">
        <f>_xlfn.XLOOKUP(Order_Details[[#This Row],[Order ID]], List_of_orders[Order ID], List_of_orders[Order Date (Clean)])</f>
        <v>43439</v>
      </c>
      <c r="I880" s="7" t="str">
        <f>_xlfn.XLOOKUP(Order_Details[[#This Row],[Order ID]], List_of_orders[Order ID], List_of_orders[CustomerName])</f>
        <v>Aman</v>
      </c>
      <c r="J880" s="7" t="str">
        <f>_xlfn.XLOOKUP(Order_Details[[#This Row],[Order ID]], List_of_orders[Order ID], List_of_orders[City])</f>
        <v>Mumbai</v>
      </c>
      <c r="K880" s="8" t="str">
        <f>TEXT(Order_Details[[#This Row],[Order Date]], "YY-MMM")</f>
        <v>18-Dec</v>
      </c>
      <c r="L880" s="11">
        <f>Order_Details[[#This Row],[Profit]]/Order_Details[[#This Row],[Amount]]</f>
        <v>0.22996515679442509</v>
      </c>
      <c r="M880" s="8">
        <f>YEAR(Order_Details[[#This Row],[Order Date]])</f>
        <v>2018</v>
      </c>
      <c r="N880" s="8">
        <f>ROUNDUP(MONTH(Order_Details[[#This Row],[Order Date]])/3, 0)</f>
        <v>4</v>
      </c>
    </row>
    <row r="881" spans="1:14">
      <c r="A881" s="1" t="s">
        <v>716</v>
      </c>
      <c r="B881" s="1">
        <v>23</v>
      </c>
      <c r="C881" s="1">
        <v>4</v>
      </c>
      <c r="D881" s="1">
        <v>2</v>
      </c>
      <c r="E881" s="1" t="s">
        <v>1076</v>
      </c>
      <c r="F881" s="1" t="s">
        <v>1117</v>
      </c>
      <c r="G881" s="7" t="str">
        <f>_xlfn.XLOOKUP(Order_Details[[#This Row],[Order ID]], List_of_orders[Order ID], List_of_orders[State])</f>
        <v>Maharashtra</v>
      </c>
      <c r="H881" s="10">
        <f>_xlfn.XLOOKUP(Order_Details[[#This Row],[Order ID]], List_of_orders[Order ID], List_of_orders[Order Date (Clean)])</f>
        <v>43439</v>
      </c>
      <c r="I881" s="7" t="str">
        <f>_xlfn.XLOOKUP(Order_Details[[#This Row],[Order ID]], List_of_orders[Order ID], List_of_orders[CustomerName])</f>
        <v>Aman</v>
      </c>
      <c r="J881" s="7" t="str">
        <f>_xlfn.XLOOKUP(Order_Details[[#This Row],[Order ID]], List_of_orders[Order ID], List_of_orders[City])</f>
        <v>Mumbai</v>
      </c>
      <c r="K881" s="8" t="str">
        <f>TEXT(Order_Details[[#This Row],[Order Date]], "YY-MMM")</f>
        <v>18-Dec</v>
      </c>
      <c r="L881" s="11">
        <f>Order_Details[[#This Row],[Profit]]/Order_Details[[#This Row],[Amount]]</f>
        <v>0.17391304347826086</v>
      </c>
      <c r="M881" s="8">
        <f>YEAR(Order_Details[[#This Row],[Order Date]])</f>
        <v>2018</v>
      </c>
      <c r="N881" s="8">
        <f>ROUNDUP(MONTH(Order_Details[[#This Row],[Order Date]])/3, 0)</f>
        <v>4</v>
      </c>
    </row>
    <row r="882" spans="1:14">
      <c r="A882" s="1" t="s">
        <v>716</v>
      </c>
      <c r="B882" s="1">
        <v>79</v>
      </c>
      <c r="C882" s="1">
        <v>-2</v>
      </c>
      <c r="D882" s="1">
        <v>2</v>
      </c>
      <c r="E882" s="1" t="s">
        <v>1075</v>
      </c>
      <c r="F882" s="1" t="s">
        <v>1116</v>
      </c>
      <c r="G882" s="7" t="str">
        <f>_xlfn.XLOOKUP(Order_Details[[#This Row],[Order ID]], List_of_orders[Order ID], List_of_orders[State])</f>
        <v>Maharashtra</v>
      </c>
      <c r="H882" s="10">
        <f>_xlfn.XLOOKUP(Order_Details[[#This Row],[Order ID]], List_of_orders[Order ID], List_of_orders[Order Date (Clean)])</f>
        <v>43439</v>
      </c>
      <c r="I882" s="7" t="str">
        <f>_xlfn.XLOOKUP(Order_Details[[#This Row],[Order ID]], List_of_orders[Order ID], List_of_orders[CustomerName])</f>
        <v>Aman</v>
      </c>
      <c r="J882" s="7" t="str">
        <f>_xlfn.XLOOKUP(Order_Details[[#This Row],[Order ID]], List_of_orders[Order ID], List_of_orders[City])</f>
        <v>Mumbai</v>
      </c>
      <c r="K882" s="8" t="str">
        <f>TEXT(Order_Details[[#This Row],[Order Date]], "YY-MMM")</f>
        <v>18-Dec</v>
      </c>
      <c r="L882" s="11">
        <f>Order_Details[[#This Row],[Profit]]/Order_Details[[#This Row],[Amount]]</f>
        <v>-2.5316455696202531E-2</v>
      </c>
      <c r="M882" s="8">
        <f>YEAR(Order_Details[[#This Row],[Order Date]])</f>
        <v>2018</v>
      </c>
      <c r="N882" s="8">
        <f>ROUNDUP(MONTH(Order_Details[[#This Row],[Order Date]])/3, 0)</f>
        <v>4</v>
      </c>
    </row>
    <row r="883" spans="1:14">
      <c r="A883" s="1" t="s">
        <v>717</v>
      </c>
      <c r="B883" s="1">
        <v>43</v>
      </c>
      <c r="C883" s="1">
        <v>5</v>
      </c>
      <c r="D883" s="1">
        <v>3</v>
      </c>
      <c r="E883" s="1" t="s">
        <v>1076</v>
      </c>
      <c r="F883" s="1" t="s">
        <v>1102</v>
      </c>
      <c r="G883" s="7" t="str">
        <f>_xlfn.XLOOKUP(Order_Details[[#This Row],[Order ID]], List_of_orders[Order ID], List_of_orders[State])</f>
        <v>Madhya Pradesh</v>
      </c>
      <c r="H883" s="10">
        <f>_xlfn.XLOOKUP(Order_Details[[#This Row],[Order ID]], List_of_orders[Order ID], List_of_orders[Order Date (Clean)])</f>
        <v>43440</v>
      </c>
      <c r="I883" s="7" t="str">
        <f>_xlfn.XLOOKUP(Order_Details[[#This Row],[Order ID]], List_of_orders[Order ID], List_of_orders[CustomerName])</f>
        <v>Rohan</v>
      </c>
      <c r="J883" s="7" t="str">
        <f>_xlfn.XLOOKUP(Order_Details[[#This Row],[Order ID]], List_of_orders[Order ID], List_of_orders[City])</f>
        <v>Indore</v>
      </c>
      <c r="K883" s="8" t="str">
        <f>TEXT(Order_Details[[#This Row],[Order Date]], "YY-MMM")</f>
        <v>18-Dec</v>
      </c>
      <c r="L883" s="11">
        <f>Order_Details[[#This Row],[Profit]]/Order_Details[[#This Row],[Amount]]</f>
        <v>0.11627906976744186</v>
      </c>
      <c r="M883" s="8">
        <f>YEAR(Order_Details[[#This Row],[Order Date]])</f>
        <v>2018</v>
      </c>
      <c r="N883" s="8">
        <f>ROUNDUP(MONTH(Order_Details[[#This Row],[Order Date]])/3, 0)</f>
        <v>4</v>
      </c>
    </row>
    <row r="884" spans="1:14">
      <c r="A884" s="1" t="s">
        <v>717</v>
      </c>
      <c r="B884" s="1">
        <v>33</v>
      </c>
      <c r="C884" s="1">
        <v>10</v>
      </c>
      <c r="D884" s="1">
        <v>3</v>
      </c>
      <c r="E884" s="1" t="s">
        <v>1076</v>
      </c>
      <c r="F884" s="1" t="s">
        <v>1103</v>
      </c>
      <c r="G884" s="7" t="str">
        <f>_xlfn.XLOOKUP(Order_Details[[#This Row],[Order ID]], List_of_orders[Order ID], List_of_orders[State])</f>
        <v>Madhya Pradesh</v>
      </c>
      <c r="H884" s="10">
        <f>_xlfn.XLOOKUP(Order_Details[[#This Row],[Order ID]], List_of_orders[Order ID], List_of_orders[Order Date (Clean)])</f>
        <v>43440</v>
      </c>
      <c r="I884" s="7" t="str">
        <f>_xlfn.XLOOKUP(Order_Details[[#This Row],[Order ID]], List_of_orders[Order ID], List_of_orders[CustomerName])</f>
        <v>Rohan</v>
      </c>
      <c r="J884" s="7" t="str">
        <f>_xlfn.XLOOKUP(Order_Details[[#This Row],[Order ID]], List_of_orders[Order ID], List_of_orders[City])</f>
        <v>Indore</v>
      </c>
      <c r="K884" s="8" t="str">
        <f>TEXT(Order_Details[[#This Row],[Order Date]], "YY-MMM")</f>
        <v>18-Dec</v>
      </c>
      <c r="L884" s="11">
        <f>Order_Details[[#This Row],[Profit]]/Order_Details[[#This Row],[Amount]]</f>
        <v>0.30303030303030304</v>
      </c>
      <c r="M884" s="8">
        <f>YEAR(Order_Details[[#This Row],[Order Date]])</f>
        <v>2018</v>
      </c>
      <c r="N884" s="8">
        <f>ROUNDUP(MONTH(Order_Details[[#This Row],[Order Date]])/3, 0)</f>
        <v>4</v>
      </c>
    </row>
    <row r="885" spans="1:14">
      <c r="A885" s="1" t="s">
        <v>717</v>
      </c>
      <c r="B885" s="1">
        <v>24</v>
      </c>
      <c r="C885" s="1">
        <v>11</v>
      </c>
      <c r="D885" s="1">
        <v>5</v>
      </c>
      <c r="E885" s="1" t="s">
        <v>1076</v>
      </c>
      <c r="F885" s="1" t="s">
        <v>1103</v>
      </c>
      <c r="G885" s="7" t="str">
        <f>_xlfn.XLOOKUP(Order_Details[[#This Row],[Order ID]], List_of_orders[Order ID], List_of_orders[State])</f>
        <v>Madhya Pradesh</v>
      </c>
      <c r="H885" s="10">
        <f>_xlfn.XLOOKUP(Order_Details[[#This Row],[Order ID]], List_of_orders[Order ID], List_of_orders[Order Date (Clean)])</f>
        <v>43440</v>
      </c>
      <c r="I885" s="7" t="str">
        <f>_xlfn.XLOOKUP(Order_Details[[#This Row],[Order ID]], List_of_orders[Order ID], List_of_orders[CustomerName])</f>
        <v>Rohan</v>
      </c>
      <c r="J885" s="7" t="str">
        <f>_xlfn.XLOOKUP(Order_Details[[#This Row],[Order ID]], List_of_orders[Order ID], List_of_orders[City])</f>
        <v>Indore</v>
      </c>
      <c r="K885" s="8" t="str">
        <f>TEXT(Order_Details[[#This Row],[Order Date]], "YY-MMM")</f>
        <v>18-Dec</v>
      </c>
      <c r="L885" s="11">
        <f>Order_Details[[#This Row],[Profit]]/Order_Details[[#This Row],[Amount]]</f>
        <v>0.45833333333333331</v>
      </c>
      <c r="M885" s="8">
        <f>YEAR(Order_Details[[#This Row],[Order Date]])</f>
        <v>2018</v>
      </c>
      <c r="N885" s="8">
        <f>ROUNDUP(MONTH(Order_Details[[#This Row],[Order Date]])/3, 0)</f>
        <v>4</v>
      </c>
    </row>
    <row r="886" spans="1:14">
      <c r="A886" s="1" t="s">
        <v>717</v>
      </c>
      <c r="B886" s="1">
        <v>734</v>
      </c>
      <c r="C886" s="1">
        <v>213</v>
      </c>
      <c r="D886" s="1">
        <v>6</v>
      </c>
      <c r="E886" s="1" t="s">
        <v>1077</v>
      </c>
      <c r="F886" s="1" t="s">
        <v>1104</v>
      </c>
      <c r="G886" s="7" t="str">
        <f>_xlfn.XLOOKUP(Order_Details[[#This Row],[Order ID]], List_of_orders[Order ID], List_of_orders[State])</f>
        <v>Madhya Pradesh</v>
      </c>
      <c r="H886" s="10">
        <f>_xlfn.XLOOKUP(Order_Details[[#This Row],[Order ID]], List_of_orders[Order ID], List_of_orders[Order Date (Clean)])</f>
        <v>43440</v>
      </c>
      <c r="I886" s="7" t="str">
        <f>_xlfn.XLOOKUP(Order_Details[[#This Row],[Order ID]], List_of_orders[Order ID], List_of_orders[CustomerName])</f>
        <v>Rohan</v>
      </c>
      <c r="J886" s="7" t="str">
        <f>_xlfn.XLOOKUP(Order_Details[[#This Row],[Order ID]], List_of_orders[Order ID], List_of_orders[City])</f>
        <v>Indore</v>
      </c>
      <c r="K886" s="8" t="str">
        <f>TEXT(Order_Details[[#This Row],[Order Date]], "YY-MMM")</f>
        <v>18-Dec</v>
      </c>
      <c r="L886" s="11">
        <f>Order_Details[[#This Row],[Profit]]/Order_Details[[#This Row],[Amount]]</f>
        <v>0.2901907356948229</v>
      </c>
      <c r="M886" s="8">
        <f>YEAR(Order_Details[[#This Row],[Order Date]])</f>
        <v>2018</v>
      </c>
      <c r="N886" s="8">
        <f>ROUNDUP(MONTH(Order_Details[[#This Row],[Order Date]])/3, 0)</f>
        <v>4</v>
      </c>
    </row>
    <row r="887" spans="1:14">
      <c r="A887" s="1" t="s">
        <v>718</v>
      </c>
      <c r="B887" s="1">
        <v>33</v>
      </c>
      <c r="C887" s="1">
        <v>13</v>
      </c>
      <c r="D887" s="1">
        <v>3</v>
      </c>
      <c r="E887" s="1" t="s">
        <v>1076</v>
      </c>
      <c r="F887" s="1" t="s">
        <v>1112</v>
      </c>
      <c r="G887" s="7" t="str">
        <f>_xlfn.XLOOKUP(Order_Details[[#This Row],[Order ID]], List_of_orders[Order ID], List_of_orders[State])</f>
        <v>Rajasthan</v>
      </c>
      <c r="H887" s="10">
        <f>_xlfn.XLOOKUP(Order_Details[[#This Row],[Order ID]], List_of_orders[Order ID], List_of_orders[Order Date (Clean)])</f>
        <v>43441</v>
      </c>
      <c r="I887" s="7" t="str">
        <f>_xlfn.XLOOKUP(Order_Details[[#This Row],[Order ID]], List_of_orders[Order ID], List_of_orders[CustomerName])</f>
        <v>Abhishek</v>
      </c>
      <c r="J887" s="7" t="str">
        <f>_xlfn.XLOOKUP(Order_Details[[#This Row],[Order ID]], List_of_orders[Order ID], List_of_orders[City])</f>
        <v>Udaipur</v>
      </c>
      <c r="K887" s="8" t="str">
        <f>TEXT(Order_Details[[#This Row],[Order Date]], "YY-MMM")</f>
        <v>18-Dec</v>
      </c>
      <c r="L887" s="11">
        <f>Order_Details[[#This Row],[Profit]]/Order_Details[[#This Row],[Amount]]</f>
        <v>0.39393939393939392</v>
      </c>
      <c r="M887" s="8">
        <f>YEAR(Order_Details[[#This Row],[Order Date]])</f>
        <v>2018</v>
      </c>
      <c r="N887" s="8">
        <f>ROUNDUP(MONTH(Order_Details[[#This Row],[Order Date]])/3, 0)</f>
        <v>4</v>
      </c>
    </row>
    <row r="888" spans="1:14">
      <c r="A888" s="1" t="s">
        <v>718</v>
      </c>
      <c r="B888" s="1">
        <v>499</v>
      </c>
      <c r="C888" s="1">
        <v>33</v>
      </c>
      <c r="D888" s="1">
        <v>4</v>
      </c>
      <c r="E888" s="1" t="s">
        <v>1076</v>
      </c>
      <c r="F888" s="1" t="s">
        <v>1106</v>
      </c>
      <c r="G888" s="7" t="str">
        <f>_xlfn.XLOOKUP(Order_Details[[#This Row],[Order ID]], List_of_orders[Order ID], List_of_orders[State])</f>
        <v>Rajasthan</v>
      </c>
      <c r="H888" s="10">
        <f>_xlfn.XLOOKUP(Order_Details[[#This Row],[Order ID]], List_of_orders[Order ID], List_of_orders[Order Date (Clean)])</f>
        <v>43441</v>
      </c>
      <c r="I888" s="7" t="str">
        <f>_xlfn.XLOOKUP(Order_Details[[#This Row],[Order ID]], List_of_orders[Order ID], List_of_orders[CustomerName])</f>
        <v>Abhishek</v>
      </c>
      <c r="J888" s="7" t="str">
        <f>_xlfn.XLOOKUP(Order_Details[[#This Row],[Order ID]], List_of_orders[Order ID], List_of_orders[City])</f>
        <v>Udaipur</v>
      </c>
      <c r="K888" s="8" t="str">
        <f>TEXT(Order_Details[[#This Row],[Order Date]], "YY-MMM")</f>
        <v>18-Dec</v>
      </c>
      <c r="L888" s="11">
        <f>Order_Details[[#This Row],[Profit]]/Order_Details[[#This Row],[Amount]]</f>
        <v>6.6132264529058113E-2</v>
      </c>
      <c r="M888" s="8">
        <f>YEAR(Order_Details[[#This Row],[Order Date]])</f>
        <v>2018</v>
      </c>
      <c r="N888" s="8">
        <f>ROUNDUP(MONTH(Order_Details[[#This Row],[Order Date]])/3, 0)</f>
        <v>4</v>
      </c>
    </row>
    <row r="889" spans="1:14">
      <c r="A889" s="1" t="s">
        <v>718</v>
      </c>
      <c r="B889" s="1">
        <v>147</v>
      </c>
      <c r="C889" s="1">
        <v>73</v>
      </c>
      <c r="D889" s="1">
        <v>3</v>
      </c>
      <c r="E889" s="1" t="s">
        <v>1076</v>
      </c>
      <c r="F889" s="1" t="s">
        <v>1102</v>
      </c>
      <c r="G889" s="7" t="str">
        <f>_xlfn.XLOOKUP(Order_Details[[#This Row],[Order ID]], List_of_orders[Order ID], List_of_orders[State])</f>
        <v>Rajasthan</v>
      </c>
      <c r="H889" s="10">
        <f>_xlfn.XLOOKUP(Order_Details[[#This Row],[Order ID]], List_of_orders[Order ID], List_of_orders[Order Date (Clean)])</f>
        <v>43441</v>
      </c>
      <c r="I889" s="7" t="str">
        <f>_xlfn.XLOOKUP(Order_Details[[#This Row],[Order ID]], List_of_orders[Order ID], List_of_orders[CustomerName])</f>
        <v>Abhishek</v>
      </c>
      <c r="J889" s="7" t="str">
        <f>_xlfn.XLOOKUP(Order_Details[[#This Row],[Order ID]], List_of_orders[Order ID], List_of_orders[City])</f>
        <v>Udaipur</v>
      </c>
      <c r="K889" s="8" t="str">
        <f>TEXT(Order_Details[[#This Row],[Order Date]], "YY-MMM")</f>
        <v>18-Dec</v>
      </c>
      <c r="L889" s="11">
        <f>Order_Details[[#This Row],[Profit]]/Order_Details[[#This Row],[Amount]]</f>
        <v>0.49659863945578231</v>
      </c>
      <c r="M889" s="8">
        <f>YEAR(Order_Details[[#This Row],[Order Date]])</f>
        <v>2018</v>
      </c>
      <c r="N889" s="8">
        <f>ROUNDUP(MONTH(Order_Details[[#This Row],[Order Date]])/3, 0)</f>
        <v>4</v>
      </c>
    </row>
    <row r="890" spans="1:14">
      <c r="A890" s="1" t="s">
        <v>718</v>
      </c>
      <c r="B890" s="1">
        <v>53</v>
      </c>
      <c r="C890" s="1">
        <v>5</v>
      </c>
      <c r="D890" s="1">
        <v>3</v>
      </c>
      <c r="E890" s="1" t="s">
        <v>1076</v>
      </c>
      <c r="F890" s="1" t="s">
        <v>1110</v>
      </c>
      <c r="G890" s="7" t="str">
        <f>_xlfn.XLOOKUP(Order_Details[[#This Row],[Order ID]], List_of_orders[Order ID], List_of_orders[State])</f>
        <v>Rajasthan</v>
      </c>
      <c r="H890" s="10">
        <f>_xlfn.XLOOKUP(Order_Details[[#This Row],[Order ID]], List_of_orders[Order ID], List_of_orders[Order Date (Clean)])</f>
        <v>43441</v>
      </c>
      <c r="I890" s="7" t="str">
        <f>_xlfn.XLOOKUP(Order_Details[[#This Row],[Order ID]], List_of_orders[Order ID], List_of_orders[CustomerName])</f>
        <v>Abhishek</v>
      </c>
      <c r="J890" s="7" t="str">
        <f>_xlfn.XLOOKUP(Order_Details[[#This Row],[Order ID]], List_of_orders[Order ID], List_of_orders[City])</f>
        <v>Udaipur</v>
      </c>
      <c r="K890" s="8" t="str">
        <f>TEXT(Order_Details[[#This Row],[Order Date]], "YY-MMM")</f>
        <v>18-Dec</v>
      </c>
      <c r="L890" s="11">
        <f>Order_Details[[#This Row],[Profit]]/Order_Details[[#This Row],[Amount]]</f>
        <v>9.4339622641509441E-2</v>
      </c>
      <c r="M890" s="8">
        <f>YEAR(Order_Details[[#This Row],[Order Date]])</f>
        <v>2018</v>
      </c>
      <c r="N890" s="8">
        <f>ROUNDUP(MONTH(Order_Details[[#This Row],[Order Date]])/3, 0)</f>
        <v>4</v>
      </c>
    </row>
    <row r="891" spans="1:14">
      <c r="A891" s="1" t="s">
        <v>718</v>
      </c>
      <c r="B891" s="1">
        <v>171</v>
      </c>
      <c r="C891" s="1">
        <v>2</v>
      </c>
      <c r="D891" s="1">
        <v>2</v>
      </c>
      <c r="E891" s="1" t="s">
        <v>1077</v>
      </c>
      <c r="F891" s="1" t="s">
        <v>1104</v>
      </c>
      <c r="G891" s="7" t="str">
        <f>_xlfn.XLOOKUP(Order_Details[[#This Row],[Order ID]], List_of_orders[Order ID], List_of_orders[State])</f>
        <v>Rajasthan</v>
      </c>
      <c r="H891" s="10">
        <f>_xlfn.XLOOKUP(Order_Details[[#This Row],[Order ID]], List_of_orders[Order ID], List_of_orders[Order Date (Clean)])</f>
        <v>43441</v>
      </c>
      <c r="I891" s="7" t="str">
        <f>_xlfn.XLOOKUP(Order_Details[[#This Row],[Order ID]], List_of_orders[Order ID], List_of_orders[CustomerName])</f>
        <v>Abhishek</v>
      </c>
      <c r="J891" s="7" t="str">
        <f>_xlfn.XLOOKUP(Order_Details[[#This Row],[Order ID]], List_of_orders[Order ID], List_of_orders[City])</f>
        <v>Udaipur</v>
      </c>
      <c r="K891" s="8" t="str">
        <f>TEXT(Order_Details[[#This Row],[Order Date]], "YY-MMM")</f>
        <v>18-Dec</v>
      </c>
      <c r="L891" s="11">
        <f>Order_Details[[#This Row],[Profit]]/Order_Details[[#This Row],[Amount]]</f>
        <v>1.1695906432748537E-2</v>
      </c>
      <c r="M891" s="8">
        <f>YEAR(Order_Details[[#This Row],[Order Date]])</f>
        <v>2018</v>
      </c>
      <c r="N891" s="8">
        <f>ROUNDUP(MONTH(Order_Details[[#This Row],[Order Date]])/3, 0)</f>
        <v>4</v>
      </c>
    </row>
    <row r="892" spans="1:14">
      <c r="A892" s="1" t="s">
        <v>718</v>
      </c>
      <c r="B892" s="1">
        <v>915</v>
      </c>
      <c r="C892" s="1">
        <v>-99</v>
      </c>
      <c r="D892" s="1">
        <v>3</v>
      </c>
      <c r="E892" s="1" t="s">
        <v>1075</v>
      </c>
      <c r="F892" s="1" t="s">
        <v>1113</v>
      </c>
      <c r="G892" s="7" t="str">
        <f>_xlfn.XLOOKUP(Order_Details[[#This Row],[Order ID]], List_of_orders[Order ID], List_of_orders[State])</f>
        <v>Rajasthan</v>
      </c>
      <c r="H892" s="10">
        <f>_xlfn.XLOOKUP(Order_Details[[#This Row],[Order ID]], List_of_orders[Order ID], List_of_orders[Order Date (Clean)])</f>
        <v>43441</v>
      </c>
      <c r="I892" s="7" t="str">
        <f>_xlfn.XLOOKUP(Order_Details[[#This Row],[Order ID]], List_of_orders[Order ID], List_of_orders[CustomerName])</f>
        <v>Abhishek</v>
      </c>
      <c r="J892" s="7" t="str">
        <f>_xlfn.XLOOKUP(Order_Details[[#This Row],[Order ID]], List_of_orders[Order ID], List_of_orders[City])</f>
        <v>Udaipur</v>
      </c>
      <c r="K892" s="8" t="str">
        <f>TEXT(Order_Details[[#This Row],[Order Date]], "YY-MMM")</f>
        <v>18-Dec</v>
      </c>
      <c r="L892" s="11">
        <f>Order_Details[[#This Row],[Profit]]/Order_Details[[#This Row],[Amount]]</f>
        <v>-0.10819672131147541</v>
      </c>
      <c r="M892" s="8">
        <f>YEAR(Order_Details[[#This Row],[Order Date]])</f>
        <v>2018</v>
      </c>
      <c r="N892" s="8">
        <f>ROUNDUP(MONTH(Order_Details[[#This Row],[Order Date]])/3, 0)</f>
        <v>4</v>
      </c>
    </row>
    <row r="893" spans="1:14">
      <c r="A893" s="1" t="s">
        <v>718</v>
      </c>
      <c r="B893" s="1">
        <v>191</v>
      </c>
      <c r="C893" s="1">
        <v>93</v>
      </c>
      <c r="D893" s="1">
        <v>4</v>
      </c>
      <c r="E893" s="1" t="s">
        <v>1076</v>
      </c>
      <c r="F893" s="1" t="s">
        <v>1111</v>
      </c>
      <c r="G893" s="7" t="str">
        <f>_xlfn.XLOOKUP(Order_Details[[#This Row],[Order ID]], List_of_orders[Order ID], List_of_orders[State])</f>
        <v>Rajasthan</v>
      </c>
      <c r="H893" s="10">
        <f>_xlfn.XLOOKUP(Order_Details[[#This Row],[Order ID]], List_of_orders[Order ID], List_of_orders[Order Date (Clean)])</f>
        <v>43441</v>
      </c>
      <c r="I893" s="7" t="str">
        <f>_xlfn.XLOOKUP(Order_Details[[#This Row],[Order ID]], List_of_orders[Order ID], List_of_orders[CustomerName])</f>
        <v>Abhishek</v>
      </c>
      <c r="J893" s="7" t="str">
        <f>_xlfn.XLOOKUP(Order_Details[[#This Row],[Order ID]], List_of_orders[Order ID], List_of_orders[City])</f>
        <v>Udaipur</v>
      </c>
      <c r="K893" s="8" t="str">
        <f>TEXT(Order_Details[[#This Row],[Order Date]], "YY-MMM")</f>
        <v>18-Dec</v>
      </c>
      <c r="L893" s="11">
        <f>Order_Details[[#This Row],[Profit]]/Order_Details[[#This Row],[Amount]]</f>
        <v>0.48691099476439792</v>
      </c>
      <c r="M893" s="8">
        <f>YEAR(Order_Details[[#This Row],[Order Date]])</f>
        <v>2018</v>
      </c>
      <c r="N893" s="8">
        <f>ROUNDUP(MONTH(Order_Details[[#This Row],[Order Date]])/3, 0)</f>
        <v>4</v>
      </c>
    </row>
    <row r="894" spans="1:14">
      <c r="A894" s="1" t="s">
        <v>718</v>
      </c>
      <c r="B894" s="1">
        <v>857</v>
      </c>
      <c r="C894" s="1">
        <v>274</v>
      </c>
      <c r="D894" s="1">
        <v>2</v>
      </c>
      <c r="E894" s="1" t="s">
        <v>1075</v>
      </c>
      <c r="F894" s="1" t="s">
        <v>1113</v>
      </c>
      <c r="G894" s="7" t="str">
        <f>_xlfn.XLOOKUP(Order_Details[[#This Row],[Order ID]], List_of_orders[Order ID], List_of_orders[State])</f>
        <v>Rajasthan</v>
      </c>
      <c r="H894" s="10">
        <f>_xlfn.XLOOKUP(Order_Details[[#This Row],[Order ID]], List_of_orders[Order ID], List_of_orders[Order Date (Clean)])</f>
        <v>43441</v>
      </c>
      <c r="I894" s="7" t="str">
        <f>_xlfn.XLOOKUP(Order_Details[[#This Row],[Order ID]], List_of_orders[Order ID], List_of_orders[CustomerName])</f>
        <v>Abhishek</v>
      </c>
      <c r="J894" s="7" t="str">
        <f>_xlfn.XLOOKUP(Order_Details[[#This Row],[Order ID]], List_of_orders[Order ID], List_of_orders[City])</f>
        <v>Udaipur</v>
      </c>
      <c r="K894" s="8" t="str">
        <f>TEXT(Order_Details[[#This Row],[Order Date]], "YY-MMM")</f>
        <v>18-Dec</v>
      </c>
      <c r="L894" s="11">
        <f>Order_Details[[#This Row],[Profit]]/Order_Details[[#This Row],[Amount]]</f>
        <v>0.31971995332555425</v>
      </c>
      <c r="M894" s="8">
        <f>YEAR(Order_Details[[#This Row],[Order Date]])</f>
        <v>2018</v>
      </c>
      <c r="N894" s="8">
        <f>ROUNDUP(MONTH(Order_Details[[#This Row],[Order Date]])/3, 0)</f>
        <v>4</v>
      </c>
    </row>
    <row r="895" spans="1:14">
      <c r="A895" s="1" t="s">
        <v>719</v>
      </c>
      <c r="B895" s="1">
        <v>22</v>
      </c>
      <c r="C895" s="1">
        <v>9</v>
      </c>
      <c r="D895" s="1">
        <v>2</v>
      </c>
      <c r="E895" s="1" t="s">
        <v>1076</v>
      </c>
      <c r="F895" s="1" t="s">
        <v>1112</v>
      </c>
      <c r="G895" s="7" t="str">
        <f>_xlfn.XLOOKUP(Order_Details[[#This Row],[Order ID]], List_of_orders[Order ID], List_of_orders[State])</f>
        <v>Uttar Pradesh</v>
      </c>
      <c r="H895" s="10">
        <f>_xlfn.XLOOKUP(Order_Details[[#This Row],[Order ID]], List_of_orders[Order ID], List_of_orders[Order Date (Clean)])</f>
        <v>43442</v>
      </c>
      <c r="I895" s="7" t="str">
        <f>_xlfn.XLOOKUP(Order_Details[[#This Row],[Order ID]], List_of_orders[Order ID], List_of_orders[CustomerName])</f>
        <v>Aishwarya</v>
      </c>
      <c r="J895" s="7" t="str">
        <f>_xlfn.XLOOKUP(Order_Details[[#This Row],[Order ID]], List_of_orders[Order ID], List_of_orders[City])</f>
        <v>Allahabad</v>
      </c>
      <c r="K895" s="8" t="str">
        <f>TEXT(Order_Details[[#This Row],[Order Date]], "YY-MMM")</f>
        <v>18-Dec</v>
      </c>
      <c r="L895" s="11">
        <f>Order_Details[[#This Row],[Profit]]/Order_Details[[#This Row],[Amount]]</f>
        <v>0.40909090909090912</v>
      </c>
      <c r="M895" s="8">
        <f>YEAR(Order_Details[[#This Row],[Order Date]])</f>
        <v>2018</v>
      </c>
      <c r="N895" s="8">
        <f>ROUNDUP(MONTH(Order_Details[[#This Row],[Order Date]])/3, 0)</f>
        <v>4</v>
      </c>
    </row>
    <row r="896" spans="1:14">
      <c r="A896" s="1" t="s">
        <v>719</v>
      </c>
      <c r="B896" s="1">
        <v>28</v>
      </c>
      <c r="C896" s="1">
        <v>6</v>
      </c>
      <c r="D896" s="1">
        <v>4</v>
      </c>
      <c r="E896" s="1" t="s">
        <v>1076</v>
      </c>
      <c r="F896" s="1" t="s">
        <v>1117</v>
      </c>
      <c r="G896" s="7" t="str">
        <f>_xlfn.XLOOKUP(Order_Details[[#This Row],[Order ID]], List_of_orders[Order ID], List_of_orders[State])</f>
        <v>Uttar Pradesh</v>
      </c>
      <c r="H896" s="10">
        <f>_xlfn.XLOOKUP(Order_Details[[#This Row],[Order ID]], List_of_orders[Order ID], List_of_orders[Order Date (Clean)])</f>
        <v>43442</v>
      </c>
      <c r="I896" s="7" t="str">
        <f>_xlfn.XLOOKUP(Order_Details[[#This Row],[Order ID]], List_of_orders[Order ID], List_of_orders[CustomerName])</f>
        <v>Aishwarya</v>
      </c>
      <c r="J896" s="7" t="str">
        <f>_xlfn.XLOOKUP(Order_Details[[#This Row],[Order ID]], List_of_orders[Order ID], List_of_orders[City])</f>
        <v>Allahabad</v>
      </c>
      <c r="K896" s="8" t="str">
        <f>TEXT(Order_Details[[#This Row],[Order Date]], "YY-MMM")</f>
        <v>18-Dec</v>
      </c>
      <c r="L896" s="11">
        <f>Order_Details[[#This Row],[Profit]]/Order_Details[[#This Row],[Amount]]</f>
        <v>0.21428571428571427</v>
      </c>
      <c r="M896" s="8">
        <f>YEAR(Order_Details[[#This Row],[Order Date]])</f>
        <v>2018</v>
      </c>
      <c r="N896" s="8">
        <f>ROUNDUP(MONTH(Order_Details[[#This Row],[Order Date]])/3, 0)</f>
        <v>4</v>
      </c>
    </row>
    <row r="897" spans="1:14">
      <c r="A897" s="1" t="s">
        <v>719</v>
      </c>
      <c r="B897" s="1">
        <v>43</v>
      </c>
      <c r="C897" s="1">
        <v>17</v>
      </c>
      <c r="D897" s="1">
        <v>1</v>
      </c>
      <c r="E897" s="1" t="s">
        <v>1076</v>
      </c>
      <c r="F897" s="1" t="s">
        <v>1106</v>
      </c>
      <c r="G897" s="7" t="str">
        <f>_xlfn.XLOOKUP(Order_Details[[#This Row],[Order ID]], List_of_orders[Order ID], List_of_orders[State])</f>
        <v>Uttar Pradesh</v>
      </c>
      <c r="H897" s="10">
        <f>_xlfn.XLOOKUP(Order_Details[[#This Row],[Order ID]], List_of_orders[Order ID], List_of_orders[Order Date (Clean)])</f>
        <v>43442</v>
      </c>
      <c r="I897" s="7" t="str">
        <f>_xlfn.XLOOKUP(Order_Details[[#This Row],[Order ID]], List_of_orders[Order ID], List_of_orders[CustomerName])</f>
        <v>Aishwarya</v>
      </c>
      <c r="J897" s="7" t="str">
        <f>_xlfn.XLOOKUP(Order_Details[[#This Row],[Order ID]], List_of_orders[Order ID], List_of_orders[City])</f>
        <v>Allahabad</v>
      </c>
      <c r="K897" s="8" t="str">
        <f>TEXT(Order_Details[[#This Row],[Order Date]], "YY-MMM")</f>
        <v>18-Dec</v>
      </c>
      <c r="L897" s="11">
        <f>Order_Details[[#This Row],[Profit]]/Order_Details[[#This Row],[Amount]]</f>
        <v>0.39534883720930231</v>
      </c>
      <c r="M897" s="8">
        <f>YEAR(Order_Details[[#This Row],[Order Date]])</f>
        <v>2018</v>
      </c>
      <c r="N897" s="8">
        <f>ROUNDUP(MONTH(Order_Details[[#This Row],[Order Date]])/3, 0)</f>
        <v>4</v>
      </c>
    </row>
    <row r="898" spans="1:14">
      <c r="A898" s="1" t="s">
        <v>719</v>
      </c>
      <c r="B898" s="1">
        <v>846</v>
      </c>
      <c r="C898" s="1">
        <v>9</v>
      </c>
      <c r="D898" s="1">
        <v>2</v>
      </c>
      <c r="E898" s="1" t="s">
        <v>1075</v>
      </c>
      <c r="F898" s="1" t="s">
        <v>1108</v>
      </c>
      <c r="G898" s="7" t="str">
        <f>_xlfn.XLOOKUP(Order_Details[[#This Row],[Order ID]], List_of_orders[Order ID], List_of_orders[State])</f>
        <v>Uttar Pradesh</v>
      </c>
      <c r="H898" s="10">
        <f>_xlfn.XLOOKUP(Order_Details[[#This Row],[Order ID]], List_of_orders[Order ID], List_of_orders[Order Date (Clean)])</f>
        <v>43442</v>
      </c>
      <c r="I898" s="7" t="str">
        <f>_xlfn.XLOOKUP(Order_Details[[#This Row],[Order ID]], List_of_orders[Order ID], List_of_orders[CustomerName])</f>
        <v>Aishwarya</v>
      </c>
      <c r="J898" s="7" t="str">
        <f>_xlfn.XLOOKUP(Order_Details[[#This Row],[Order ID]], List_of_orders[Order ID], List_of_orders[City])</f>
        <v>Allahabad</v>
      </c>
      <c r="K898" s="8" t="str">
        <f>TEXT(Order_Details[[#This Row],[Order Date]], "YY-MMM")</f>
        <v>18-Dec</v>
      </c>
      <c r="L898" s="11">
        <f>Order_Details[[#This Row],[Profit]]/Order_Details[[#This Row],[Amount]]</f>
        <v>1.0638297872340425E-2</v>
      </c>
      <c r="M898" s="8">
        <f>YEAR(Order_Details[[#This Row],[Order Date]])</f>
        <v>2018</v>
      </c>
      <c r="N898" s="8">
        <f>ROUNDUP(MONTH(Order_Details[[#This Row],[Order Date]])/3, 0)</f>
        <v>4</v>
      </c>
    </row>
    <row r="899" spans="1:14">
      <c r="A899" s="1" t="s">
        <v>721</v>
      </c>
      <c r="B899" s="1">
        <v>15</v>
      </c>
      <c r="C899" s="1">
        <v>2</v>
      </c>
      <c r="D899" s="1">
        <v>1</v>
      </c>
      <c r="E899" s="1" t="s">
        <v>1076</v>
      </c>
      <c r="F899" s="1" t="s">
        <v>1112</v>
      </c>
      <c r="G899" s="7" t="str">
        <f>_xlfn.XLOOKUP(Order_Details[[#This Row],[Order ID]], List_of_orders[Order ID], List_of_orders[State])</f>
        <v>Punjab</v>
      </c>
      <c r="H899" s="10">
        <f>_xlfn.XLOOKUP(Order_Details[[#This Row],[Order ID]], List_of_orders[Order ID], List_of_orders[Order Date (Clean)])</f>
        <v>43443</v>
      </c>
      <c r="I899" s="7" t="str">
        <f>_xlfn.XLOOKUP(Order_Details[[#This Row],[Order ID]], List_of_orders[Order ID], List_of_orders[CustomerName])</f>
        <v>Anand</v>
      </c>
      <c r="J899" s="7" t="str">
        <f>_xlfn.XLOOKUP(Order_Details[[#This Row],[Order ID]], List_of_orders[Order ID], List_of_orders[City])</f>
        <v>Amritsar</v>
      </c>
      <c r="K899" s="8" t="str">
        <f>TEXT(Order_Details[[#This Row],[Order Date]], "YY-MMM")</f>
        <v>18-Dec</v>
      </c>
      <c r="L899" s="11">
        <f>Order_Details[[#This Row],[Profit]]/Order_Details[[#This Row],[Amount]]</f>
        <v>0.13333333333333333</v>
      </c>
      <c r="M899" s="8">
        <f>YEAR(Order_Details[[#This Row],[Order Date]])</f>
        <v>2018</v>
      </c>
      <c r="N899" s="8">
        <f>ROUNDUP(MONTH(Order_Details[[#This Row],[Order Date]])/3, 0)</f>
        <v>4</v>
      </c>
    </row>
    <row r="900" spans="1:14">
      <c r="A900" s="1" t="s">
        <v>721</v>
      </c>
      <c r="B900" s="1">
        <v>140</v>
      </c>
      <c r="C900" s="1">
        <v>68</v>
      </c>
      <c r="D900" s="1">
        <v>5</v>
      </c>
      <c r="E900" s="1" t="s">
        <v>1076</v>
      </c>
      <c r="F900" s="1" t="s">
        <v>1110</v>
      </c>
      <c r="G900" s="7" t="str">
        <f>_xlfn.XLOOKUP(Order_Details[[#This Row],[Order ID]], List_of_orders[Order ID], List_of_orders[State])</f>
        <v>Punjab</v>
      </c>
      <c r="H900" s="10">
        <f>_xlfn.XLOOKUP(Order_Details[[#This Row],[Order ID]], List_of_orders[Order ID], List_of_orders[Order Date (Clean)])</f>
        <v>43443</v>
      </c>
      <c r="I900" s="7" t="str">
        <f>_xlfn.XLOOKUP(Order_Details[[#This Row],[Order ID]], List_of_orders[Order ID], List_of_orders[CustomerName])</f>
        <v>Anand</v>
      </c>
      <c r="J900" s="7" t="str">
        <f>_xlfn.XLOOKUP(Order_Details[[#This Row],[Order ID]], List_of_orders[Order ID], List_of_orders[City])</f>
        <v>Amritsar</v>
      </c>
      <c r="K900" s="8" t="str">
        <f>TEXT(Order_Details[[#This Row],[Order Date]], "YY-MMM")</f>
        <v>18-Dec</v>
      </c>
      <c r="L900" s="11">
        <f>Order_Details[[#This Row],[Profit]]/Order_Details[[#This Row],[Amount]]</f>
        <v>0.48571428571428571</v>
      </c>
      <c r="M900" s="8">
        <f>YEAR(Order_Details[[#This Row],[Order Date]])</f>
        <v>2018</v>
      </c>
      <c r="N900" s="8">
        <f>ROUNDUP(MONTH(Order_Details[[#This Row],[Order Date]])/3, 0)</f>
        <v>4</v>
      </c>
    </row>
    <row r="901" spans="1:14">
      <c r="A901" s="1" t="s">
        <v>721</v>
      </c>
      <c r="B901" s="1">
        <v>210</v>
      </c>
      <c r="C901" s="1">
        <v>62</v>
      </c>
      <c r="D901" s="1">
        <v>2</v>
      </c>
      <c r="E901" s="1" t="s">
        <v>1077</v>
      </c>
      <c r="F901" s="1" t="s">
        <v>1105</v>
      </c>
      <c r="G901" s="7" t="str">
        <f>_xlfn.XLOOKUP(Order_Details[[#This Row],[Order ID]], List_of_orders[Order ID], List_of_orders[State])</f>
        <v>Punjab</v>
      </c>
      <c r="H901" s="10">
        <f>_xlfn.XLOOKUP(Order_Details[[#This Row],[Order ID]], List_of_orders[Order ID], List_of_orders[Order Date (Clean)])</f>
        <v>43443</v>
      </c>
      <c r="I901" s="7" t="str">
        <f>_xlfn.XLOOKUP(Order_Details[[#This Row],[Order ID]], List_of_orders[Order ID], List_of_orders[CustomerName])</f>
        <v>Anand</v>
      </c>
      <c r="J901" s="7" t="str">
        <f>_xlfn.XLOOKUP(Order_Details[[#This Row],[Order ID]], List_of_orders[Order ID], List_of_orders[City])</f>
        <v>Amritsar</v>
      </c>
      <c r="K901" s="8" t="str">
        <f>TEXT(Order_Details[[#This Row],[Order Date]], "YY-MMM")</f>
        <v>18-Dec</v>
      </c>
      <c r="L901" s="11">
        <f>Order_Details[[#This Row],[Profit]]/Order_Details[[#This Row],[Amount]]</f>
        <v>0.29523809523809524</v>
      </c>
      <c r="M901" s="8">
        <f>YEAR(Order_Details[[#This Row],[Order Date]])</f>
        <v>2018</v>
      </c>
      <c r="N901" s="8">
        <f>ROUNDUP(MONTH(Order_Details[[#This Row],[Order Date]])/3, 0)</f>
        <v>4</v>
      </c>
    </row>
    <row r="902" spans="1:14">
      <c r="A902" s="1" t="s">
        <v>722</v>
      </c>
      <c r="B902" s="1">
        <v>158</v>
      </c>
      <c r="C902" s="1">
        <v>38</v>
      </c>
      <c r="D902" s="1">
        <v>3</v>
      </c>
      <c r="E902" s="1" t="s">
        <v>1076</v>
      </c>
      <c r="F902" s="1" t="s">
        <v>1103</v>
      </c>
      <c r="G902" s="7" t="str">
        <f>_xlfn.XLOOKUP(Order_Details[[#This Row],[Order ID]], List_of_orders[Order ID], List_of_orders[State])</f>
        <v>Gujarat</v>
      </c>
      <c r="H902" s="10">
        <f>_xlfn.XLOOKUP(Order_Details[[#This Row],[Order ID]], List_of_orders[Order ID], List_of_orders[Order Date (Clean)])</f>
        <v>43444</v>
      </c>
      <c r="I902" s="7" t="str">
        <f>_xlfn.XLOOKUP(Order_Details[[#This Row],[Order ID]], List_of_orders[Order ID], List_of_orders[CustomerName])</f>
        <v>Suraj</v>
      </c>
      <c r="J902" s="7" t="str">
        <f>_xlfn.XLOOKUP(Order_Details[[#This Row],[Order ID]], List_of_orders[Order ID], List_of_orders[City])</f>
        <v>Surat</v>
      </c>
      <c r="K902" s="8" t="str">
        <f>TEXT(Order_Details[[#This Row],[Order Date]], "YY-MMM")</f>
        <v>18-Dec</v>
      </c>
      <c r="L902" s="11">
        <f>Order_Details[[#This Row],[Profit]]/Order_Details[[#This Row],[Amount]]</f>
        <v>0.24050632911392406</v>
      </c>
      <c r="M902" s="8">
        <f>YEAR(Order_Details[[#This Row],[Order Date]])</f>
        <v>2018</v>
      </c>
      <c r="N902" s="8">
        <f>ROUNDUP(MONTH(Order_Details[[#This Row],[Order Date]])/3, 0)</f>
        <v>4</v>
      </c>
    </row>
    <row r="903" spans="1:14">
      <c r="A903" s="1" t="s">
        <v>722</v>
      </c>
      <c r="B903" s="1">
        <v>90</v>
      </c>
      <c r="C903" s="1">
        <v>27</v>
      </c>
      <c r="D903" s="1">
        <v>2</v>
      </c>
      <c r="E903" s="1" t="s">
        <v>1076</v>
      </c>
      <c r="F903" s="1" t="s">
        <v>1110</v>
      </c>
      <c r="G903" s="7" t="str">
        <f>_xlfn.XLOOKUP(Order_Details[[#This Row],[Order ID]], List_of_orders[Order ID], List_of_orders[State])</f>
        <v>Gujarat</v>
      </c>
      <c r="H903" s="10">
        <f>_xlfn.XLOOKUP(Order_Details[[#This Row],[Order ID]], List_of_orders[Order ID], List_of_orders[Order Date (Clean)])</f>
        <v>43444</v>
      </c>
      <c r="I903" s="7" t="str">
        <f>_xlfn.XLOOKUP(Order_Details[[#This Row],[Order ID]], List_of_orders[Order ID], List_of_orders[CustomerName])</f>
        <v>Suraj</v>
      </c>
      <c r="J903" s="7" t="str">
        <f>_xlfn.XLOOKUP(Order_Details[[#This Row],[Order ID]], List_of_orders[Order ID], List_of_orders[City])</f>
        <v>Surat</v>
      </c>
      <c r="K903" s="8" t="str">
        <f>TEXT(Order_Details[[#This Row],[Order Date]], "YY-MMM")</f>
        <v>18-Dec</v>
      </c>
      <c r="L903" s="11">
        <f>Order_Details[[#This Row],[Profit]]/Order_Details[[#This Row],[Amount]]</f>
        <v>0.3</v>
      </c>
      <c r="M903" s="8">
        <f>YEAR(Order_Details[[#This Row],[Order Date]])</f>
        <v>2018</v>
      </c>
      <c r="N903" s="8">
        <f>ROUNDUP(MONTH(Order_Details[[#This Row],[Order Date]])/3, 0)</f>
        <v>4</v>
      </c>
    </row>
    <row r="904" spans="1:14">
      <c r="A904" s="1" t="s">
        <v>722</v>
      </c>
      <c r="B904" s="1">
        <v>159</v>
      </c>
      <c r="C904" s="1">
        <v>2</v>
      </c>
      <c r="D904" s="1">
        <v>3</v>
      </c>
      <c r="E904" s="1" t="s">
        <v>1075</v>
      </c>
      <c r="F904" s="1" t="s">
        <v>1116</v>
      </c>
      <c r="G904" s="7" t="str">
        <f>_xlfn.XLOOKUP(Order_Details[[#This Row],[Order ID]], List_of_orders[Order ID], List_of_orders[State])</f>
        <v>Gujarat</v>
      </c>
      <c r="H904" s="10">
        <f>_xlfn.XLOOKUP(Order_Details[[#This Row],[Order ID]], List_of_orders[Order ID], List_of_orders[Order Date (Clean)])</f>
        <v>43444</v>
      </c>
      <c r="I904" s="7" t="str">
        <f>_xlfn.XLOOKUP(Order_Details[[#This Row],[Order ID]], List_of_orders[Order ID], List_of_orders[CustomerName])</f>
        <v>Suraj</v>
      </c>
      <c r="J904" s="7" t="str">
        <f>_xlfn.XLOOKUP(Order_Details[[#This Row],[Order ID]], List_of_orders[Order ID], List_of_orders[City])</f>
        <v>Surat</v>
      </c>
      <c r="K904" s="8" t="str">
        <f>TEXT(Order_Details[[#This Row],[Order Date]], "YY-MMM")</f>
        <v>18-Dec</v>
      </c>
      <c r="L904" s="11">
        <f>Order_Details[[#This Row],[Profit]]/Order_Details[[#This Row],[Amount]]</f>
        <v>1.2578616352201259E-2</v>
      </c>
      <c r="M904" s="8">
        <f>YEAR(Order_Details[[#This Row],[Order Date]])</f>
        <v>2018</v>
      </c>
      <c r="N904" s="8">
        <f>ROUNDUP(MONTH(Order_Details[[#This Row],[Order Date]])/3, 0)</f>
        <v>4</v>
      </c>
    </row>
    <row r="905" spans="1:14">
      <c r="A905" s="1" t="s">
        <v>722</v>
      </c>
      <c r="B905" s="1">
        <v>61</v>
      </c>
      <c r="C905" s="1">
        <v>28</v>
      </c>
      <c r="D905" s="1">
        <v>2</v>
      </c>
      <c r="E905" s="1" t="s">
        <v>1076</v>
      </c>
      <c r="F905" s="1" t="s">
        <v>1103</v>
      </c>
      <c r="G905" s="7" t="str">
        <f>_xlfn.XLOOKUP(Order_Details[[#This Row],[Order ID]], List_of_orders[Order ID], List_of_orders[State])</f>
        <v>Gujarat</v>
      </c>
      <c r="H905" s="10">
        <f>_xlfn.XLOOKUP(Order_Details[[#This Row],[Order ID]], List_of_orders[Order ID], List_of_orders[Order Date (Clean)])</f>
        <v>43444</v>
      </c>
      <c r="I905" s="7" t="str">
        <f>_xlfn.XLOOKUP(Order_Details[[#This Row],[Order ID]], List_of_orders[Order ID], List_of_orders[CustomerName])</f>
        <v>Suraj</v>
      </c>
      <c r="J905" s="7" t="str">
        <f>_xlfn.XLOOKUP(Order_Details[[#This Row],[Order ID]], List_of_orders[Order ID], List_of_orders[City])</f>
        <v>Surat</v>
      </c>
      <c r="K905" s="8" t="str">
        <f>TEXT(Order_Details[[#This Row],[Order Date]], "YY-MMM")</f>
        <v>18-Dec</v>
      </c>
      <c r="L905" s="11">
        <f>Order_Details[[#This Row],[Profit]]/Order_Details[[#This Row],[Amount]]</f>
        <v>0.45901639344262296</v>
      </c>
      <c r="M905" s="8">
        <f>YEAR(Order_Details[[#This Row],[Order Date]])</f>
        <v>2018</v>
      </c>
      <c r="N905" s="8">
        <f>ROUNDUP(MONTH(Order_Details[[#This Row],[Order Date]])/3, 0)</f>
        <v>4</v>
      </c>
    </row>
    <row r="906" spans="1:14">
      <c r="A906" s="1" t="s">
        <v>724</v>
      </c>
      <c r="B906" s="1">
        <v>79</v>
      </c>
      <c r="C906" s="1">
        <v>6</v>
      </c>
      <c r="D906" s="1">
        <v>7</v>
      </c>
      <c r="E906" s="1" t="s">
        <v>1076</v>
      </c>
      <c r="F906" s="1" t="s">
        <v>1106</v>
      </c>
      <c r="G906" s="7" t="str">
        <f>_xlfn.XLOOKUP(Order_Details[[#This Row],[Order ID]], List_of_orders[Order ID], List_of_orders[State])</f>
        <v>Maharashtra</v>
      </c>
      <c r="H906" s="10">
        <f>_xlfn.XLOOKUP(Order_Details[[#This Row],[Order ID]], List_of_orders[Order ID], List_of_orders[Order Date (Clean)])</f>
        <v>43444</v>
      </c>
      <c r="I906" s="7" t="str">
        <f>_xlfn.XLOOKUP(Order_Details[[#This Row],[Order ID]], List_of_orders[Order ID], List_of_orders[CustomerName])</f>
        <v>Ishpreet</v>
      </c>
      <c r="J906" s="7" t="str">
        <f>_xlfn.XLOOKUP(Order_Details[[#This Row],[Order ID]], List_of_orders[Order ID], List_of_orders[City])</f>
        <v>Mumbai</v>
      </c>
      <c r="K906" s="8" t="str">
        <f>TEXT(Order_Details[[#This Row],[Order Date]], "YY-MMM")</f>
        <v>18-Dec</v>
      </c>
      <c r="L906" s="11">
        <f>Order_Details[[#This Row],[Profit]]/Order_Details[[#This Row],[Amount]]</f>
        <v>7.5949367088607597E-2</v>
      </c>
      <c r="M906" s="8">
        <f>YEAR(Order_Details[[#This Row],[Order Date]])</f>
        <v>2018</v>
      </c>
      <c r="N906" s="8">
        <f>ROUNDUP(MONTH(Order_Details[[#This Row],[Order Date]])/3, 0)</f>
        <v>4</v>
      </c>
    </row>
    <row r="907" spans="1:14">
      <c r="A907" s="1" t="s">
        <v>724</v>
      </c>
      <c r="B907" s="1">
        <v>268</v>
      </c>
      <c r="C907" s="1">
        <v>6</v>
      </c>
      <c r="D907" s="1">
        <v>2</v>
      </c>
      <c r="E907" s="1" t="s">
        <v>1075</v>
      </c>
      <c r="F907" s="1" t="s">
        <v>1101</v>
      </c>
      <c r="G907" s="7" t="str">
        <f>_xlfn.XLOOKUP(Order_Details[[#This Row],[Order ID]], List_of_orders[Order ID], List_of_orders[State])</f>
        <v>Maharashtra</v>
      </c>
      <c r="H907" s="10">
        <f>_xlfn.XLOOKUP(Order_Details[[#This Row],[Order ID]], List_of_orders[Order ID], List_of_orders[Order Date (Clean)])</f>
        <v>43444</v>
      </c>
      <c r="I907" s="7" t="str">
        <f>_xlfn.XLOOKUP(Order_Details[[#This Row],[Order ID]], List_of_orders[Order ID], List_of_orders[CustomerName])</f>
        <v>Ishpreet</v>
      </c>
      <c r="J907" s="7" t="str">
        <f>_xlfn.XLOOKUP(Order_Details[[#This Row],[Order ID]], List_of_orders[Order ID], List_of_orders[City])</f>
        <v>Mumbai</v>
      </c>
      <c r="K907" s="8" t="str">
        <f>TEXT(Order_Details[[#This Row],[Order Date]], "YY-MMM")</f>
        <v>18-Dec</v>
      </c>
      <c r="L907" s="11">
        <f>Order_Details[[#This Row],[Profit]]/Order_Details[[#This Row],[Amount]]</f>
        <v>2.2388059701492536E-2</v>
      </c>
      <c r="M907" s="8">
        <f>YEAR(Order_Details[[#This Row],[Order Date]])</f>
        <v>2018</v>
      </c>
      <c r="N907" s="8">
        <f>ROUNDUP(MONTH(Order_Details[[#This Row],[Order Date]])/3, 0)</f>
        <v>4</v>
      </c>
    </row>
    <row r="908" spans="1:14">
      <c r="A908" s="1" t="s">
        <v>724</v>
      </c>
      <c r="B908" s="1">
        <v>802</v>
      </c>
      <c r="C908" s="1">
        <v>120</v>
      </c>
      <c r="D908" s="1">
        <v>7</v>
      </c>
      <c r="E908" s="1" t="s">
        <v>1077</v>
      </c>
      <c r="F908" s="1" t="s">
        <v>1115</v>
      </c>
      <c r="G908" s="7" t="str">
        <f>_xlfn.XLOOKUP(Order_Details[[#This Row],[Order ID]], List_of_orders[Order ID], List_of_orders[State])</f>
        <v>Maharashtra</v>
      </c>
      <c r="H908" s="10">
        <f>_xlfn.XLOOKUP(Order_Details[[#This Row],[Order ID]], List_of_orders[Order ID], List_of_orders[Order Date (Clean)])</f>
        <v>43444</v>
      </c>
      <c r="I908" s="7" t="str">
        <f>_xlfn.XLOOKUP(Order_Details[[#This Row],[Order ID]], List_of_orders[Order ID], List_of_orders[CustomerName])</f>
        <v>Ishpreet</v>
      </c>
      <c r="J908" s="7" t="str">
        <f>_xlfn.XLOOKUP(Order_Details[[#This Row],[Order ID]], List_of_orders[Order ID], List_of_orders[City])</f>
        <v>Mumbai</v>
      </c>
      <c r="K908" s="8" t="str">
        <f>TEXT(Order_Details[[#This Row],[Order Date]], "YY-MMM")</f>
        <v>18-Dec</v>
      </c>
      <c r="L908" s="11">
        <f>Order_Details[[#This Row],[Profit]]/Order_Details[[#This Row],[Amount]]</f>
        <v>0.14962593516209477</v>
      </c>
      <c r="M908" s="8">
        <f>YEAR(Order_Details[[#This Row],[Order Date]])</f>
        <v>2018</v>
      </c>
      <c r="N908" s="8">
        <f>ROUNDUP(MONTH(Order_Details[[#This Row],[Order Date]])/3, 0)</f>
        <v>4</v>
      </c>
    </row>
    <row r="909" spans="1:14">
      <c r="A909" s="1" t="s">
        <v>724</v>
      </c>
      <c r="B909" s="1">
        <v>1700</v>
      </c>
      <c r="C909" s="1">
        <v>85</v>
      </c>
      <c r="D909" s="1">
        <v>3</v>
      </c>
      <c r="E909" s="1" t="s">
        <v>1076</v>
      </c>
      <c r="F909" s="1" t="s">
        <v>1107</v>
      </c>
      <c r="G909" s="7" t="str">
        <f>_xlfn.XLOOKUP(Order_Details[[#This Row],[Order ID]], List_of_orders[Order ID], List_of_orders[State])</f>
        <v>Maharashtra</v>
      </c>
      <c r="H909" s="10">
        <f>_xlfn.XLOOKUP(Order_Details[[#This Row],[Order ID]], List_of_orders[Order ID], List_of_orders[Order Date (Clean)])</f>
        <v>43444</v>
      </c>
      <c r="I909" s="7" t="str">
        <f>_xlfn.XLOOKUP(Order_Details[[#This Row],[Order ID]], List_of_orders[Order ID], List_of_orders[CustomerName])</f>
        <v>Ishpreet</v>
      </c>
      <c r="J909" s="7" t="str">
        <f>_xlfn.XLOOKUP(Order_Details[[#This Row],[Order ID]], List_of_orders[Order ID], List_of_orders[City])</f>
        <v>Mumbai</v>
      </c>
      <c r="K909" s="8" t="str">
        <f>TEXT(Order_Details[[#This Row],[Order Date]], "YY-MMM")</f>
        <v>18-Dec</v>
      </c>
      <c r="L909" s="11">
        <f>Order_Details[[#This Row],[Profit]]/Order_Details[[#This Row],[Amount]]</f>
        <v>0.05</v>
      </c>
      <c r="M909" s="8">
        <f>YEAR(Order_Details[[#This Row],[Order Date]])</f>
        <v>2018</v>
      </c>
      <c r="N909" s="8">
        <f>ROUNDUP(MONTH(Order_Details[[#This Row],[Order Date]])/3, 0)</f>
        <v>4</v>
      </c>
    </row>
    <row r="910" spans="1:14">
      <c r="A910" s="1" t="s">
        <v>724</v>
      </c>
      <c r="B910" s="1">
        <v>154</v>
      </c>
      <c r="C910" s="1">
        <v>26</v>
      </c>
      <c r="D910" s="1">
        <v>4</v>
      </c>
      <c r="E910" s="1" t="s">
        <v>1077</v>
      </c>
      <c r="F910" s="1" t="s">
        <v>1115</v>
      </c>
      <c r="G910" s="7" t="str">
        <f>_xlfn.XLOOKUP(Order_Details[[#This Row],[Order ID]], List_of_orders[Order ID], List_of_orders[State])</f>
        <v>Maharashtra</v>
      </c>
      <c r="H910" s="10">
        <f>_xlfn.XLOOKUP(Order_Details[[#This Row],[Order ID]], List_of_orders[Order ID], List_of_orders[Order Date (Clean)])</f>
        <v>43444</v>
      </c>
      <c r="I910" s="7" t="str">
        <f>_xlfn.XLOOKUP(Order_Details[[#This Row],[Order ID]], List_of_orders[Order ID], List_of_orders[CustomerName])</f>
        <v>Ishpreet</v>
      </c>
      <c r="J910" s="7" t="str">
        <f>_xlfn.XLOOKUP(Order_Details[[#This Row],[Order ID]], List_of_orders[Order ID], List_of_orders[City])</f>
        <v>Mumbai</v>
      </c>
      <c r="K910" s="8" t="str">
        <f>TEXT(Order_Details[[#This Row],[Order Date]], "YY-MMM")</f>
        <v>18-Dec</v>
      </c>
      <c r="L910" s="11">
        <f>Order_Details[[#This Row],[Profit]]/Order_Details[[#This Row],[Amount]]</f>
        <v>0.16883116883116883</v>
      </c>
      <c r="M910" s="8">
        <f>YEAR(Order_Details[[#This Row],[Order Date]])</f>
        <v>2018</v>
      </c>
      <c r="N910" s="8">
        <f>ROUNDUP(MONTH(Order_Details[[#This Row],[Order Date]])/3, 0)</f>
        <v>4</v>
      </c>
    </row>
    <row r="911" spans="1:14">
      <c r="A911" s="1" t="s">
        <v>726</v>
      </c>
      <c r="B911" s="1">
        <v>455</v>
      </c>
      <c r="C911" s="1">
        <v>77</v>
      </c>
      <c r="D911" s="1">
        <v>8</v>
      </c>
      <c r="E911" s="1" t="s">
        <v>1077</v>
      </c>
      <c r="F911" s="1" t="s">
        <v>1115</v>
      </c>
      <c r="G911" s="7" t="str">
        <f>_xlfn.XLOOKUP(Order_Details[[#This Row],[Order ID]], List_of_orders[Order ID], List_of_orders[State])</f>
        <v>Madhya Pradesh</v>
      </c>
      <c r="H911" s="10">
        <f>_xlfn.XLOOKUP(Order_Details[[#This Row],[Order ID]], List_of_orders[Order ID], List_of_orders[Order Date (Clean)])</f>
        <v>43444</v>
      </c>
      <c r="I911" s="7" t="str">
        <f>_xlfn.XLOOKUP(Order_Details[[#This Row],[Order ID]], List_of_orders[Order ID], List_of_orders[CustomerName])</f>
        <v>Amlan</v>
      </c>
      <c r="J911" s="7" t="str">
        <f>_xlfn.XLOOKUP(Order_Details[[#This Row],[Order ID]], List_of_orders[Order ID], List_of_orders[City])</f>
        <v>Indore</v>
      </c>
      <c r="K911" s="8" t="str">
        <f>TEXT(Order_Details[[#This Row],[Order Date]], "YY-MMM")</f>
        <v>18-Dec</v>
      </c>
      <c r="L911" s="11">
        <f>Order_Details[[#This Row],[Profit]]/Order_Details[[#This Row],[Amount]]</f>
        <v>0.16923076923076924</v>
      </c>
      <c r="M911" s="8">
        <f>YEAR(Order_Details[[#This Row],[Order Date]])</f>
        <v>2018</v>
      </c>
      <c r="N911" s="8">
        <f>ROUNDUP(MONTH(Order_Details[[#This Row],[Order Date]])/3, 0)</f>
        <v>4</v>
      </c>
    </row>
    <row r="912" spans="1:14">
      <c r="A912" s="1" t="s">
        <v>726</v>
      </c>
      <c r="B912" s="1">
        <v>19</v>
      </c>
      <c r="C912" s="1">
        <v>8</v>
      </c>
      <c r="D912" s="1">
        <v>2</v>
      </c>
      <c r="E912" s="1" t="s">
        <v>1076</v>
      </c>
      <c r="F912" s="1" t="s">
        <v>1103</v>
      </c>
      <c r="G912" s="7" t="str">
        <f>_xlfn.XLOOKUP(Order_Details[[#This Row],[Order ID]], List_of_orders[Order ID], List_of_orders[State])</f>
        <v>Madhya Pradesh</v>
      </c>
      <c r="H912" s="10">
        <f>_xlfn.XLOOKUP(Order_Details[[#This Row],[Order ID]], List_of_orders[Order ID], List_of_orders[Order Date (Clean)])</f>
        <v>43444</v>
      </c>
      <c r="I912" s="7" t="str">
        <f>_xlfn.XLOOKUP(Order_Details[[#This Row],[Order ID]], List_of_orders[Order ID], List_of_orders[CustomerName])</f>
        <v>Amlan</v>
      </c>
      <c r="J912" s="7" t="str">
        <f>_xlfn.XLOOKUP(Order_Details[[#This Row],[Order ID]], List_of_orders[Order ID], List_of_orders[City])</f>
        <v>Indore</v>
      </c>
      <c r="K912" s="8" t="str">
        <f>TEXT(Order_Details[[#This Row],[Order Date]], "YY-MMM")</f>
        <v>18-Dec</v>
      </c>
      <c r="L912" s="11">
        <f>Order_Details[[#This Row],[Profit]]/Order_Details[[#This Row],[Amount]]</f>
        <v>0.42105263157894735</v>
      </c>
      <c r="M912" s="8">
        <f>YEAR(Order_Details[[#This Row],[Order Date]])</f>
        <v>2018</v>
      </c>
      <c r="N912" s="8">
        <f>ROUNDUP(MONTH(Order_Details[[#This Row],[Order Date]])/3, 0)</f>
        <v>4</v>
      </c>
    </row>
    <row r="913" spans="1:14">
      <c r="A913" s="1" t="s">
        <v>726</v>
      </c>
      <c r="B913" s="1">
        <v>25</v>
      </c>
      <c r="C913" s="1">
        <v>11</v>
      </c>
      <c r="D913" s="1">
        <v>3</v>
      </c>
      <c r="E913" s="1" t="s">
        <v>1076</v>
      </c>
      <c r="F913" s="1" t="s">
        <v>1112</v>
      </c>
      <c r="G913" s="7" t="str">
        <f>_xlfn.XLOOKUP(Order_Details[[#This Row],[Order ID]], List_of_orders[Order ID], List_of_orders[State])</f>
        <v>Madhya Pradesh</v>
      </c>
      <c r="H913" s="10">
        <f>_xlfn.XLOOKUP(Order_Details[[#This Row],[Order ID]], List_of_orders[Order ID], List_of_orders[Order Date (Clean)])</f>
        <v>43444</v>
      </c>
      <c r="I913" s="7" t="str">
        <f>_xlfn.XLOOKUP(Order_Details[[#This Row],[Order ID]], List_of_orders[Order ID], List_of_orders[CustomerName])</f>
        <v>Amlan</v>
      </c>
      <c r="J913" s="7" t="str">
        <f>_xlfn.XLOOKUP(Order_Details[[#This Row],[Order ID]], List_of_orders[Order ID], List_of_orders[City])</f>
        <v>Indore</v>
      </c>
      <c r="K913" s="8" t="str">
        <f>TEXT(Order_Details[[#This Row],[Order Date]], "YY-MMM")</f>
        <v>18-Dec</v>
      </c>
      <c r="L913" s="11">
        <f>Order_Details[[#This Row],[Profit]]/Order_Details[[#This Row],[Amount]]</f>
        <v>0.44</v>
      </c>
      <c r="M913" s="8">
        <f>YEAR(Order_Details[[#This Row],[Order Date]])</f>
        <v>2018</v>
      </c>
      <c r="N913" s="8">
        <f>ROUNDUP(MONTH(Order_Details[[#This Row],[Order Date]])/3, 0)</f>
        <v>4</v>
      </c>
    </row>
    <row r="914" spans="1:14">
      <c r="A914" s="1" t="s">
        <v>726</v>
      </c>
      <c r="B914" s="1">
        <v>37</v>
      </c>
      <c r="C914" s="1">
        <v>17</v>
      </c>
      <c r="D914" s="1">
        <v>3</v>
      </c>
      <c r="E914" s="1" t="s">
        <v>1076</v>
      </c>
      <c r="F914" s="1" t="s">
        <v>1103</v>
      </c>
      <c r="G914" s="7" t="str">
        <f>_xlfn.XLOOKUP(Order_Details[[#This Row],[Order ID]], List_of_orders[Order ID], List_of_orders[State])</f>
        <v>Madhya Pradesh</v>
      </c>
      <c r="H914" s="10">
        <f>_xlfn.XLOOKUP(Order_Details[[#This Row],[Order ID]], List_of_orders[Order ID], List_of_orders[Order Date (Clean)])</f>
        <v>43444</v>
      </c>
      <c r="I914" s="7" t="str">
        <f>_xlfn.XLOOKUP(Order_Details[[#This Row],[Order ID]], List_of_orders[Order ID], List_of_orders[CustomerName])</f>
        <v>Amlan</v>
      </c>
      <c r="J914" s="7" t="str">
        <f>_xlfn.XLOOKUP(Order_Details[[#This Row],[Order ID]], List_of_orders[Order ID], List_of_orders[City])</f>
        <v>Indore</v>
      </c>
      <c r="K914" s="8" t="str">
        <f>TEXT(Order_Details[[#This Row],[Order Date]], "YY-MMM")</f>
        <v>18-Dec</v>
      </c>
      <c r="L914" s="11">
        <f>Order_Details[[#This Row],[Profit]]/Order_Details[[#This Row],[Amount]]</f>
        <v>0.45945945945945948</v>
      </c>
      <c r="M914" s="8">
        <f>YEAR(Order_Details[[#This Row],[Order Date]])</f>
        <v>2018</v>
      </c>
      <c r="N914" s="8">
        <f>ROUNDUP(MONTH(Order_Details[[#This Row],[Order Date]])/3, 0)</f>
        <v>4</v>
      </c>
    </row>
    <row r="915" spans="1:14">
      <c r="A915" s="1" t="s">
        <v>726</v>
      </c>
      <c r="B915" s="1">
        <v>60</v>
      </c>
      <c r="C915" s="1">
        <v>-10</v>
      </c>
      <c r="D915" s="1">
        <v>2</v>
      </c>
      <c r="E915" s="1" t="s">
        <v>1075</v>
      </c>
      <c r="F915" s="1" t="s">
        <v>1116</v>
      </c>
      <c r="G915" s="7" t="str">
        <f>_xlfn.XLOOKUP(Order_Details[[#This Row],[Order ID]], List_of_orders[Order ID], List_of_orders[State])</f>
        <v>Madhya Pradesh</v>
      </c>
      <c r="H915" s="10">
        <f>_xlfn.XLOOKUP(Order_Details[[#This Row],[Order ID]], List_of_orders[Order ID], List_of_orders[Order Date (Clean)])</f>
        <v>43444</v>
      </c>
      <c r="I915" s="7" t="str">
        <f>_xlfn.XLOOKUP(Order_Details[[#This Row],[Order ID]], List_of_orders[Order ID], List_of_orders[CustomerName])</f>
        <v>Amlan</v>
      </c>
      <c r="J915" s="7" t="str">
        <f>_xlfn.XLOOKUP(Order_Details[[#This Row],[Order ID]], List_of_orders[Order ID], List_of_orders[City])</f>
        <v>Indore</v>
      </c>
      <c r="K915" s="8" t="str">
        <f>TEXT(Order_Details[[#This Row],[Order Date]], "YY-MMM")</f>
        <v>18-Dec</v>
      </c>
      <c r="L915" s="11">
        <f>Order_Details[[#This Row],[Profit]]/Order_Details[[#This Row],[Amount]]</f>
        <v>-0.16666666666666666</v>
      </c>
      <c r="M915" s="8">
        <f>YEAR(Order_Details[[#This Row],[Order Date]])</f>
        <v>2018</v>
      </c>
      <c r="N915" s="8">
        <f>ROUNDUP(MONTH(Order_Details[[#This Row],[Order Date]])/3, 0)</f>
        <v>4</v>
      </c>
    </row>
    <row r="916" spans="1:14">
      <c r="A916" s="1" t="s">
        <v>726</v>
      </c>
      <c r="B916" s="1">
        <v>204</v>
      </c>
      <c r="C916" s="1">
        <v>94</v>
      </c>
      <c r="D916" s="1">
        <v>4</v>
      </c>
      <c r="E916" s="1" t="s">
        <v>1076</v>
      </c>
      <c r="F916" s="1" t="s">
        <v>1103</v>
      </c>
      <c r="G916" s="7" t="str">
        <f>_xlfn.XLOOKUP(Order_Details[[#This Row],[Order ID]], List_of_orders[Order ID], List_of_orders[State])</f>
        <v>Madhya Pradesh</v>
      </c>
      <c r="H916" s="10">
        <f>_xlfn.XLOOKUP(Order_Details[[#This Row],[Order ID]], List_of_orders[Order ID], List_of_orders[Order Date (Clean)])</f>
        <v>43444</v>
      </c>
      <c r="I916" s="7" t="str">
        <f>_xlfn.XLOOKUP(Order_Details[[#This Row],[Order ID]], List_of_orders[Order ID], List_of_orders[CustomerName])</f>
        <v>Amlan</v>
      </c>
      <c r="J916" s="7" t="str">
        <f>_xlfn.XLOOKUP(Order_Details[[#This Row],[Order ID]], List_of_orders[Order ID], List_of_orders[City])</f>
        <v>Indore</v>
      </c>
      <c r="K916" s="8" t="str">
        <f>TEXT(Order_Details[[#This Row],[Order Date]], "YY-MMM")</f>
        <v>18-Dec</v>
      </c>
      <c r="L916" s="11">
        <f>Order_Details[[#This Row],[Profit]]/Order_Details[[#This Row],[Amount]]</f>
        <v>0.46078431372549017</v>
      </c>
      <c r="M916" s="8">
        <f>YEAR(Order_Details[[#This Row],[Order Date]])</f>
        <v>2018</v>
      </c>
      <c r="N916" s="8">
        <f>ROUNDUP(MONTH(Order_Details[[#This Row],[Order Date]])/3, 0)</f>
        <v>4</v>
      </c>
    </row>
    <row r="917" spans="1:14">
      <c r="A917" s="1" t="s">
        <v>726</v>
      </c>
      <c r="B917" s="1">
        <v>74</v>
      </c>
      <c r="C917" s="1">
        <v>33</v>
      </c>
      <c r="D917" s="1">
        <v>2</v>
      </c>
      <c r="E917" s="1" t="s">
        <v>1076</v>
      </c>
      <c r="F917" s="1" t="s">
        <v>1111</v>
      </c>
      <c r="G917" s="7" t="str">
        <f>_xlfn.XLOOKUP(Order_Details[[#This Row],[Order ID]], List_of_orders[Order ID], List_of_orders[State])</f>
        <v>Madhya Pradesh</v>
      </c>
      <c r="H917" s="10">
        <f>_xlfn.XLOOKUP(Order_Details[[#This Row],[Order ID]], List_of_orders[Order ID], List_of_orders[Order Date (Clean)])</f>
        <v>43444</v>
      </c>
      <c r="I917" s="7" t="str">
        <f>_xlfn.XLOOKUP(Order_Details[[#This Row],[Order ID]], List_of_orders[Order ID], List_of_orders[CustomerName])</f>
        <v>Amlan</v>
      </c>
      <c r="J917" s="7" t="str">
        <f>_xlfn.XLOOKUP(Order_Details[[#This Row],[Order ID]], List_of_orders[Order ID], List_of_orders[City])</f>
        <v>Indore</v>
      </c>
      <c r="K917" s="8" t="str">
        <f>TEXT(Order_Details[[#This Row],[Order Date]], "YY-MMM")</f>
        <v>18-Dec</v>
      </c>
      <c r="L917" s="11">
        <f>Order_Details[[#This Row],[Profit]]/Order_Details[[#This Row],[Amount]]</f>
        <v>0.44594594594594594</v>
      </c>
      <c r="M917" s="8">
        <f>YEAR(Order_Details[[#This Row],[Order Date]])</f>
        <v>2018</v>
      </c>
      <c r="N917" s="8">
        <f>ROUNDUP(MONTH(Order_Details[[#This Row],[Order Date]])/3, 0)</f>
        <v>4</v>
      </c>
    </row>
    <row r="918" spans="1:14">
      <c r="A918" s="1" t="s">
        <v>726</v>
      </c>
      <c r="B918" s="1">
        <v>336</v>
      </c>
      <c r="C918" s="1">
        <v>57</v>
      </c>
      <c r="D918" s="1">
        <v>2</v>
      </c>
      <c r="E918" s="1" t="s">
        <v>1077</v>
      </c>
      <c r="F918" s="1" t="s">
        <v>1105</v>
      </c>
      <c r="G918" s="7" t="str">
        <f>_xlfn.XLOOKUP(Order_Details[[#This Row],[Order ID]], List_of_orders[Order ID], List_of_orders[State])</f>
        <v>Madhya Pradesh</v>
      </c>
      <c r="H918" s="10">
        <f>_xlfn.XLOOKUP(Order_Details[[#This Row],[Order ID]], List_of_orders[Order ID], List_of_orders[Order Date (Clean)])</f>
        <v>43444</v>
      </c>
      <c r="I918" s="7" t="str">
        <f>_xlfn.XLOOKUP(Order_Details[[#This Row],[Order ID]], List_of_orders[Order ID], List_of_orders[CustomerName])</f>
        <v>Amlan</v>
      </c>
      <c r="J918" s="7" t="str">
        <f>_xlfn.XLOOKUP(Order_Details[[#This Row],[Order ID]], List_of_orders[Order ID], List_of_orders[City])</f>
        <v>Indore</v>
      </c>
      <c r="K918" s="8" t="str">
        <f>TEXT(Order_Details[[#This Row],[Order Date]], "YY-MMM")</f>
        <v>18-Dec</v>
      </c>
      <c r="L918" s="11">
        <f>Order_Details[[#This Row],[Profit]]/Order_Details[[#This Row],[Amount]]</f>
        <v>0.16964285714285715</v>
      </c>
      <c r="M918" s="8">
        <f>YEAR(Order_Details[[#This Row],[Order Date]])</f>
        <v>2018</v>
      </c>
      <c r="N918" s="8">
        <f>ROUNDUP(MONTH(Order_Details[[#This Row],[Order Date]])/3, 0)</f>
        <v>4</v>
      </c>
    </row>
    <row r="919" spans="1:14">
      <c r="A919" s="1" t="s">
        <v>728</v>
      </c>
      <c r="B919" s="1">
        <v>871</v>
      </c>
      <c r="C919" s="1">
        <v>131</v>
      </c>
      <c r="D919" s="1">
        <v>2</v>
      </c>
      <c r="E919" s="1" t="s">
        <v>1075</v>
      </c>
      <c r="F919" s="1" t="s">
        <v>1101</v>
      </c>
      <c r="G919" s="7" t="str">
        <f>_xlfn.XLOOKUP(Order_Details[[#This Row],[Order ID]], List_of_orders[Order ID], List_of_orders[State])</f>
        <v>Delhi</v>
      </c>
      <c r="H919" s="10">
        <f>_xlfn.XLOOKUP(Order_Details[[#This Row],[Order ID]], List_of_orders[Order ID], List_of_orders[Order Date (Clean)])</f>
        <v>43444</v>
      </c>
      <c r="I919" s="7" t="str">
        <f>_xlfn.XLOOKUP(Order_Details[[#This Row],[Order ID]], List_of_orders[Order ID], List_of_orders[CustomerName])</f>
        <v>Swapnil</v>
      </c>
      <c r="J919" s="7" t="str">
        <f>_xlfn.XLOOKUP(Order_Details[[#This Row],[Order ID]], List_of_orders[Order ID], List_of_orders[City])</f>
        <v>Delhi</v>
      </c>
      <c r="K919" s="8" t="str">
        <f>TEXT(Order_Details[[#This Row],[Order Date]], "YY-MMM")</f>
        <v>18-Dec</v>
      </c>
      <c r="L919" s="11">
        <f>Order_Details[[#This Row],[Profit]]/Order_Details[[#This Row],[Amount]]</f>
        <v>0.15040183696900114</v>
      </c>
      <c r="M919" s="8">
        <f>YEAR(Order_Details[[#This Row],[Order Date]])</f>
        <v>2018</v>
      </c>
      <c r="N919" s="8">
        <f>ROUNDUP(MONTH(Order_Details[[#This Row],[Order Date]])/3, 0)</f>
        <v>4</v>
      </c>
    </row>
    <row r="920" spans="1:14">
      <c r="A920" s="1" t="s">
        <v>728</v>
      </c>
      <c r="B920" s="1">
        <v>83</v>
      </c>
      <c r="C920" s="1">
        <v>12</v>
      </c>
      <c r="D920" s="1">
        <v>2</v>
      </c>
      <c r="E920" s="1" t="s">
        <v>1075</v>
      </c>
      <c r="F920" s="1" t="s">
        <v>1108</v>
      </c>
      <c r="G920" s="7" t="str">
        <f>_xlfn.XLOOKUP(Order_Details[[#This Row],[Order ID]], List_of_orders[Order ID], List_of_orders[State])</f>
        <v>Delhi</v>
      </c>
      <c r="H920" s="10">
        <f>_xlfn.XLOOKUP(Order_Details[[#This Row],[Order ID]], List_of_orders[Order ID], List_of_orders[Order Date (Clean)])</f>
        <v>43444</v>
      </c>
      <c r="I920" s="7" t="str">
        <f>_xlfn.XLOOKUP(Order_Details[[#This Row],[Order ID]], List_of_orders[Order ID], List_of_orders[CustomerName])</f>
        <v>Swapnil</v>
      </c>
      <c r="J920" s="7" t="str">
        <f>_xlfn.XLOOKUP(Order_Details[[#This Row],[Order ID]], List_of_orders[Order ID], List_of_orders[City])</f>
        <v>Delhi</v>
      </c>
      <c r="K920" s="8" t="str">
        <f>TEXT(Order_Details[[#This Row],[Order Date]], "YY-MMM")</f>
        <v>18-Dec</v>
      </c>
      <c r="L920" s="11">
        <f>Order_Details[[#This Row],[Profit]]/Order_Details[[#This Row],[Amount]]</f>
        <v>0.14457831325301204</v>
      </c>
      <c r="M920" s="8">
        <f>YEAR(Order_Details[[#This Row],[Order Date]])</f>
        <v>2018</v>
      </c>
      <c r="N920" s="8">
        <f>ROUNDUP(MONTH(Order_Details[[#This Row],[Order Date]])/3, 0)</f>
        <v>4</v>
      </c>
    </row>
    <row r="921" spans="1:14">
      <c r="A921" s="1" t="s">
        <v>730</v>
      </c>
      <c r="B921" s="1">
        <v>152</v>
      </c>
      <c r="C921" s="1">
        <v>50</v>
      </c>
      <c r="D921" s="1">
        <v>6</v>
      </c>
      <c r="E921" s="1" t="s">
        <v>1076</v>
      </c>
      <c r="F921" s="1" t="s">
        <v>1102</v>
      </c>
      <c r="G921" s="7" t="str">
        <f>_xlfn.XLOOKUP(Order_Details[[#This Row],[Order ID]], List_of_orders[Order ID], List_of_orders[State])</f>
        <v>Madhya Pradesh</v>
      </c>
      <c r="H921" s="10">
        <f>_xlfn.XLOOKUP(Order_Details[[#This Row],[Order ID]], List_of_orders[Order ID], List_of_orders[Order Date (Clean)])</f>
        <v>43445</v>
      </c>
      <c r="I921" s="7" t="str">
        <f>_xlfn.XLOOKUP(Order_Details[[#This Row],[Order ID]], List_of_orders[Order ID], List_of_orders[CustomerName])</f>
        <v>Bhargav</v>
      </c>
      <c r="J921" s="7" t="str">
        <f>_xlfn.XLOOKUP(Order_Details[[#This Row],[Order ID]], List_of_orders[Order ID], List_of_orders[City])</f>
        <v>Delhi</v>
      </c>
      <c r="K921" s="8" t="str">
        <f>TEXT(Order_Details[[#This Row],[Order Date]], "YY-MMM")</f>
        <v>18-Dec</v>
      </c>
      <c r="L921" s="11">
        <f>Order_Details[[#This Row],[Profit]]/Order_Details[[#This Row],[Amount]]</f>
        <v>0.32894736842105265</v>
      </c>
      <c r="M921" s="8">
        <f>YEAR(Order_Details[[#This Row],[Order Date]])</f>
        <v>2018</v>
      </c>
      <c r="N921" s="8">
        <f>ROUNDUP(MONTH(Order_Details[[#This Row],[Order Date]])/3, 0)</f>
        <v>4</v>
      </c>
    </row>
    <row r="922" spans="1:14">
      <c r="A922" s="1" t="s">
        <v>732</v>
      </c>
      <c r="B922" s="1">
        <v>78</v>
      </c>
      <c r="C922" s="1">
        <v>27</v>
      </c>
      <c r="D922" s="1">
        <v>3</v>
      </c>
      <c r="E922" s="1" t="s">
        <v>1076</v>
      </c>
      <c r="F922" s="1" t="s">
        <v>1102</v>
      </c>
      <c r="G922" s="7" t="str">
        <f>_xlfn.XLOOKUP(Order_Details[[#This Row],[Order ID]], List_of_orders[Order ID], List_of_orders[State])</f>
        <v>Delhi</v>
      </c>
      <c r="H922" s="10">
        <f>_xlfn.XLOOKUP(Order_Details[[#This Row],[Order ID]], List_of_orders[Order ID], List_of_orders[Order Date (Clean)])</f>
        <v>43445</v>
      </c>
      <c r="I922" s="7" t="str">
        <f>_xlfn.XLOOKUP(Order_Details[[#This Row],[Order ID]], List_of_orders[Order ID], List_of_orders[CustomerName])</f>
        <v>Abhijit</v>
      </c>
      <c r="J922" s="7" t="str">
        <f>_xlfn.XLOOKUP(Order_Details[[#This Row],[Order ID]], List_of_orders[Order ID], List_of_orders[City])</f>
        <v>Delhi</v>
      </c>
      <c r="K922" s="8" t="str">
        <f>TEXT(Order_Details[[#This Row],[Order Date]], "YY-MMM")</f>
        <v>18-Dec</v>
      </c>
      <c r="L922" s="11">
        <f>Order_Details[[#This Row],[Profit]]/Order_Details[[#This Row],[Amount]]</f>
        <v>0.34615384615384615</v>
      </c>
      <c r="M922" s="8">
        <f>YEAR(Order_Details[[#This Row],[Order Date]])</f>
        <v>2018</v>
      </c>
      <c r="N922" s="8">
        <f>ROUNDUP(MONTH(Order_Details[[#This Row],[Order Date]])/3, 0)</f>
        <v>4</v>
      </c>
    </row>
    <row r="923" spans="1:14">
      <c r="A923" s="1" t="s">
        <v>734</v>
      </c>
      <c r="B923" s="1">
        <v>30</v>
      </c>
      <c r="C923" s="1">
        <v>11</v>
      </c>
      <c r="D923" s="1">
        <v>5</v>
      </c>
      <c r="E923" s="1" t="s">
        <v>1076</v>
      </c>
      <c r="F923" s="1" t="s">
        <v>1103</v>
      </c>
      <c r="G923" s="7" t="str">
        <f>_xlfn.XLOOKUP(Order_Details[[#This Row],[Order ID]], List_of_orders[Order ID], List_of_orders[State])</f>
        <v>Madhya Pradesh</v>
      </c>
      <c r="H923" s="10">
        <f>_xlfn.XLOOKUP(Order_Details[[#This Row],[Order ID]], List_of_orders[Order ID], List_of_orders[Order Date (Clean)])</f>
        <v>43445</v>
      </c>
      <c r="I923" s="7" t="str">
        <f>_xlfn.XLOOKUP(Order_Details[[#This Row],[Order ID]], List_of_orders[Order ID], List_of_orders[CustomerName])</f>
        <v>Jaydeep</v>
      </c>
      <c r="J923" s="7" t="str">
        <f>_xlfn.XLOOKUP(Order_Details[[#This Row],[Order ID]], List_of_orders[Order ID], List_of_orders[City])</f>
        <v>Bhopal</v>
      </c>
      <c r="K923" s="8" t="str">
        <f>TEXT(Order_Details[[#This Row],[Order Date]], "YY-MMM")</f>
        <v>18-Dec</v>
      </c>
      <c r="L923" s="11">
        <f>Order_Details[[#This Row],[Profit]]/Order_Details[[#This Row],[Amount]]</f>
        <v>0.36666666666666664</v>
      </c>
      <c r="M923" s="8">
        <f>YEAR(Order_Details[[#This Row],[Order Date]])</f>
        <v>2018</v>
      </c>
      <c r="N923" s="8">
        <f>ROUNDUP(MONTH(Order_Details[[#This Row],[Order Date]])/3, 0)</f>
        <v>4</v>
      </c>
    </row>
    <row r="924" spans="1:14">
      <c r="A924" s="1" t="s">
        <v>736</v>
      </c>
      <c r="B924" s="1">
        <v>179</v>
      </c>
      <c r="C924" s="1">
        <v>25</v>
      </c>
      <c r="D924" s="1">
        <v>5</v>
      </c>
      <c r="E924" s="1" t="s">
        <v>1076</v>
      </c>
      <c r="F924" s="1" t="s">
        <v>1109</v>
      </c>
      <c r="G924" s="7" t="str">
        <f>_xlfn.XLOOKUP(Order_Details[[#This Row],[Order ID]], List_of_orders[Order ID], List_of_orders[State])</f>
        <v>Delhi</v>
      </c>
      <c r="H924" s="10">
        <f>_xlfn.XLOOKUP(Order_Details[[#This Row],[Order ID]], List_of_orders[Order ID], List_of_orders[Order Date (Clean)])</f>
        <v>43446</v>
      </c>
      <c r="I924" s="7" t="str">
        <f>_xlfn.XLOOKUP(Order_Details[[#This Row],[Order ID]], List_of_orders[Order ID], List_of_orders[CustomerName])</f>
        <v>Pradeep</v>
      </c>
      <c r="J924" s="7" t="str">
        <f>_xlfn.XLOOKUP(Order_Details[[#This Row],[Order ID]], List_of_orders[Order ID], List_of_orders[City])</f>
        <v>Delhi</v>
      </c>
      <c r="K924" s="8" t="str">
        <f>TEXT(Order_Details[[#This Row],[Order Date]], "YY-MMM")</f>
        <v>18-Dec</v>
      </c>
      <c r="L924" s="11">
        <f>Order_Details[[#This Row],[Profit]]/Order_Details[[#This Row],[Amount]]</f>
        <v>0.13966480446927373</v>
      </c>
      <c r="M924" s="8">
        <f>YEAR(Order_Details[[#This Row],[Order Date]])</f>
        <v>2018</v>
      </c>
      <c r="N924" s="8">
        <f>ROUNDUP(MONTH(Order_Details[[#This Row],[Order Date]])/3, 0)</f>
        <v>4</v>
      </c>
    </row>
    <row r="925" spans="1:14">
      <c r="A925" s="1" t="s">
        <v>738</v>
      </c>
      <c r="B925" s="1">
        <v>168</v>
      </c>
      <c r="C925" s="1">
        <v>56</v>
      </c>
      <c r="D925" s="1">
        <v>3</v>
      </c>
      <c r="E925" s="1" t="s">
        <v>1076</v>
      </c>
      <c r="F925" s="1" t="s">
        <v>1106</v>
      </c>
      <c r="G925" s="7" t="str">
        <f>_xlfn.XLOOKUP(Order_Details[[#This Row],[Order ID]], List_of_orders[Order ID], List_of_orders[State])</f>
        <v>Madhya Pradesh</v>
      </c>
      <c r="H925" s="10">
        <f>_xlfn.XLOOKUP(Order_Details[[#This Row],[Order ID]], List_of_orders[Order ID], List_of_orders[Order Date (Clean)])</f>
        <v>43447</v>
      </c>
      <c r="I925" s="7" t="str">
        <f>_xlfn.XLOOKUP(Order_Details[[#This Row],[Order ID]], List_of_orders[Order ID], List_of_orders[CustomerName])</f>
        <v>Sujay</v>
      </c>
      <c r="J925" s="7" t="str">
        <f>_xlfn.XLOOKUP(Order_Details[[#This Row],[Order ID]], List_of_orders[Order ID], List_of_orders[City])</f>
        <v>Delhi</v>
      </c>
      <c r="K925" s="8" t="str">
        <f>TEXT(Order_Details[[#This Row],[Order Date]], "YY-MMM")</f>
        <v>18-Dec</v>
      </c>
      <c r="L925" s="11">
        <f>Order_Details[[#This Row],[Profit]]/Order_Details[[#This Row],[Amount]]</f>
        <v>0.33333333333333331</v>
      </c>
      <c r="M925" s="8">
        <f>YEAR(Order_Details[[#This Row],[Order Date]])</f>
        <v>2018</v>
      </c>
      <c r="N925" s="8">
        <f>ROUNDUP(MONTH(Order_Details[[#This Row],[Order Date]])/3, 0)</f>
        <v>4</v>
      </c>
    </row>
    <row r="926" spans="1:14">
      <c r="A926" s="1" t="s">
        <v>738</v>
      </c>
      <c r="B926" s="1">
        <v>108</v>
      </c>
      <c r="C926" s="1">
        <v>22</v>
      </c>
      <c r="D926" s="1">
        <v>3</v>
      </c>
      <c r="E926" s="1" t="s">
        <v>1077</v>
      </c>
      <c r="F926" s="1" t="s">
        <v>1115</v>
      </c>
      <c r="G926" s="7" t="str">
        <f>_xlfn.XLOOKUP(Order_Details[[#This Row],[Order ID]], List_of_orders[Order ID], List_of_orders[State])</f>
        <v>Madhya Pradesh</v>
      </c>
      <c r="H926" s="10">
        <f>_xlfn.XLOOKUP(Order_Details[[#This Row],[Order ID]], List_of_orders[Order ID], List_of_orders[Order Date (Clean)])</f>
        <v>43447</v>
      </c>
      <c r="I926" s="7" t="str">
        <f>_xlfn.XLOOKUP(Order_Details[[#This Row],[Order ID]], List_of_orders[Order ID], List_of_orders[CustomerName])</f>
        <v>Sujay</v>
      </c>
      <c r="J926" s="7" t="str">
        <f>_xlfn.XLOOKUP(Order_Details[[#This Row],[Order ID]], List_of_orders[Order ID], List_of_orders[City])</f>
        <v>Delhi</v>
      </c>
      <c r="K926" s="8" t="str">
        <f>TEXT(Order_Details[[#This Row],[Order Date]], "YY-MMM")</f>
        <v>18-Dec</v>
      </c>
      <c r="L926" s="11">
        <f>Order_Details[[#This Row],[Profit]]/Order_Details[[#This Row],[Amount]]</f>
        <v>0.20370370370370369</v>
      </c>
      <c r="M926" s="8">
        <f>YEAR(Order_Details[[#This Row],[Order Date]])</f>
        <v>2018</v>
      </c>
      <c r="N926" s="8">
        <f>ROUNDUP(MONTH(Order_Details[[#This Row],[Order Date]])/3, 0)</f>
        <v>4</v>
      </c>
    </row>
    <row r="927" spans="1:14">
      <c r="A927" s="1" t="s">
        <v>738</v>
      </c>
      <c r="B927" s="1">
        <v>1622</v>
      </c>
      <c r="C927" s="1">
        <v>248</v>
      </c>
      <c r="D927" s="1">
        <v>3</v>
      </c>
      <c r="E927" s="1" t="s">
        <v>1077</v>
      </c>
      <c r="F927" s="1" t="s">
        <v>1105</v>
      </c>
      <c r="G927" s="7" t="str">
        <f>_xlfn.XLOOKUP(Order_Details[[#This Row],[Order ID]], List_of_orders[Order ID], List_of_orders[State])</f>
        <v>Madhya Pradesh</v>
      </c>
      <c r="H927" s="10">
        <f>_xlfn.XLOOKUP(Order_Details[[#This Row],[Order ID]], List_of_orders[Order ID], List_of_orders[Order Date (Clean)])</f>
        <v>43447</v>
      </c>
      <c r="I927" s="7" t="str">
        <f>_xlfn.XLOOKUP(Order_Details[[#This Row],[Order ID]], List_of_orders[Order ID], List_of_orders[CustomerName])</f>
        <v>Sujay</v>
      </c>
      <c r="J927" s="7" t="str">
        <f>_xlfn.XLOOKUP(Order_Details[[#This Row],[Order ID]], List_of_orders[Order ID], List_of_orders[City])</f>
        <v>Delhi</v>
      </c>
      <c r="K927" s="8" t="str">
        <f>TEXT(Order_Details[[#This Row],[Order Date]], "YY-MMM")</f>
        <v>18-Dec</v>
      </c>
      <c r="L927" s="11">
        <f>Order_Details[[#This Row],[Profit]]/Order_Details[[#This Row],[Amount]]</f>
        <v>0.15289765721331688</v>
      </c>
      <c r="M927" s="8">
        <f>YEAR(Order_Details[[#This Row],[Order Date]])</f>
        <v>2018</v>
      </c>
      <c r="N927" s="8">
        <f>ROUNDUP(MONTH(Order_Details[[#This Row],[Order Date]])/3, 0)</f>
        <v>4</v>
      </c>
    </row>
    <row r="928" spans="1:14">
      <c r="A928" s="1" t="s">
        <v>738</v>
      </c>
      <c r="B928" s="1">
        <v>323</v>
      </c>
      <c r="C928" s="1">
        <v>122</v>
      </c>
      <c r="D928" s="1">
        <v>5</v>
      </c>
      <c r="E928" s="1" t="s">
        <v>1077</v>
      </c>
      <c r="F928" s="1" t="s">
        <v>1105</v>
      </c>
      <c r="G928" s="7" t="str">
        <f>_xlfn.XLOOKUP(Order_Details[[#This Row],[Order ID]], List_of_orders[Order ID], List_of_orders[State])</f>
        <v>Madhya Pradesh</v>
      </c>
      <c r="H928" s="10">
        <f>_xlfn.XLOOKUP(Order_Details[[#This Row],[Order ID]], List_of_orders[Order ID], List_of_orders[Order Date (Clean)])</f>
        <v>43447</v>
      </c>
      <c r="I928" s="7" t="str">
        <f>_xlfn.XLOOKUP(Order_Details[[#This Row],[Order ID]], List_of_orders[Order ID], List_of_orders[CustomerName])</f>
        <v>Sujay</v>
      </c>
      <c r="J928" s="7" t="str">
        <f>_xlfn.XLOOKUP(Order_Details[[#This Row],[Order ID]], List_of_orders[Order ID], List_of_orders[City])</f>
        <v>Delhi</v>
      </c>
      <c r="K928" s="8" t="str">
        <f>TEXT(Order_Details[[#This Row],[Order Date]], "YY-MMM")</f>
        <v>18-Dec</v>
      </c>
      <c r="L928" s="11">
        <f>Order_Details[[#This Row],[Profit]]/Order_Details[[#This Row],[Amount]]</f>
        <v>0.37770897832817335</v>
      </c>
      <c r="M928" s="8">
        <f>YEAR(Order_Details[[#This Row],[Order Date]])</f>
        <v>2018</v>
      </c>
      <c r="N928" s="8">
        <f>ROUNDUP(MONTH(Order_Details[[#This Row],[Order Date]])/3, 0)</f>
        <v>4</v>
      </c>
    </row>
    <row r="929" spans="1:14">
      <c r="A929" s="1" t="s">
        <v>738</v>
      </c>
      <c r="B929" s="1">
        <v>12</v>
      </c>
      <c r="C929" s="1">
        <v>2</v>
      </c>
      <c r="D929" s="1">
        <v>2</v>
      </c>
      <c r="E929" s="1" t="s">
        <v>1076</v>
      </c>
      <c r="F929" s="1" t="s">
        <v>1117</v>
      </c>
      <c r="G929" s="7" t="str">
        <f>_xlfn.XLOOKUP(Order_Details[[#This Row],[Order ID]], List_of_orders[Order ID], List_of_orders[State])</f>
        <v>Madhya Pradesh</v>
      </c>
      <c r="H929" s="10">
        <f>_xlfn.XLOOKUP(Order_Details[[#This Row],[Order ID]], List_of_orders[Order ID], List_of_orders[Order Date (Clean)])</f>
        <v>43447</v>
      </c>
      <c r="I929" s="7" t="str">
        <f>_xlfn.XLOOKUP(Order_Details[[#This Row],[Order ID]], List_of_orders[Order ID], List_of_orders[CustomerName])</f>
        <v>Sujay</v>
      </c>
      <c r="J929" s="7" t="str">
        <f>_xlfn.XLOOKUP(Order_Details[[#This Row],[Order ID]], List_of_orders[Order ID], List_of_orders[City])</f>
        <v>Delhi</v>
      </c>
      <c r="K929" s="8" t="str">
        <f>TEXT(Order_Details[[#This Row],[Order Date]], "YY-MMM")</f>
        <v>18-Dec</v>
      </c>
      <c r="L929" s="11">
        <f>Order_Details[[#This Row],[Profit]]/Order_Details[[#This Row],[Amount]]</f>
        <v>0.16666666666666666</v>
      </c>
      <c r="M929" s="8">
        <f>YEAR(Order_Details[[#This Row],[Order Date]])</f>
        <v>2018</v>
      </c>
      <c r="N929" s="8">
        <f>ROUNDUP(MONTH(Order_Details[[#This Row],[Order Date]])/3, 0)</f>
        <v>4</v>
      </c>
    </row>
    <row r="930" spans="1:14">
      <c r="A930" s="1" t="s">
        <v>741</v>
      </c>
      <c r="B930" s="1">
        <v>125</v>
      </c>
      <c r="C930" s="1">
        <v>15</v>
      </c>
      <c r="D930" s="1">
        <v>5</v>
      </c>
      <c r="E930" s="1" t="s">
        <v>1076</v>
      </c>
      <c r="F930" s="1" t="s">
        <v>1111</v>
      </c>
      <c r="G930" s="7" t="str">
        <f>_xlfn.XLOOKUP(Order_Details[[#This Row],[Order ID]], List_of_orders[Order ID], List_of_orders[State])</f>
        <v>Delhi</v>
      </c>
      <c r="H930" s="10">
        <f>_xlfn.XLOOKUP(Order_Details[[#This Row],[Order ID]], List_of_orders[Order ID], List_of_orders[Order Date (Clean)])</f>
        <v>43448</v>
      </c>
      <c r="I930" s="7" t="str">
        <f>_xlfn.XLOOKUP(Order_Details[[#This Row],[Order ID]], List_of_orders[Order ID], List_of_orders[CustomerName])</f>
        <v>Jay</v>
      </c>
      <c r="J930" s="7" t="str">
        <f>_xlfn.XLOOKUP(Order_Details[[#This Row],[Order ID]], List_of_orders[Order ID], List_of_orders[City])</f>
        <v>Delhi</v>
      </c>
      <c r="K930" s="8" t="str">
        <f>TEXT(Order_Details[[#This Row],[Order Date]], "YY-MMM")</f>
        <v>18-Dec</v>
      </c>
      <c r="L930" s="11">
        <f>Order_Details[[#This Row],[Profit]]/Order_Details[[#This Row],[Amount]]</f>
        <v>0.12</v>
      </c>
      <c r="M930" s="8">
        <f>YEAR(Order_Details[[#This Row],[Order Date]])</f>
        <v>2018</v>
      </c>
      <c r="N930" s="8">
        <f>ROUNDUP(MONTH(Order_Details[[#This Row],[Order Date]])/3, 0)</f>
        <v>4</v>
      </c>
    </row>
    <row r="931" spans="1:14">
      <c r="A931" s="1" t="s">
        <v>741</v>
      </c>
      <c r="B931" s="1">
        <v>685</v>
      </c>
      <c r="C931" s="1">
        <v>7</v>
      </c>
      <c r="D931" s="1">
        <v>7</v>
      </c>
      <c r="E931" s="1" t="s">
        <v>1076</v>
      </c>
      <c r="F931" s="1" t="s">
        <v>1107</v>
      </c>
      <c r="G931" s="7" t="str">
        <f>_xlfn.XLOOKUP(Order_Details[[#This Row],[Order ID]], List_of_orders[Order ID], List_of_orders[State])</f>
        <v>Delhi</v>
      </c>
      <c r="H931" s="10">
        <f>_xlfn.XLOOKUP(Order_Details[[#This Row],[Order ID]], List_of_orders[Order ID], List_of_orders[Order Date (Clean)])</f>
        <v>43448</v>
      </c>
      <c r="I931" s="7" t="str">
        <f>_xlfn.XLOOKUP(Order_Details[[#This Row],[Order ID]], List_of_orders[Order ID], List_of_orders[CustomerName])</f>
        <v>Jay</v>
      </c>
      <c r="J931" s="7" t="str">
        <f>_xlfn.XLOOKUP(Order_Details[[#This Row],[Order ID]], List_of_orders[Order ID], List_of_orders[City])</f>
        <v>Delhi</v>
      </c>
      <c r="K931" s="8" t="str">
        <f>TEXT(Order_Details[[#This Row],[Order Date]], "YY-MMM")</f>
        <v>18-Dec</v>
      </c>
      <c r="L931" s="11">
        <f>Order_Details[[#This Row],[Profit]]/Order_Details[[#This Row],[Amount]]</f>
        <v>1.0218978102189781E-2</v>
      </c>
      <c r="M931" s="8">
        <f>YEAR(Order_Details[[#This Row],[Order Date]])</f>
        <v>2018</v>
      </c>
      <c r="N931" s="8">
        <f>ROUNDUP(MONTH(Order_Details[[#This Row],[Order Date]])/3, 0)</f>
        <v>4</v>
      </c>
    </row>
    <row r="932" spans="1:14">
      <c r="A932" s="1" t="s">
        <v>741</v>
      </c>
      <c r="B932" s="1">
        <v>850</v>
      </c>
      <c r="C932" s="1">
        <v>289</v>
      </c>
      <c r="D932" s="1">
        <v>5</v>
      </c>
      <c r="E932" s="1" t="s">
        <v>1077</v>
      </c>
      <c r="F932" s="1" t="s">
        <v>1104</v>
      </c>
      <c r="G932" s="7" t="str">
        <f>_xlfn.XLOOKUP(Order_Details[[#This Row],[Order ID]], List_of_orders[Order ID], List_of_orders[State])</f>
        <v>Delhi</v>
      </c>
      <c r="H932" s="10">
        <f>_xlfn.XLOOKUP(Order_Details[[#This Row],[Order ID]], List_of_orders[Order ID], List_of_orders[Order Date (Clean)])</f>
        <v>43448</v>
      </c>
      <c r="I932" s="7" t="str">
        <f>_xlfn.XLOOKUP(Order_Details[[#This Row],[Order ID]], List_of_orders[Order ID], List_of_orders[CustomerName])</f>
        <v>Jay</v>
      </c>
      <c r="J932" s="7" t="str">
        <f>_xlfn.XLOOKUP(Order_Details[[#This Row],[Order ID]], List_of_orders[Order ID], List_of_orders[City])</f>
        <v>Delhi</v>
      </c>
      <c r="K932" s="8" t="str">
        <f>TEXT(Order_Details[[#This Row],[Order Date]], "YY-MMM")</f>
        <v>18-Dec</v>
      </c>
      <c r="L932" s="11">
        <f>Order_Details[[#This Row],[Profit]]/Order_Details[[#This Row],[Amount]]</f>
        <v>0.34</v>
      </c>
      <c r="M932" s="8">
        <f>YEAR(Order_Details[[#This Row],[Order Date]])</f>
        <v>2018</v>
      </c>
      <c r="N932" s="8">
        <f>ROUNDUP(MONTH(Order_Details[[#This Row],[Order Date]])/3, 0)</f>
        <v>4</v>
      </c>
    </row>
    <row r="933" spans="1:14">
      <c r="A933" s="1" t="s">
        <v>741</v>
      </c>
      <c r="B933" s="1">
        <v>1622</v>
      </c>
      <c r="C933" s="1">
        <v>-624</v>
      </c>
      <c r="D933" s="1">
        <v>5</v>
      </c>
      <c r="E933" s="1" t="s">
        <v>1075</v>
      </c>
      <c r="F933" s="1" t="s">
        <v>1113</v>
      </c>
      <c r="G933" s="7" t="str">
        <f>_xlfn.XLOOKUP(Order_Details[[#This Row],[Order ID]], List_of_orders[Order ID], List_of_orders[State])</f>
        <v>Delhi</v>
      </c>
      <c r="H933" s="10">
        <f>_xlfn.XLOOKUP(Order_Details[[#This Row],[Order ID]], List_of_orders[Order ID], List_of_orders[Order Date (Clean)])</f>
        <v>43448</v>
      </c>
      <c r="I933" s="7" t="str">
        <f>_xlfn.XLOOKUP(Order_Details[[#This Row],[Order ID]], List_of_orders[Order ID], List_of_orders[CustomerName])</f>
        <v>Jay</v>
      </c>
      <c r="J933" s="7" t="str">
        <f>_xlfn.XLOOKUP(Order_Details[[#This Row],[Order ID]], List_of_orders[Order ID], List_of_orders[City])</f>
        <v>Delhi</v>
      </c>
      <c r="K933" s="8" t="str">
        <f>TEXT(Order_Details[[#This Row],[Order Date]], "YY-MMM")</f>
        <v>18-Dec</v>
      </c>
      <c r="L933" s="11">
        <f>Order_Details[[#This Row],[Profit]]/Order_Details[[#This Row],[Amount]]</f>
        <v>-0.38471023427866829</v>
      </c>
      <c r="M933" s="8">
        <f>YEAR(Order_Details[[#This Row],[Order Date]])</f>
        <v>2018</v>
      </c>
      <c r="N933" s="8">
        <f>ROUNDUP(MONTH(Order_Details[[#This Row],[Order Date]])/3, 0)</f>
        <v>4</v>
      </c>
    </row>
    <row r="934" spans="1:14">
      <c r="A934" s="1" t="s">
        <v>741</v>
      </c>
      <c r="B934" s="1">
        <v>259</v>
      </c>
      <c r="C934" s="1">
        <v>47</v>
      </c>
      <c r="D934" s="1">
        <v>5</v>
      </c>
      <c r="E934" s="1" t="s">
        <v>1076</v>
      </c>
      <c r="F934" s="1" t="s">
        <v>1103</v>
      </c>
      <c r="G934" s="7" t="str">
        <f>_xlfn.XLOOKUP(Order_Details[[#This Row],[Order ID]], List_of_orders[Order ID], List_of_orders[State])</f>
        <v>Delhi</v>
      </c>
      <c r="H934" s="10">
        <f>_xlfn.XLOOKUP(Order_Details[[#This Row],[Order ID]], List_of_orders[Order ID], List_of_orders[Order Date (Clean)])</f>
        <v>43448</v>
      </c>
      <c r="I934" s="7" t="str">
        <f>_xlfn.XLOOKUP(Order_Details[[#This Row],[Order ID]], List_of_orders[Order ID], List_of_orders[CustomerName])</f>
        <v>Jay</v>
      </c>
      <c r="J934" s="7" t="str">
        <f>_xlfn.XLOOKUP(Order_Details[[#This Row],[Order ID]], List_of_orders[Order ID], List_of_orders[City])</f>
        <v>Delhi</v>
      </c>
      <c r="K934" s="8" t="str">
        <f>TEXT(Order_Details[[#This Row],[Order Date]], "YY-MMM")</f>
        <v>18-Dec</v>
      </c>
      <c r="L934" s="11">
        <f>Order_Details[[#This Row],[Profit]]/Order_Details[[#This Row],[Amount]]</f>
        <v>0.18146718146718147</v>
      </c>
      <c r="M934" s="8">
        <f>YEAR(Order_Details[[#This Row],[Order Date]])</f>
        <v>2018</v>
      </c>
      <c r="N934" s="8">
        <f>ROUNDUP(MONTH(Order_Details[[#This Row],[Order Date]])/3, 0)</f>
        <v>4</v>
      </c>
    </row>
    <row r="935" spans="1:14">
      <c r="A935" s="1" t="s">
        <v>741</v>
      </c>
      <c r="B935" s="1">
        <v>33</v>
      </c>
      <c r="C935" s="1">
        <v>1</v>
      </c>
      <c r="D935" s="1">
        <v>2</v>
      </c>
      <c r="E935" s="1" t="s">
        <v>1076</v>
      </c>
      <c r="F935" s="1" t="s">
        <v>1111</v>
      </c>
      <c r="G935" s="7" t="str">
        <f>_xlfn.XLOOKUP(Order_Details[[#This Row],[Order ID]], List_of_orders[Order ID], List_of_orders[State])</f>
        <v>Delhi</v>
      </c>
      <c r="H935" s="10">
        <f>_xlfn.XLOOKUP(Order_Details[[#This Row],[Order ID]], List_of_orders[Order ID], List_of_orders[Order Date (Clean)])</f>
        <v>43448</v>
      </c>
      <c r="I935" s="7" t="str">
        <f>_xlfn.XLOOKUP(Order_Details[[#This Row],[Order ID]], List_of_orders[Order ID], List_of_orders[CustomerName])</f>
        <v>Jay</v>
      </c>
      <c r="J935" s="7" t="str">
        <f>_xlfn.XLOOKUP(Order_Details[[#This Row],[Order ID]], List_of_orders[Order ID], List_of_orders[City])</f>
        <v>Delhi</v>
      </c>
      <c r="K935" s="8" t="str">
        <f>TEXT(Order_Details[[#This Row],[Order Date]], "YY-MMM")</f>
        <v>18-Dec</v>
      </c>
      <c r="L935" s="11">
        <f>Order_Details[[#This Row],[Profit]]/Order_Details[[#This Row],[Amount]]</f>
        <v>3.0303030303030304E-2</v>
      </c>
      <c r="M935" s="8">
        <f>YEAR(Order_Details[[#This Row],[Order Date]])</f>
        <v>2018</v>
      </c>
      <c r="N935" s="8">
        <f>ROUNDUP(MONTH(Order_Details[[#This Row],[Order Date]])/3, 0)</f>
        <v>4</v>
      </c>
    </row>
    <row r="936" spans="1:14">
      <c r="A936" s="1" t="s">
        <v>744</v>
      </c>
      <c r="B936" s="1">
        <v>40</v>
      </c>
      <c r="C936" s="1">
        <v>15</v>
      </c>
      <c r="D936" s="1">
        <v>1</v>
      </c>
      <c r="E936" s="1" t="s">
        <v>1076</v>
      </c>
      <c r="F936" s="1" t="s">
        <v>1109</v>
      </c>
      <c r="G936" s="7" t="str">
        <f>_xlfn.XLOOKUP(Order_Details[[#This Row],[Order ID]], List_of_orders[Order ID], List_of_orders[State])</f>
        <v>Madhya Pradesh</v>
      </c>
      <c r="H936" s="10">
        <f>_xlfn.XLOOKUP(Order_Details[[#This Row],[Order ID]], List_of_orders[Order ID], List_of_orders[Order Date (Clean)])</f>
        <v>43449</v>
      </c>
      <c r="I936" s="7" t="str">
        <f>_xlfn.XLOOKUP(Order_Details[[#This Row],[Order ID]], List_of_orders[Order ID], List_of_orders[CustomerName])</f>
        <v>Phalguni</v>
      </c>
      <c r="J936" s="7" t="str">
        <f>_xlfn.XLOOKUP(Order_Details[[#This Row],[Order ID]], List_of_orders[Order ID], List_of_orders[City])</f>
        <v>Bhopal</v>
      </c>
      <c r="K936" s="8" t="str">
        <f>TEXT(Order_Details[[#This Row],[Order Date]], "YY-MMM")</f>
        <v>18-Dec</v>
      </c>
      <c r="L936" s="11">
        <f>Order_Details[[#This Row],[Profit]]/Order_Details[[#This Row],[Amount]]</f>
        <v>0.375</v>
      </c>
      <c r="M936" s="8">
        <f>YEAR(Order_Details[[#This Row],[Order Date]])</f>
        <v>2018</v>
      </c>
      <c r="N936" s="8">
        <f>ROUNDUP(MONTH(Order_Details[[#This Row],[Order Date]])/3, 0)</f>
        <v>4</v>
      </c>
    </row>
    <row r="937" spans="1:14">
      <c r="A937" s="1" t="s">
        <v>747</v>
      </c>
      <c r="B937" s="1">
        <v>102</v>
      </c>
      <c r="C937" s="1">
        <v>11</v>
      </c>
      <c r="D937" s="1">
        <v>6</v>
      </c>
      <c r="E937" s="1" t="s">
        <v>1076</v>
      </c>
      <c r="F937" s="1" t="s">
        <v>1110</v>
      </c>
      <c r="G937" s="7" t="str">
        <f>_xlfn.XLOOKUP(Order_Details[[#This Row],[Order ID]], List_of_orders[Order ID], List_of_orders[State])</f>
        <v>Delhi</v>
      </c>
      <c r="H937" s="10">
        <f>_xlfn.XLOOKUP(Order_Details[[#This Row],[Order ID]], List_of_orders[Order ID], List_of_orders[Order Date (Clean)])</f>
        <v>43450</v>
      </c>
      <c r="I937" s="7" t="str">
        <f>_xlfn.XLOOKUP(Order_Details[[#This Row],[Order ID]], List_of_orders[Order ID], List_of_orders[CustomerName])</f>
        <v>Preksha</v>
      </c>
      <c r="J937" s="7" t="str">
        <f>_xlfn.XLOOKUP(Order_Details[[#This Row],[Order ID]], List_of_orders[Order ID], List_of_orders[City])</f>
        <v>Delhi</v>
      </c>
      <c r="K937" s="8" t="str">
        <f>TEXT(Order_Details[[#This Row],[Order Date]], "YY-MMM")</f>
        <v>18-Dec</v>
      </c>
      <c r="L937" s="11">
        <f>Order_Details[[#This Row],[Profit]]/Order_Details[[#This Row],[Amount]]</f>
        <v>0.10784313725490197</v>
      </c>
      <c r="M937" s="8">
        <f>YEAR(Order_Details[[#This Row],[Order Date]])</f>
        <v>2018</v>
      </c>
      <c r="N937" s="8">
        <f>ROUNDUP(MONTH(Order_Details[[#This Row],[Order Date]])/3, 0)</f>
        <v>4</v>
      </c>
    </row>
    <row r="938" spans="1:14">
      <c r="A938" s="1" t="s">
        <v>750</v>
      </c>
      <c r="B938" s="1">
        <v>103</v>
      </c>
      <c r="C938" s="1">
        <v>21</v>
      </c>
      <c r="D938" s="1">
        <v>7</v>
      </c>
      <c r="E938" s="1" t="s">
        <v>1076</v>
      </c>
      <c r="F938" s="1" t="s">
        <v>1102</v>
      </c>
      <c r="G938" s="7" t="str">
        <f>_xlfn.XLOOKUP(Order_Details[[#This Row],[Order ID]], List_of_orders[Order ID], List_of_orders[State])</f>
        <v>Madhya Pradesh</v>
      </c>
      <c r="H938" s="10">
        <f>_xlfn.XLOOKUP(Order_Details[[#This Row],[Order ID]], List_of_orders[Order ID], List_of_orders[Order Date (Clean)])</f>
        <v>43451</v>
      </c>
      <c r="I938" s="7" t="str">
        <f>_xlfn.XLOOKUP(Order_Details[[#This Row],[Order ID]], List_of_orders[Order ID], List_of_orders[CustomerName])</f>
        <v>Geetanjali</v>
      </c>
      <c r="J938" s="7" t="str">
        <f>_xlfn.XLOOKUP(Order_Details[[#This Row],[Order ID]], List_of_orders[Order ID], List_of_orders[City])</f>
        <v>Delhi</v>
      </c>
      <c r="K938" s="8" t="str">
        <f>TEXT(Order_Details[[#This Row],[Order Date]], "YY-MMM")</f>
        <v>18-Dec</v>
      </c>
      <c r="L938" s="11">
        <f>Order_Details[[#This Row],[Profit]]/Order_Details[[#This Row],[Amount]]</f>
        <v>0.20388349514563106</v>
      </c>
      <c r="M938" s="8">
        <f>YEAR(Order_Details[[#This Row],[Order Date]])</f>
        <v>2018</v>
      </c>
      <c r="N938" s="8">
        <f>ROUNDUP(MONTH(Order_Details[[#This Row],[Order Date]])/3, 0)</f>
        <v>4</v>
      </c>
    </row>
    <row r="939" spans="1:14">
      <c r="A939" s="1" t="s">
        <v>753</v>
      </c>
      <c r="B939" s="1">
        <v>460</v>
      </c>
      <c r="C939" s="1">
        <v>143</v>
      </c>
      <c r="D939" s="1">
        <v>3</v>
      </c>
      <c r="E939" s="1" t="s">
        <v>1075</v>
      </c>
      <c r="F939" s="1" t="s">
        <v>1108</v>
      </c>
      <c r="G939" s="7" t="str">
        <f>_xlfn.XLOOKUP(Order_Details[[#This Row],[Order ID]], List_of_orders[Order ID], List_of_orders[State])</f>
        <v>Delhi</v>
      </c>
      <c r="H939" s="10">
        <f>_xlfn.XLOOKUP(Order_Details[[#This Row],[Order ID]], List_of_orders[Order ID], List_of_orders[Order Date (Clean)])</f>
        <v>43452</v>
      </c>
      <c r="I939" s="7" t="str">
        <f>_xlfn.XLOOKUP(Order_Details[[#This Row],[Order ID]], List_of_orders[Order ID], List_of_orders[CustomerName])</f>
        <v>Kajal</v>
      </c>
      <c r="J939" s="7" t="str">
        <f>_xlfn.XLOOKUP(Order_Details[[#This Row],[Order ID]], List_of_orders[Order ID], List_of_orders[City])</f>
        <v>Delhi</v>
      </c>
      <c r="K939" s="8" t="str">
        <f>TEXT(Order_Details[[#This Row],[Order Date]], "YY-MMM")</f>
        <v>18-Dec</v>
      </c>
      <c r="L939" s="11">
        <f>Order_Details[[#This Row],[Profit]]/Order_Details[[#This Row],[Amount]]</f>
        <v>0.31086956521739129</v>
      </c>
      <c r="M939" s="8">
        <f>YEAR(Order_Details[[#This Row],[Order Date]])</f>
        <v>2018</v>
      </c>
      <c r="N939" s="8">
        <f>ROUNDUP(MONTH(Order_Details[[#This Row],[Order Date]])/3, 0)</f>
        <v>4</v>
      </c>
    </row>
    <row r="940" spans="1:14">
      <c r="A940" s="1" t="s">
        <v>753</v>
      </c>
      <c r="B940" s="1">
        <v>125</v>
      </c>
      <c r="C940" s="1">
        <v>22</v>
      </c>
      <c r="D940" s="1">
        <v>3</v>
      </c>
      <c r="E940" s="1" t="s">
        <v>1076</v>
      </c>
      <c r="F940" s="1" t="s">
        <v>1102</v>
      </c>
      <c r="G940" s="7" t="str">
        <f>_xlfn.XLOOKUP(Order_Details[[#This Row],[Order ID]], List_of_orders[Order ID], List_of_orders[State])</f>
        <v>Delhi</v>
      </c>
      <c r="H940" s="10">
        <f>_xlfn.XLOOKUP(Order_Details[[#This Row],[Order ID]], List_of_orders[Order ID], List_of_orders[Order Date (Clean)])</f>
        <v>43452</v>
      </c>
      <c r="I940" s="7" t="str">
        <f>_xlfn.XLOOKUP(Order_Details[[#This Row],[Order ID]], List_of_orders[Order ID], List_of_orders[CustomerName])</f>
        <v>Kajal</v>
      </c>
      <c r="J940" s="7" t="str">
        <f>_xlfn.XLOOKUP(Order_Details[[#This Row],[Order ID]], List_of_orders[Order ID], List_of_orders[City])</f>
        <v>Delhi</v>
      </c>
      <c r="K940" s="8" t="str">
        <f>TEXT(Order_Details[[#This Row],[Order Date]], "YY-MMM")</f>
        <v>18-Dec</v>
      </c>
      <c r="L940" s="11">
        <f>Order_Details[[#This Row],[Profit]]/Order_Details[[#This Row],[Amount]]</f>
        <v>0.17599999999999999</v>
      </c>
      <c r="M940" s="8">
        <f>YEAR(Order_Details[[#This Row],[Order Date]])</f>
        <v>2018</v>
      </c>
      <c r="N940" s="8">
        <f>ROUNDUP(MONTH(Order_Details[[#This Row],[Order Date]])/3, 0)</f>
        <v>4</v>
      </c>
    </row>
    <row r="941" spans="1:14">
      <c r="A941" s="1" t="s">
        <v>756</v>
      </c>
      <c r="B941" s="1">
        <v>277</v>
      </c>
      <c r="C941" s="1">
        <v>3</v>
      </c>
      <c r="D941" s="1">
        <v>1</v>
      </c>
      <c r="E941" s="1" t="s">
        <v>1077</v>
      </c>
      <c r="F941" s="1" t="s">
        <v>1104</v>
      </c>
      <c r="G941" s="7" t="str">
        <f>_xlfn.XLOOKUP(Order_Details[[#This Row],[Order ID]], List_of_orders[Order ID], List_of_orders[State])</f>
        <v>Punjab</v>
      </c>
      <c r="H941" s="10">
        <f>_xlfn.XLOOKUP(Order_Details[[#This Row],[Order ID]], List_of_orders[Order ID], List_of_orders[Order Date (Clean)])</f>
        <v>43453</v>
      </c>
      <c r="I941" s="7" t="str">
        <f>_xlfn.XLOOKUP(Order_Details[[#This Row],[Order ID]], List_of_orders[Order ID], List_of_orders[CustomerName])</f>
        <v>Sukruta</v>
      </c>
      <c r="J941" s="7" t="str">
        <f>_xlfn.XLOOKUP(Order_Details[[#This Row],[Order ID]], List_of_orders[Order ID], List_of_orders[City])</f>
        <v>Amritsar</v>
      </c>
      <c r="K941" s="8" t="str">
        <f>TEXT(Order_Details[[#This Row],[Order Date]], "YY-MMM")</f>
        <v>18-Dec</v>
      </c>
      <c r="L941" s="11">
        <f>Order_Details[[#This Row],[Profit]]/Order_Details[[#This Row],[Amount]]</f>
        <v>1.0830324909747292E-2</v>
      </c>
      <c r="M941" s="8">
        <f>YEAR(Order_Details[[#This Row],[Order Date]])</f>
        <v>2018</v>
      </c>
      <c r="N941" s="8">
        <f>ROUNDUP(MONTH(Order_Details[[#This Row],[Order Date]])/3, 0)</f>
        <v>4</v>
      </c>
    </row>
    <row r="942" spans="1:14">
      <c r="A942" s="1" t="s">
        <v>759</v>
      </c>
      <c r="B942" s="1">
        <v>80</v>
      </c>
      <c r="C942" s="1">
        <v>26</v>
      </c>
      <c r="D942" s="1">
        <v>9</v>
      </c>
      <c r="E942" s="1" t="s">
        <v>1076</v>
      </c>
      <c r="F942" s="1" t="s">
        <v>1117</v>
      </c>
      <c r="G942" s="7" t="str">
        <f>_xlfn.XLOOKUP(Order_Details[[#This Row],[Order ID]], List_of_orders[Order ID], List_of_orders[State])</f>
        <v>Gujarat</v>
      </c>
      <c r="H942" s="10">
        <f>_xlfn.XLOOKUP(Order_Details[[#This Row],[Order ID]], List_of_orders[Order ID], List_of_orders[Order Date (Clean)])</f>
        <v>43454</v>
      </c>
      <c r="I942" s="7" t="str">
        <f>_xlfn.XLOOKUP(Order_Details[[#This Row],[Order ID]], List_of_orders[Order ID], List_of_orders[CustomerName])</f>
        <v>Utkarsh</v>
      </c>
      <c r="J942" s="7" t="str">
        <f>_xlfn.XLOOKUP(Order_Details[[#This Row],[Order ID]], List_of_orders[Order ID], List_of_orders[City])</f>
        <v>Surat</v>
      </c>
      <c r="K942" s="8" t="str">
        <f>TEXT(Order_Details[[#This Row],[Order Date]], "YY-MMM")</f>
        <v>18-Dec</v>
      </c>
      <c r="L942" s="11">
        <f>Order_Details[[#This Row],[Profit]]/Order_Details[[#This Row],[Amount]]</f>
        <v>0.32500000000000001</v>
      </c>
      <c r="M942" s="8">
        <f>YEAR(Order_Details[[#This Row],[Order Date]])</f>
        <v>2018</v>
      </c>
      <c r="N942" s="8">
        <f>ROUNDUP(MONTH(Order_Details[[#This Row],[Order Date]])/3, 0)</f>
        <v>4</v>
      </c>
    </row>
    <row r="943" spans="1:14">
      <c r="A943" s="1" t="s">
        <v>762</v>
      </c>
      <c r="B943" s="1">
        <v>100</v>
      </c>
      <c r="C943" s="1">
        <v>12</v>
      </c>
      <c r="D943" s="1">
        <v>2</v>
      </c>
      <c r="E943" s="1" t="s">
        <v>1076</v>
      </c>
      <c r="F943" s="1" t="s">
        <v>1110</v>
      </c>
      <c r="G943" s="7" t="str">
        <f>_xlfn.XLOOKUP(Order_Details[[#This Row],[Order ID]], List_of_orders[Order ID], List_of_orders[State])</f>
        <v>Maharashtra</v>
      </c>
      <c r="H943" s="10">
        <f>_xlfn.XLOOKUP(Order_Details[[#This Row],[Order ID]], List_of_orders[Order ID], List_of_orders[Order Date (Clean)])</f>
        <v>43455</v>
      </c>
      <c r="I943" s="7" t="str">
        <f>_xlfn.XLOOKUP(Order_Details[[#This Row],[Order ID]], List_of_orders[Order ID], List_of_orders[CustomerName])</f>
        <v>Sanjay</v>
      </c>
      <c r="J943" s="7" t="str">
        <f>_xlfn.XLOOKUP(Order_Details[[#This Row],[Order ID]], List_of_orders[Order ID], List_of_orders[City])</f>
        <v>Mumbai</v>
      </c>
      <c r="K943" s="8" t="str">
        <f>TEXT(Order_Details[[#This Row],[Order Date]], "YY-MMM")</f>
        <v>18-Dec</v>
      </c>
      <c r="L943" s="11">
        <f>Order_Details[[#This Row],[Profit]]/Order_Details[[#This Row],[Amount]]</f>
        <v>0.12</v>
      </c>
      <c r="M943" s="8">
        <f>YEAR(Order_Details[[#This Row],[Order Date]])</f>
        <v>2018</v>
      </c>
      <c r="N943" s="8">
        <f>ROUNDUP(MONTH(Order_Details[[#This Row],[Order Date]])/3, 0)</f>
        <v>4</v>
      </c>
    </row>
    <row r="944" spans="1:14">
      <c r="A944" s="1" t="s">
        <v>764</v>
      </c>
      <c r="B944" s="1">
        <v>244</v>
      </c>
      <c r="C944" s="1">
        <v>122</v>
      </c>
      <c r="D944" s="1">
        <v>5</v>
      </c>
      <c r="E944" s="1" t="s">
        <v>1075</v>
      </c>
      <c r="F944" s="1" t="s">
        <v>1116</v>
      </c>
      <c r="G944" s="7" t="str">
        <f>_xlfn.XLOOKUP(Order_Details[[#This Row],[Order ID]], List_of_orders[Order ID], List_of_orders[State])</f>
        <v>Madhya Pradesh</v>
      </c>
      <c r="H944" s="10">
        <f>_xlfn.XLOOKUP(Order_Details[[#This Row],[Order ID]], List_of_orders[Order ID], List_of_orders[Order Date (Clean)])</f>
        <v>43456</v>
      </c>
      <c r="I944" s="7" t="str">
        <f>_xlfn.XLOOKUP(Order_Details[[#This Row],[Order ID]], List_of_orders[Order ID], List_of_orders[CustomerName])</f>
        <v>Karandeep</v>
      </c>
      <c r="J944" s="7" t="str">
        <f>_xlfn.XLOOKUP(Order_Details[[#This Row],[Order ID]], List_of_orders[Order ID], List_of_orders[City])</f>
        <v>Indore</v>
      </c>
      <c r="K944" s="8" t="str">
        <f>TEXT(Order_Details[[#This Row],[Order Date]], "YY-MMM")</f>
        <v>18-Dec</v>
      </c>
      <c r="L944" s="11">
        <f>Order_Details[[#This Row],[Profit]]/Order_Details[[#This Row],[Amount]]</f>
        <v>0.5</v>
      </c>
      <c r="M944" s="8">
        <f>YEAR(Order_Details[[#This Row],[Order Date]])</f>
        <v>2018</v>
      </c>
      <c r="N944" s="8">
        <f>ROUNDUP(MONTH(Order_Details[[#This Row],[Order Date]])/3, 0)</f>
        <v>4</v>
      </c>
    </row>
    <row r="945" spans="1:14">
      <c r="A945" s="1" t="s">
        <v>767</v>
      </c>
      <c r="B945" s="1">
        <v>28</v>
      </c>
      <c r="C945" s="1">
        <v>4</v>
      </c>
      <c r="D945" s="1">
        <v>1</v>
      </c>
      <c r="E945" s="1" t="s">
        <v>1076</v>
      </c>
      <c r="F945" s="1" t="s">
        <v>1110</v>
      </c>
      <c r="G945" s="7" t="str">
        <f>_xlfn.XLOOKUP(Order_Details[[#This Row],[Order ID]], List_of_orders[Order ID], List_of_orders[State])</f>
        <v>Rajasthan</v>
      </c>
      <c r="H945" s="10">
        <f>_xlfn.XLOOKUP(Order_Details[[#This Row],[Order ID]], List_of_orders[Order ID], List_of_orders[Order Date (Clean)])</f>
        <v>43457</v>
      </c>
      <c r="I945" s="7" t="str">
        <f>_xlfn.XLOOKUP(Order_Details[[#This Row],[Order ID]], List_of_orders[Order ID], List_of_orders[CustomerName])</f>
        <v>Neha</v>
      </c>
      <c r="J945" s="7" t="str">
        <f>_xlfn.XLOOKUP(Order_Details[[#This Row],[Order ID]], List_of_orders[Order ID], List_of_orders[City])</f>
        <v>Udaipur</v>
      </c>
      <c r="K945" s="8" t="str">
        <f>TEXT(Order_Details[[#This Row],[Order Date]], "YY-MMM")</f>
        <v>18-Dec</v>
      </c>
      <c r="L945" s="11">
        <f>Order_Details[[#This Row],[Profit]]/Order_Details[[#This Row],[Amount]]</f>
        <v>0.14285714285714285</v>
      </c>
      <c r="M945" s="8">
        <f>YEAR(Order_Details[[#This Row],[Order Date]])</f>
        <v>2018</v>
      </c>
      <c r="N945" s="8">
        <f>ROUNDUP(MONTH(Order_Details[[#This Row],[Order Date]])/3, 0)</f>
        <v>4</v>
      </c>
    </row>
    <row r="946" spans="1:14">
      <c r="A946" s="1" t="s">
        <v>767</v>
      </c>
      <c r="B946" s="1">
        <v>110</v>
      </c>
      <c r="C946" s="1">
        <v>12</v>
      </c>
      <c r="D946" s="1">
        <v>7</v>
      </c>
      <c r="E946" s="1" t="s">
        <v>1076</v>
      </c>
      <c r="F946" s="1" t="s">
        <v>1102</v>
      </c>
      <c r="G946" s="7" t="str">
        <f>_xlfn.XLOOKUP(Order_Details[[#This Row],[Order ID]], List_of_orders[Order ID], List_of_orders[State])</f>
        <v>Rajasthan</v>
      </c>
      <c r="H946" s="10">
        <f>_xlfn.XLOOKUP(Order_Details[[#This Row],[Order ID]], List_of_orders[Order ID], List_of_orders[Order Date (Clean)])</f>
        <v>43457</v>
      </c>
      <c r="I946" s="7" t="str">
        <f>_xlfn.XLOOKUP(Order_Details[[#This Row],[Order ID]], List_of_orders[Order ID], List_of_orders[CustomerName])</f>
        <v>Neha</v>
      </c>
      <c r="J946" s="7" t="str">
        <f>_xlfn.XLOOKUP(Order_Details[[#This Row],[Order ID]], List_of_orders[Order ID], List_of_orders[City])</f>
        <v>Udaipur</v>
      </c>
      <c r="K946" s="8" t="str">
        <f>TEXT(Order_Details[[#This Row],[Order Date]], "YY-MMM")</f>
        <v>18-Dec</v>
      </c>
      <c r="L946" s="11">
        <f>Order_Details[[#This Row],[Profit]]/Order_Details[[#This Row],[Amount]]</f>
        <v>0.10909090909090909</v>
      </c>
      <c r="M946" s="8">
        <f>YEAR(Order_Details[[#This Row],[Order Date]])</f>
        <v>2018</v>
      </c>
      <c r="N946" s="8">
        <f>ROUNDUP(MONTH(Order_Details[[#This Row],[Order Date]])/3, 0)</f>
        <v>4</v>
      </c>
    </row>
    <row r="947" spans="1:14">
      <c r="A947" s="1" t="s">
        <v>767</v>
      </c>
      <c r="B947" s="1">
        <v>636</v>
      </c>
      <c r="C947" s="1">
        <v>204</v>
      </c>
      <c r="D947" s="1">
        <v>2</v>
      </c>
      <c r="E947" s="1" t="s">
        <v>1077</v>
      </c>
      <c r="F947" s="1" t="s">
        <v>1114</v>
      </c>
      <c r="G947" s="7" t="str">
        <f>_xlfn.XLOOKUP(Order_Details[[#This Row],[Order ID]], List_of_orders[Order ID], List_of_orders[State])</f>
        <v>Rajasthan</v>
      </c>
      <c r="H947" s="10">
        <f>_xlfn.XLOOKUP(Order_Details[[#This Row],[Order ID]], List_of_orders[Order ID], List_of_orders[Order Date (Clean)])</f>
        <v>43457</v>
      </c>
      <c r="I947" s="7" t="str">
        <f>_xlfn.XLOOKUP(Order_Details[[#This Row],[Order ID]], List_of_orders[Order ID], List_of_orders[CustomerName])</f>
        <v>Neha</v>
      </c>
      <c r="J947" s="7" t="str">
        <f>_xlfn.XLOOKUP(Order_Details[[#This Row],[Order ID]], List_of_orders[Order ID], List_of_orders[City])</f>
        <v>Udaipur</v>
      </c>
      <c r="K947" s="8" t="str">
        <f>TEXT(Order_Details[[#This Row],[Order Date]], "YY-MMM")</f>
        <v>18-Dec</v>
      </c>
      <c r="L947" s="11">
        <f>Order_Details[[#This Row],[Profit]]/Order_Details[[#This Row],[Amount]]</f>
        <v>0.32075471698113206</v>
      </c>
      <c r="M947" s="8">
        <f>YEAR(Order_Details[[#This Row],[Order Date]])</f>
        <v>2018</v>
      </c>
      <c r="N947" s="8">
        <f>ROUNDUP(MONTH(Order_Details[[#This Row],[Order Date]])/3, 0)</f>
        <v>4</v>
      </c>
    </row>
    <row r="948" spans="1:14">
      <c r="A948" s="1" t="s">
        <v>767</v>
      </c>
      <c r="B948" s="1">
        <v>1599</v>
      </c>
      <c r="C948" s="1">
        <v>37</v>
      </c>
      <c r="D948" s="1">
        <v>6</v>
      </c>
      <c r="E948" s="1" t="s">
        <v>1077</v>
      </c>
      <c r="F948" s="1" t="s">
        <v>1104</v>
      </c>
      <c r="G948" s="7" t="str">
        <f>_xlfn.XLOOKUP(Order_Details[[#This Row],[Order ID]], List_of_orders[Order ID], List_of_orders[State])</f>
        <v>Rajasthan</v>
      </c>
      <c r="H948" s="10">
        <f>_xlfn.XLOOKUP(Order_Details[[#This Row],[Order ID]], List_of_orders[Order ID], List_of_orders[Order Date (Clean)])</f>
        <v>43457</v>
      </c>
      <c r="I948" s="7" t="str">
        <f>_xlfn.XLOOKUP(Order_Details[[#This Row],[Order ID]], List_of_orders[Order ID], List_of_orders[CustomerName])</f>
        <v>Neha</v>
      </c>
      <c r="J948" s="7" t="str">
        <f>_xlfn.XLOOKUP(Order_Details[[#This Row],[Order ID]], List_of_orders[Order ID], List_of_orders[City])</f>
        <v>Udaipur</v>
      </c>
      <c r="K948" s="8" t="str">
        <f>TEXT(Order_Details[[#This Row],[Order Date]], "YY-MMM")</f>
        <v>18-Dec</v>
      </c>
      <c r="L948" s="11">
        <f>Order_Details[[#This Row],[Profit]]/Order_Details[[#This Row],[Amount]]</f>
        <v>2.3139462163852407E-2</v>
      </c>
      <c r="M948" s="8">
        <f>YEAR(Order_Details[[#This Row],[Order Date]])</f>
        <v>2018</v>
      </c>
      <c r="N948" s="8">
        <f>ROUNDUP(MONTH(Order_Details[[#This Row],[Order Date]])/3, 0)</f>
        <v>4</v>
      </c>
    </row>
    <row r="949" spans="1:14">
      <c r="A949" s="1" t="s">
        <v>767</v>
      </c>
      <c r="B949" s="1">
        <v>977</v>
      </c>
      <c r="C949" s="1">
        <v>244</v>
      </c>
      <c r="D949" s="1">
        <v>7</v>
      </c>
      <c r="E949" s="1" t="s">
        <v>1077</v>
      </c>
      <c r="F949" s="1" t="s">
        <v>1105</v>
      </c>
      <c r="G949" s="7" t="str">
        <f>_xlfn.XLOOKUP(Order_Details[[#This Row],[Order ID]], List_of_orders[Order ID], List_of_orders[State])</f>
        <v>Rajasthan</v>
      </c>
      <c r="H949" s="10">
        <f>_xlfn.XLOOKUP(Order_Details[[#This Row],[Order ID]], List_of_orders[Order ID], List_of_orders[Order Date (Clean)])</f>
        <v>43457</v>
      </c>
      <c r="I949" s="7" t="str">
        <f>_xlfn.XLOOKUP(Order_Details[[#This Row],[Order ID]], List_of_orders[Order ID], List_of_orders[CustomerName])</f>
        <v>Neha</v>
      </c>
      <c r="J949" s="7" t="str">
        <f>_xlfn.XLOOKUP(Order_Details[[#This Row],[Order ID]], List_of_orders[Order ID], List_of_orders[City])</f>
        <v>Udaipur</v>
      </c>
      <c r="K949" s="8" t="str">
        <f>TEXT(Order_Details[[#This Row],[Order Date]], "YY-MMM")</f>
        <v>18-Dec</v>
      </c>
      <c r="L949" s="11">
        <f>Order_Details[[#This Row],[Profit]]/Order_Details[[#This Row],[Amount]]</f>
        <v>0.24974411463664278</v>
      </c>
      <c r="M949" s="8">
        <f>YEAR(Order_Details[[#This Row],[Order Date]])</f>
        <v>2018</v>
      </c>
      <c r="N949" s="8">
        <f>ROUNDUP(MONTH(Order_Details[[#This Row],[Order Date]])/3, 0)</f>
        <v>4</v>
      </c>
    </row>
    <row r="950" spans="1:14">
      <c r="A950" s="1" t="s">
        <v>770</v>
      </c>
      <c r="B950" s="1">
        <v>100</v>
      </c>
      <c r="C950" s="1">
        <v>7</v>
      </c>
      <c r="D950" s="1">
        <v>2</v>
      </c>
      <c r="E950" s="1" t="s">
        <v>1076</v>
      </c>
      <c r="F950" s="1" t="s">
        <v>1110</v>
      </c>
      <c r="G950" s="7" t="str">
        <f>_xlfn.XLOOKUP(Order_Details[[#This Row],[Order ID]], List_of_orders[Order ID], List_of_orders[State])</f>
        <v>Uttar Pradesh</v>
      </c>
      <c r="H950" s="10">
        <f>_xlfn.XLOOKUP(Order_Details[[#This Row],[Order ID]], List_of_orders[Order ID], List_of_orders[Order Date (Clean)])</f>
        <v>43458</v>
      </c>
      <c r="I950" s="7" t="str">
        <f>_xlfn.XLOOKUP(Order_Details[[#This Row],[Order ID]], List_of_orders[Order ID], List_of_orders[CustomerName])</f>
        <v>Jayanti</v>
      </c>
      <c r="J950" s="7" t="str">
        <f>_xlfn.XLOOKUP(Order_Details[[#This Row],[Order ID]], List_of_orders[Order ID], List_of_orders[City])</f>
        <v>Allahabad</v>
      </c>
      <c r="K950" s="8" t="str">
        <f>TEXT(Order_Details[[#This Row],[Order Date]], "YY-MMM")</f>
        <v>18-Dec</v>
      </c>
      <c r="L950" s="11">
        <f>Order_Details[[#This Row],[Profit]]/Order_Details[[#This Row],[Amount]]</f>
        <v>7.0000000000000007E-2</v>
      </c>
      <c r="M950" s="8">
        <f>YEAR(Order_Details[[#This Row],[Order Date]])</f>
        <v>2018</v>
      </c>
      <c r="N950" s="8">
        <f>ROUNDUP(MONTH(Order_Details[[#This Row],[Order Date]])/3, 0)</f>
        <v>4</v>
      </c>
    </row>
    <row r="951" spans="1:14">
      <c r="A951" s="1" t="s">
        <v>773</v>
      </c>
      <c r="B951" s="1">
        <v>170</v>
      </c>
      <c r="C951" s="1">
        <v>19</v>
      </c>
      <c r="D951" s="1">
        <v>5</v>
      </c>
      <c r="E951" s="1" t="s">
        <v>1076</v>
      </c>
      <c r="F951" s="1" t="s">
        <v>1110</v>
      </c>
      <c r="G951" s="7" t="str">
        <f>_xlfn.XLOOKUP(Order_Details[[#This Row],[Order ID]], List_of_orders[Order ID], List_of_orders[State])</f>
        <v>Punjab</v>
      </c>
      <c r="H951" s="10">
        <f>_xlfn.XLOOKUP(Order_Details[[#This Row],[Order ID]], List_of_orders[Order ID], List_of_orders[Order Date (Clean)])</f>
        <v>43459</v>
      </c>
      <c r="I951" s="7" t="str">
        <f>_xlfn.XLOOKUP(Order_Details[[#This Row],[Order ID]], List_of_orders[Order ID], List_of_orders[CustomerName])</f>
        <v>Sandra</v>
      </c>
      <c r="J951" s="7" t="str">
        <f>_xlfn.XLOOKUP(Order_Details[[#This Row],[Order ID]], List_of_orders[Order ID], List_of_orders[City])</f>
        <v>Amritsar</v>
      </c>
      <c r="K951" s="8" t="str">
        <f>TEXT(Order_Details[[#This Row],[Order Date]], "YY-MMM")</f>
        <v>18-Dec</v>
      </c>
      <c r="L951" s="11">
        <f>Order_Details[[#This Row],[Profit]]/Order_Details[[#This Row],[Amount]]</f>
        <v>0.11176470588235295</v>
      </c>
      <c r="M951" s="8">
        <f>YEAR(Order_Details[[#This Row],[Order Date]])</f>
        <v>2018</v>
      </c>
      <c r="N951" s="8">
        <f>ROUNDUP(MONTH(Order_Details[[#This Row],[Order Date]])/3, 0)</f>
        <v>4</v>
      </c>
    </row>
    <row r="952" spans="1:14">
      <c r="A952" s="1" t="s">
        <v>773</v>
      </c>
      <c r="B952" s="1">
        <v>84</v>
      </c>
      <c r="C952" s="1">
        <v>-42</v>
      </c>
      <c r="D952" s="1">
        <v>2</v>
      </c>
      <c r="E952" s="1" t="s">
        <v>1077</v>
      </c>
      <c r="F952" s="1" t="s">
        <v>1115</v>
      </c>
      <c r="G952" s="7" t="str">
        <f>_xlfn.XLOOKUP(Order_Details[[#This Row],[Order ID]], List_of_orders[Order ID], List_of_orders[State])</f>
        <v>Punjab</v>
      </c>
      <c r="H952" s="10">
        <f>_xlfn.XLOOKUP(Order_Details[[#This Row],[Order ID]], List_of_orders[Order ID], List_of_orders[Order Date (Clean)])</f>
        <v>43459</v>
      </c>
      <c r="I952" s="7" t="str">
        <f>_xlfn.XLOOKUP(Order_Details[[#This Row],[Order ID]], List_of_orders[Order ID], List_of_orders[CustomerName])</f>
        <v>Sandra</v>
      </c>
      <c r="J952" s="7" t="str">
        <f>_xlfn.XLOOKUP(Order_Details[[#This Row],[Order ID]], List_of_orders[Order ID], List_of_orders[City])</f>
        <v>Amritsar</v>
      </c>
      <c r="K952" s="8" t="str">
        <f>TEXT(Order_Details[[#This Row],[Order Date]], "YY-MMM")</f>
        <v>18-Dec</v>
      </c>
      <c r="L952" s="11">
        <f>Order_Details[[#This Row],[Profit]]/Order_Details[[#This Row],[Amount]]</f>
        <v>-0.5</v>
      </c>
      <c r="M952" s="8">
        <f>YEAR(Order_Details[[#This Row],[Order Date]])</f>
        <v>2018</v>
      </c>
      <c r="N952" s="8">
        <f>ROUNDUP(MONTH(Order_Details[[#This Row],[Order Date]])/3, 0)</f>
        <v>4</v>
      </c>
    </row>
    <row r="953" spans="1:14">
      <c r="A953" s="1" t="s">
        <v>773</v>
      </c>
      <c r="B953" s="1">
        <v>71</v>
      </c>
      <c r="C953" s="1">
        <v>-44</v>
      </c>
      <c r="D953" s="1">
        <v>5</v>
      </c>
      <c r="E953" s="1" t="s">
        <v>1077</v>
      </c>
      <c r="F953" s="1" t="s">
        <v>1115</v>
      </c>
      <c r="G953" s="7" t="str">
        <f>_xlfn.XLOOKUP(Order_Details[[#This Row],[Order ID]], List_of_orders[Order ID], List_of_orders[State])</f>
        <v>Punjab</v>
      </c>
      <c r="H953" s="10">
        <f>_xlfn.XLOOKUP(Order_Details[[#This Row],[Order ID]], List_of_orders[Order ID], List_of_orders[Order Date (Clean)])</f>
        <v>43459</v>
      </c>
      <c r="I953" s="7" t="str">
        <f>_xlfn.XLOOKUP(Order_Details[[#This Row],[Order ID]], List_of_orders[Order ID], List_of_orders[CustomerName])</f>
        <v>Sandra</v>
      </c>
      <c r="J953" s="7" t="str">
        <f>_xlfn.XLOOKUP(Order_Details[[#This Row],[Order ID]], List_of_orders[Order ID], List_of_orders[City])</f>
        <v>Amritsar</v>
      </c>
      <c r="K953" s="8" t="str">
        <f>TEXT(Order_Details[[#This Row],[Order Date]], "YY-MMM")</f>
        <v>18-Dec</v>
      </c>
      <c r="L953" s="11">
        <f>Order_Details[[#This Row],[Profit]]/Order_Details[[#This Row],[Amount]]</f>
        <v>-0.61971830985915488</v>
      </c>
      <c r="M953" s="8">
        <f>YEAR(Order_Details[[#This Row],[Order Date]])</f>
        <v>2018</v>
      </c>
      <c r="N953" s="8">
        <f>ROUNDUP(MONTH(Order_Details[[#This Row],[Order Date]])/3, 0)</f>
        <v>4</v>
      </c>
    </row>
    <row r="954" spans="1:14">
      <c r="A954" s="1" t="s">
        <v>776</v>
      </c>
      <c r="B954" s="1">
        <v>52</v>
      </c>
      <c r="C954" s="1">
        <v>18</v>
      </c>
      <c r="D954" s="1">
        <v>2</v>
      </c>
      <c r="E954" s="1" t="s">
        <v>1076</v>
      </c>
      <c r="F954" s="1" t="s">
        <v>1102</v>
      </c>
      <c r="G954" s="7" t="str">
        <f>_xlfn.XLOOKUP(Order_Details[[#This Row],[Order ID]], List_of_orders[Order ID], List_of_orders[State])</f>
        <v>Gujarat</v>
      </c>
      <c r="H954" s="10">
        <f>_xlfn.XLOOKUP(Order_Details[[#This Row],[Order ID]], List_of_orders[Order ID], List_of_orders[Order Date (Clean)])</f>
        <v>43460</v>
      </c>
      <c r="I954" s="7" t="str">
        <f>_xlfn.XLOOKUP(Order_Details[[#This Row],[Order ID]], List_of_orders[Order ID], List_of_orders[CustomerName])</f>
        <v>Akshata</v>
      </c>
      <c r="J954" s="7" t="str">
        <f>_xlfn.XLOOKUP(Order_Details[[#This Row],[Order ID]], List_of_orders[Order ID], List_of_orders[City])</f>
        <v>Surat</v>
      </c>
      <c r="K954" s="8" t="str">
        <f>TEXT(Order_Details[[#This Row],[Order Date]], "YY-MMM")</f>
        <v>18-Dec</v>
      </c>
      <c r="L954" s="11">
        <f>Order_Details[[#This Row],[Profit]]/Order_Details[[#This Row],[Amount]]</f>
        <v>0.34615384615384615</v>
      </c>
      <c r="M954" s="8">
        <f>YEAR(Order_Details[[#This Row],[Order Date]])</f>
        <v>2018</v>
      </c>
      <c r="N954" s="8">
        <f>ROUNDUP(MONTH(Order_Details[[#This Row],[Order Date]])/3, 0)</f>
        <v>4</v>
      </c>
    </row>
    <row r="955" spans="1:14">
      <c r="A955" s="1" t="s">
        <v>779</v>
      </c>
      <c r="B955" s="1">
        <v>226</v>
      </c>
      <c r="C955" s="1">
        <v>58</v>
      </c>
      <c r="D955" s="1">
        <v>3</v>
      </c>
      <c r="E955" s="1" t="s">
        <v>1077</v>
      </c>
      <c r="F955" s="1" t="s">
        <v>1115</v>
      </c>
      <c r="G955" s="7" t="str">
        <f>_xlfn.XLOOKUP(Order_Details[[#This Row],[Order ID]], List_of_orders[Order ID], List_of_orders[State])</f>
        <v>Maharashtra</v>
      </c>
      <c r="H955" s="10">
        <f>_xlfn.XLOOKUP(Order_Details[[#This Row],[Order ID]], List_of_orders[Order ID], List_of_orders[Order Date (Clean)])</f>
        <v>43461</v>
      </c>
      <c r="I955" s="7" t="str">
        <f>_xlfn.XLOOKUP(Order_Details[[#This Row],[Order ID]], List_of_orders[Order ID], List_of_orders[CustomerName])</f>
        <v>Vishakha</v>
      </c>
      <c r="J955" s="7" t="str">
        <f>_xlfn.XLOOKUP(Order_Details[[#This Row],[Order ID]], List_of_orders[Order ID], List_of_orders[City])</f>
        <v>Mumbai</v>
      </c>
      <c r="K955" s="8" t="str">
        <f>TEXT(Order_Details[[#This Row],[Order Date]], "YY-MMM")</f>
        <v>18-Dec</v>
      </c>
      <c r="L955" s="11">
        <f>Order_Details[[#This Row],[Profit]]/Order_Details[[#This Row],[Amount]]</f>
        <v>0.25663716814159293</v>
      </c>
      <c r="M955" s="8">
        <f>YEAR(Order_Details[[#This Row],[Order Date]])</f>
        <v>2018</v>
      </c>
      <c r="N955" s="8">
        <f>ROUNDUP(MONTH(Order_Details[[#This Row],[Order Date]])/3, 0)</f>
        <v>4</v>
      </c>
    </row>
    <row r="956" spans="1:14">
      <c r="A956" s="1" t="s">
        <v>779</v>
      </c>
      <c r="B956" s="1">
        <v>484</v>
      </c>
      <c r="C956" s="1">
        <v>28</v>
      </c>
      <c r="D956" s="1">
        <v>3</v>
      </c>
      <c r="E956" s="1" t="s">
        <v>1077</v>
      </c>
      <c r="F956" s="1" t="s">
        <v>1114</v>
      </c>
      <c r="G956" s="7" t="str">
        <f>_xlfn.XLOOKUP(Order_Details[[#This Row],[Order ID]], List_of_orders[Order ID], List_of_orders[State])</f>
        <v>Maharashtra</v>
      </c>
      <c r="H956" s="10">
        <f>_xlfn.XLOOKUP(Order_Details[[#This Row],[Order ID]], List_of_orders[Order ID], List_of_orders[Order Date (Clean)])</f>
        <v>43461</v>
      </c>
      <c r="I956" s="7" t="str">
        <f>_xlfn.XLOOKUP(Order_Details[[#This Row],[Order ID]], List_of_orders[Order ID], List_of_orders[CustomerName])</f>
        <v>Vishakha</v>
      </c>
      <c r="J956" s="7" t="str">
        <f>_xlfn.XLOOKUP(Order_Details[[#This Row],[Order ID]], List_of_orders[Order ID], List_of_orders[City])</f>
        <v>Mumbai</v>
      </c>
      <c r="K956" s="8" t="str">
        <f>TEXT(Order_Details[[#This Row],[Order Date]], "YY-MMM")</f>
        <v>18-Dec</v>
      </c>
      <c r="L956" s="11">
        <f>Order_Details[[#This Row],[Profit]]/Order_Details[[#This Row],[Amount]]</f>
        <v>5.7851239669421489E-2</v>
      </c>
      <c r="M956" s="8">
        <f>YEAR(Order_Details[[#This Row],[Order Date]])</f>
        <v>2018</v>
      </c>
      <c r="N956" s="8">
        <f>ROUNDUP(MONTH(Order_Details[[#This Row],[Order Date]])/3, 0)</f>
        <v>4</v>
      </c>
    </row>
    <row r="957" spans="1:14">
      <c r="A957" s="1" t="s">
        <v>779</v>
      </c>
      <c r="B957" s="1">
        <v>253</v>
      </c>
      <c r="C957" s="1">
        <v>-11</v>
      </c>
      <c r="D957" s="1">
        <v>1</v>
      </c>
      <c r="E957" s="1" t="s">
        <v>1076</v>
      </c>
      <c r="F957" s="1" t="s">
        <v>1107</v>
      </c>
      <c r="G957" s="7" t="str">
        <f>_xlfn.XLOOKUP(Order_Details[[#This Row],[Order ID]], List_of_orders[Order ID], List_of_orders[State])</f>
        <v>Maharashtra</v>
      </c>
      <c r="H957" s="10">
        <f>_xlfn.XLOOKUP(Order_Details[[#This Row],[Order ID]], List_of_orders[Order ID], List_of_orders[Order Date (Clean)])</f>
        <v>43461</v>
      </c>
      <c r="I957" s="7" t="str">
        <f>_xlfn.XLOOKUP(Order_Details[[#This Row],[Order ID]], List_of_orders[Order ID], List_of_orders[CustomerName])</f>
        <v>Vishakha</v>
      </c>
      <c r="J957" s="7" t="str">
        <f>_xlfn.XLOOKUP(Order_Details[[#This Row],[Order ID]], List_of_orders[Order ID], List_of_orders[City])</f>
        <v>Mumbai</v>
      </c>
      <c r="K957" s="8" t="str">
        <f>TEXT(Order_Details[[#This Row],[Order Date]], "YY-MMM")</f>
        <v>18-Dec</v>
      </c>
      <c r="L957" s="11">
        <f>Order_Details[[#This Row],[Profit]]/Order_Details[[#This Row],[Amount]]</f>
        <v>-4.3478260869565216E-2</v>
      </c>
      <c r="M957" s="8">
        <f>YEAR(Order_Details[[#This Row],[Order Date]])</f>
        <v>2018</v>
      </c>
      <c r="N957" s="8">
        <f>ROUNDUP(MONTH(Order_Details[[#This Row],[Order Date]])/3, 0)</f>
        <v>4</v>
      </c>
    </row>
    <row r="958" spans="1:14">
      <c r="A958" s="1" t="s">
        <v>779</v>
      </c>
      <c r="B958" s="1">
        <v>3873</v>
      </c>
      <c r="C958" s="1">
        <v>891</v>
      </c>
      <c r="D958" s="1">
        <v>6</v>
      </c>
      <c r="E958" s="1" t="s">
        <v>1077</v>
      </c>
      <c r="F958" s="1" t="s">
        <v>1105</v>
      </c>
      <c r="G958" s="7" t="str">
        <f>_xlfn.XLOOKUP(Order_Details[[#This Row],[Order ID]], List_of_orders[Order ID], List_of_orders[State])</f>
        <v>Maharashtra</v>
      </c>
      <c r="H958" s="10">
        <f>_xlfn.XLOOKUP(Order_Details[[#This Row],[Order ID]], List_of_orders[Order ID], List_of_orders[Order Date (Clean)])</f>
        <v>43461</v>
      </c>
      <c r="I958" s="7" t="str">
        <f>_xlfn.XLOOKUP(Order_Details[[#This Row],[Order ID]], List_of_orders[Order ID], List_of_orders[CustomerName])</f>
        <v>Vishakha</v>
      </c>
      <c r="J958" s="7" t="str">
        <f>_xlfn.XLOOKUP(Order_Details[[#This Row],[Order ID]], List_of_orders[Order ID], List_of_orders[City])</f>
        <v>Mumbai</v>
      </c>
      <c r="K958" s="8" t="str">
        <f>TEXT(Order_Details[[#This Row],[Order Date]], "YY-MMM")</f>
        <v>18-Dec</v>
      </c>
      <c r="L958" s="11">
        <f>Order_Details[[#This Row],[Profit]]/Order_Details[[#This Row],[Amount]]</f>
        <v>0.23005422153369481</v>
      </c>
      <c r="M958" s="8">
        <f>YEAR(Order_Details[[#This Row],[Order Date]])</f>
        <v>2018</v>
      </c>
      <c r="N958" s="8">
        <f>ROUNDUP(MONTH(Order_Details[[#This Row],[Order Date]])/3, 0)</f>
        <v>4</v>
      </c>
    </row>
    <row r="959" spans="1:14">
      <c r="A959" s="1" t="s">
        <v>782</v>
      </c>
      <c r="B959" s="1">
        <v>148</v>
      </c>
      <c r="C959" s="1">
        <v>54</v>
      </c>
      <c r="D959" s="1">
        <v>2</v>
      </c>
      <c r="E959" s="1" t="s">
        <v>1075</v>
      </c>
      <c r="F959" s="1" t="s">
        <v>1108</v>
      </c>
      <c r="G959" s="7" t="str">
        <f>_xlfn.XLOOKUP(Order_Details[[#This Row],[Order ID]], List_of_orders[Order ID], List_of_orders[State])</f>
        <v>Karnataka</v>
      </c>
      <c r="H959" s="10">
        <f>_xlfn.XLOOKUP(Order_Details[[#This Row],[Order ID]], List_of_orders[Order ID], List_of_orders[Order Date (Clean)])</f>
        <v>43462</v>
      </c>
      <c r="I959" s="7" t="str">
        <f>_xlfn.XLOOKUP(Order_Details[[#This Row],[Order ID]], List_of_orders[Order ID], List_of_orders[CustomerName])</f>
        <v>Prajakta</v>
      </c>
      <c r="J959" s="7" t="str">
        <f>_xlfn.XLOOKUP(Order_Details[[#This Row],[Order ID]], List_of_orders[Order ID], List_of_orders[City])</f>
        <v>Bangalore</v>
      </c>
      <c r="K959" s="8" t="str">
        <f>TEXT(Order_Details[[#This Row],[Order Date]], "YY-MMM")</f>
        <v>18-Dec</v>
      </c>
      <c r="L959" s="11">
        <f>Order_Details[[#This Row],[Profit]]/Order_Details[[#This Row],[Amount]]</f>
        <v>0.36486486486486486</v>
      </c>
      <c r="M959" s="8">
        <f>YEAR(Order_Details[[#This Row],[Order Date]])</f>
        <v>2018</v>
      </c>
      <c r="N959" s="8">
        <f>ROUNDUP(MONTH(Order_Details[[#This Row],[Order Date]])/3, 0)</f>
        <v>4</v>
      </c>
    </row>
    <row r="960" spans="1:14">
      <c r="A960" s="1" t="s">
        <v>785</v>
      </c>
      <c r="B960" s="1">
        <v>27</v>
      </c>
      <c r="C960" s="1">
        <v>12</v>
      </c>
      <c r="D960" s="1">
        <v>1</v>
      </c>
      <c r="E960" s="1" t="s">
        <v>1076</v>
      </c>
      <c r="F960" s="1" t="s">
        <v>1102</v>
      </c>
      <c r="G960" s="7" t="str">
        <f>_xlfn.XLOOKUP(Order_Details[[#This Row],[Order ID]], List_of_orders[Order ID], List_of_orders[State])</f>
        <v>Maharashtra</v>
      </c>
      <c r="H960" s="10">
        <f>_xlfn.XLOOKUP(Order_Details[[#This Row],[Order ID]], List_of_orders[Order ID], List_of_orders[Order Date (Clean)])</f>
        <v>43463</v>
      </c>
      <c r="I960" s="7" t="str">
        <f>_xlfn.XLOOKUP(Order_Details[[#This Row],[Order ID]], List_of_orders[Order ID], List_of_orders[CustomerName])</f>
        <v>Shruti</v>
      </c>
      <c r="J960" s="7" t="str">
        <f>_xlfn.XLOOKUP(Order_Details[[#This Row],[Order ID]], List_of_orders[Order ID], List_of_orders[City])</f>
        <v>Mumbai</v>
      </c>
      <c r="K960" s="8" t="str">
        <f>TEXT(Order_Details[[#This Row],[Order Date]], "YY-MMM")</f>
        <v>18-Dec</v>
      </c>
      <c r="L960" s="11">
        <f>Order_Details[[#This Row],[Profit]]/Order_Details[[#This Row],[Amount]]</f>
        <v>0.44444444444444442</v>
      </c>
      <c r="M960" s="8">
        <f>YEAR(Order_Details[[#This Row],[Order Date]])</f>
        <v>2018</v>
      </c>
      <c r="N960" s="8">
        <f>ROUNDUP(MONTH(Order_Details[[#This Row],[Order Date]])/3, 0)</f>
        <v>4</v>
      </c>
    </row>
    <row r="961" spans="1:14">
      <c r="A961" s="1" t="s">
        <v>785</v>
      </c>
      <c r="B961" s="1">
        <v>314</v>
      </c>
      <c r="C961" s="1">
        <v>-41</v>
      </c>
      <c r="D961" s="1">
        <v>3</v>
      </c>
      <c r="E961" s="1" t="s">
        <v>1077</v>
      </c>
      <c r="F961" s="1" t="s">
        <v>1104</v>
      </c>
      <c r="G961" s="7" t="str">
        <f>_xlfn.XLOOKUP(Order_Details[[#This Row],[Order ID]], List_of_orders[Order ID], List_of_orders[State])</f>
        <v>Maharashtra</v>
      </c>
      <c r="H961" s="10">
        <f>_xlfn.XLOOKUP(Order_Details[[#This Row],[Order ID]], List_of_orders[Order ID], List_of_orders[Order Date (Clean)])</f>
        <v>43463</v>
      </c>
      <c r="I961" s="7" t="str">
        <f>_xlfn.XLOOKUP(Order_Details[[#This Row],[Order ID]], List_of_orders[Order ID], List_of_orders[CustomerName])</f>
        <v>Shruti</v>
      </c>
      <c r="J961" s="7" t="str">
        <f>_xlfn.XLOOKUP(Order_Details[[#This Row],[Order ID]], List_of_orders[Order ID], List_of_orders[City])</f>
        <v>Mumbai</v>
      </c>
      <c r="K961" s="8" t="str">
        <f>TEXT(Order_Details[[#This Row],[Order Date]], "YY-MMM")</f>
        <v>18-Dec</v>
      </c>
      <c r="L961" s="11">
        <f>Order_Details[[#This Row],[Profit]]/Order_Details[[#This Row],[Amount]]</f>
        <v>-0.13057324840764331</v>
      </c>
      <c r="M961" s="8">
        <f>YEAR(Order_Details[[#This Row],[Order Date]])</f>
        <v>2018</v>
      </c>
      <c r="N961" s="8">
        <f>ROUNDUP(MONTH(Order_Details[[#This Row],[Order Date]])/3, 0)</f>
        <v>4</v>
      </c>
    </row>
    <row r="962" spans="1:14">
      <c r="A962" s="1" t="s">
        <v>785</v>
      </c>
      <c r="B962" s="1">
        <v>1228</v>
      </c>
      <c r="C962" s="1">
        <v>14</v>
      </c>
      <c r="D962" s="1">
        <v>3</v>
      </c>
      <c r="E962" s="1" t="s">
        <v>1075</v>
      </c>
      <c r="F962" s="1" t="s">
        <v>1108</v>
      </c>
      <c r="G962" s="7" t="str">
        <f>_xlfn.XLOOKUP(Order_Details[[#This Row],[Order ID]], List_of_orders[Order ID], List_of_orders[State])</f>
        <v>Maharashtra</v>
      </c>
      <c r="H962" s="10">
        <f>_xlfn.XLOOKUP(Order_Details[[#This Row],[Order ID]], List_of_orders[Order ID], List_of_orders[Order Date (Clean)])</f>
        <v>43463</v>
      </c>
      <c r="I962" s="7" t="str">
        <f>_xlfn.XLOOKUP(Order_Details[[#This Row],[Order ID]], List_of_orders[Order ID], List_of_orders[CustomerName])</f>
        <v>Shruti</v>
      </c>
      <c r="J962" s="7" t="str">
        <f>_xlfn.XLOOKUP(Order_Details[[#This Row],[Order ID]], List_of_orders[Order ID], List_of_orders[City])</f>
        <v>Mumbai</v>
      </c>
      <c r="K962" s="8" t="str">
        <f>TEXT(Order_Details[[#This Row],[Order Date]], "YY-MMM")</f>
        <v>18-Dec</v>
      </c>
      <c r="L962" s="11">
        <f>Order_Details[[#This Row],[Profit]]/Order_Details[[#This Row],[Amount]]</f>
        <v>1.1400651465798045E-2</v>
      </c>
      <c r="M962" s="8">
        <f>YEAR(Order_Details[[#This Row],[Order Date]])</f>
        <v>2018</v>
      </c>
      <c r="N962" s="8">
        <f>ROUNDUP(MONTH(Order_Details[[#This Row],[Order Date]])/3, 0)</f>
        <v>4</v>
      </c>
    </row>
    <row r="963" spans="1:14">
      <c r="A963" s="1" t="s">
        <v>787</v>
      </c>
      <c r="B963" s="1">
        <v>57</v>
      </c>
      <c r="C963" s="1">
        <v>6</v>
      </c>
      <c r="D963" s="1">
        <v>5</v>
      </c>
      <c r="E963" s="1" t="s">
        <v>1076</v>
      </c>
      <c r="F963" s="1" t="s">
        <v>1112</v>
      </c>
      <c r="G963" s="7" t="str">
        <f>_xlfn.XLOOKUP(Order_Details[[#This Row],[Order ID]], List_of_orders[Order ID], List_of_orders[State])</f>
        <v>Madhya Pradesh</v>
      </c>
      <c r="H963" s="10">
        <f>_xlfn.XLOOKUP(Order_Details[[#This Row],[Order ID]], List_of_orders[Order ID], List_of_orders[Order Date (Clean)])</f>
        <v>43464</v>
      </c>
      <c r="I963" s="7" t="str">
        <f>_xlfn.XLOOKUP(Order_Details[[#This Row],[Order ID]], List_of_orders[Order ID], List_of_orders[CustomerName])</f>
        <v>Dipali</v>
      </c>
      <c r="J963" s="7" t="str">
        <f>_xlfn.XLOOKUP(Order_Details[[#This Row],[Order ID]], List_of_orders[Order ID], List_of_orders[City])</f>
        <v>Indore</v>
      </c>
      <c r="K963" s="8" t="str">
        <f>TEXT(Order_Details[[#This Row],[Order Date]], "YY-MMM")</f>
        <v>18-Dec</v>
      </c>
      <c r="L963" s="11">
        <f>Order_Details[[#This Row],[Profit]]/Order_Details[[#This Row],[Amount]]</f>
        <v>0.10526315789473684</v>
      </c>
      <c r="M963" s="8">
        <f>YEAR(Order_Details[[#This Row],[Order Date]])</f>
        <v>2018</v>
      </c>
      <c r="N963" s="8">
        <f>ROUNDUP(MONTH(Order_Details[[#This Row],[Order Date]])/3, 0)</f>
        <v>4</v>
      </c>
    </row>
    <row r="964" spans="1:14">
      <c r="A964" s="1" t="s">
        <v>790</v>
      </c>
      <c r="B964" s="1">
        <v>200</v>
      </c>
      <c r="C964" s="1">
        <v>7</v>
      </c>
      <c r="D964" s="1">
        <v>4</v>
      </c>
      <c r="E964" s="1" t="s">
        <v>1077</v>
      </c>
      <c r="F964" s="1" t="s">
        <v>1104</v>
      </c>
      <c r="G964" s="7" t="str">
        <f>_xlfn.XLOOKUP(Order_Details[[#This Row],[Order ID]], List_of_orders[Order ID], List_of_orders[State])</f>
        <v>Uttar Pradesh</v>
      </c>
      <c r="H964" s="10">
        <f>_xlfn.XLOOKUP(Order_Details[[#This Row],[Order ID]], List_of_orders[Order ID], List_of_orders[Order Date (Clean)])</f>
        <v>43465</v>
      </c>
      <c r="I964" s="7" t="str">
        <f>_xlfn.XLOOKUP(Order_Details[[#This Row],[Order ID]], List_of_orders[Order ID], List_of_orders[CustomerName])</f>
        <v>Shreya</v>
      </c>
      <c r="J964" s="7" t="str">
        <f>_xlfn.XLOOKUP(Order_Details[[#This Row],[Order ID]], List_of_orders[Order ID], List_of_orders[City])</f>
        <v>Lucknow</v>
      </c>
      <c r="K964" s="8" t="str">
        <f>TEXT(Order_Details[[#This Row],[Order Date]], "YY-MMM")</f>
        <v>18-Dec</v>
      </c>
      <c r="L964" s="11">
        <f>Order_Details[[#This Row],[Profit]]/Order_Details[[#This Row],[Amount]]</f>
        <v>3.5000000000000003E-2</v>
      </c>
      <c r="M964" s="8">
        <f>YEAR(Order_Details[[#This Row],[Order Date]])</f>
        <v>2018</v>
      </c>
      <c r="N964" s="8">
        <f>ROUNDUP(MONTH(Order_Details[[#This Row],[Order Date]])/3, 0)</f>
        <v>4</v>
      </c>
    </row>
    <row r="965" spans="1:14">
      <c r="A965" s="1" t="s">
        <v>792</v>
      </c>
      <c r="B965" s="1">
        <v>25</v>
      </c>
      <c r="C965" s="1">
        <v>10</v>
      </c>
      <c r="D965" s="1">
        <v>1</v>
      </c>
      <c r="E965" s="1" t="s">
        <v>1075</v>
      </c>
      <c r="F965" s="1" t="s">
        <v>1116</v>
      </c>
      <c r="G965" s="7" t="str">
        <f>_xlfn.XLOOKUP(Order_Details[[#This Row],[Order ID]], List_of_orders[Order ID], List_of_orders[State])</f>
        <v>Bihar</v>
      </c>
      <c r="H965" s="10">
        <f>_xlfn.XLOOKUP(Order_Details[[#This Row],[Order ID]], List_of_orders[Order ID], List_of_orders[Order Date (Clean)])</f>
        <v>43466</v>
      </c>
      <c r="I965" s="7" t="str">
        <f>_xlfn.XLOOKUP(Order_Details[[#This Row],[Order ID]], List_of_orders[Order ID], List_of_orders[CustomerName])</f>
        <v>Smriti</v>
      </c>
      <c r="J965" s="7" t="str">
        <f>_xlfn.XLOOKUP(Order_Details[[#This Row],[Order ID]], List_of_orders[Order ID], List_of_orders[City])</f>
        <v>Patna</v>
      </c>
      <c r="K965" s="8" t="str">
        <f>TEXT(Order_Details[[#This Row],[Order Date]], "YY-MMM")</f>
        <v>19-Jan</v>
      </c>
      <c r="L965" s="11">
        <f>Order_Details[[#This Row],[Profit]]/Order_Details[[#This Row],[Amount]]</f>
        <v>0.4</v>
      </c>
      <c r="M965" s="8">
        <f>YEAR(Order_Details[[#This Row],[Order Date]])</f>
        <v>2019</v>
      </c>
      <c r="N965" s="8">
        <f>ROUNDUP(MONTH(Order_Details[[#This Row],[Order Date]])/3, 0)</f>
        <v>1</v>
      </c>
    </row>
    <row r="966" spans="1:14">
      <c r="A966" s="1" t="s">
        <v>792</v>
      </c>
      <c r="B966" s="1">
        <v>122</v>
      </c>
      <c r="C966" s="1">
        <v>15</v>
      </c>
      <c r="D966" s="1">
        <v>3</v>
      </c>
      <c r="E966" s="1" t="s">
        <v>1077</v>
      </c>
      <c r="F966" s="1" t="s">
        <v>1115</v>
      </c>
      <c r="G966" s="7" t="str">
        <f>_xlfn.XLOOKUP(Order_Details[[#This Row],[Order ID]], List_of_orders[Order ID], List_of_orders[State])</f>
        <v>Bihar</v>
      </c>
      <c r="H966" s="10">
        <f>_xlfn.XLOOKUP(Order_Details[[#This Row],[Order ID]], List_of_orders[Order ID], List_of_orders[Order Date (Clean)])</f>
        <v>43466</v>
      </c>
      <c r="I966" s="7" t="str">
        <f>_xlfn.XLOOKUP(Order_Details[[#This Row],[Order ID]], List_of_orders[Order ID], List_of_orders[CustomerName])</f>
        <v>Smriti</v>
      </c>
      <c r="J966" s="7" t="str">
        <f>_xlfn.XLOOKUP(Order_Details[[#This Row],[Order ID]], List_of_orders[Order ID], List_of_orders[City])</f>
        <v>Patna</v>
      </c>
      <c r="K966" s="8" t="str">
        <f>TEXT(Order_Details[[#This Row],[Order Date]], "YY-MMM")</f>
        <v>19-Jan</v>
      </c>
      <c r="L966" s="11">
        <f>Order_Details[[#This Row],[Profit]]/Order_Details[[#This Row],[Amount]]</f>
        <v>0.12295081967213115</v>
      </c>
      <c r="M966" s="8">
        <f>YEAR(Order_Details[[#This Row],[Order Date]])</f>
        <v>2019</v>
      </c>
      <c r="N966" s="8">
        <f>ROUNDUP(MONTH(Order_Details[[#This Row],[Order Date]])/3, 0)</f>
        <v>1</v>
      </c>
    </row>
    <row r="967" spans="1:14">
      <c r="A967" s="1" t="s">
        <v>794</v>
      </c>
      <c r="B967" s="1">
        <v>1308</v>
      </c>
      <c r="C967" s="1">
        <v>536</v>
      </c>
      <c r="D967" s="1">
        <v>3</v>
      </c>
      <c r="E967" s="1" t="s">
        <v>1075</v>
      </c>
      <c r="F967" s="1" t="s">
        <v>1101</v>
      </c>
      <c r="G967" s="7" t="str">
        <f>_xlfn.XLOOKUP(Order_Details[[#This Row],[Order ID]], List_of_orders[Order ID], List_of_orders[State])</f>
        <v xml:space="preserve">Kerala </v>
      </c>
      <c r="H967" s="10">
        <f>_xlfn.XLOOKUP(Order_Details[[#This Row],[Order ID]], List_of_orders[Order ID], List_of_orders[Order Date (Clean)])</f>
        <v>43467</v>
      </c>
      <c r="I967" s="7" t="str">
        <f>_xlfn.XLOOKUP(Order_Details[[#This Row],[Order ID]], List_of_orders[Order ID], List_of_orders[CustomerName])</f>
        <v>Girase</v>
      </c>
      <c r="J967" s="7" t="str">
        <f>_xlfn.XLOOKUP(Order_Details[[#This Row],[Order ID]], List_of_orders[Order ID], List_of_orders[City])</f>
        <v>Thiruvananthapuram</v>
      </c>
      <c r="K967" s="8" t="str">
        <f>TEXT(Order_Details[[#This Row],[Order Date]], "YY-MMM")</f>
        <v>19-Jan</v>
      </c>
      <c r="L967" s="11">
        <f>Order_Details[[#This Row],[Profit]]/Order_Details[[#This Row],[Amount]]</f>
        <v>0.40978593272171254</v>
      </c>
      <c r="M967" s="8">
        <f>YEAR(Order_Details[[#This Row],[Order Date]])</f>
        <v>2019</v>
      </c>
      <c r="N967" s="8">
        <f>ROUNDUP(MONTH(Order_Details[[#This Row],[Order Date]])/3, 0)</f>
        <v>1</v>
      </c>
    </row>
    <row r="968" spans="1:14">
      <c r="A968" s="1" t="s">
        <v>794</v>
      </c>
      <c r="B968" s="1">
        <v>216</v>
      </c>
      <c r="C968" s="1">
        <v>-135</v>
      </c>
      <c r="D968" s="1">
        <v>3</v>
      </c>
      <c r="E968" s="1" t="s">
        <v>1075</v>
      </c>
      <c r="F968" s="1" t="s">
        <v>1108</v>
      </c>
      <c r="G968" s="7" t="str">
        <f>_xlfn.XLOOKUP(Order_Details[[#This Row],[Order ID]], List_of_orders[Order ID], List_of_orders[State])</f>
        <v xml:space="preserve">Kerala </v>
      </c>
      <c r="H968" s="10">
        <f>_xlfn.XLOOKUP(Order_Details[[#This Row],[Order ID]], List_of_orders[Order ID], List_of_orders[Order Date (Clean)])</f>
        <v>43467</v>
      </c>
      <c r="I968" s="7" t="str">
        <f>_xlfn.XLOOKUP(Order_Details[[#This Row],[Order ID]], List_of_orders[Order ID], List_of_orders[CustomerName])</f>
        <v>Girase</v>
      </c>
      <c r="J968" s="7" t="str">
        <f>_xlfn.XLOOKUP(Order_Details[[#This Row],[Order ID]], List_of_orders[Order ID], List_of_orders[City])</f>
        <v>Thiruvananthapuram</v>
      </c>
      <c r="K968" s="8" t="str">
        <f>TEXT(Order_Details[[#This Row],[Order Date]], "YY-MMM")</f>
        <v>19-Jan</v>
      </c>
      <c r="L968" s="11">
        <f>Order_Details[[#This Row],[Profit]]/Order_Details[[#This Row],[Amount]]</f>
        <v>-0.625</v>
      </c>
      <c r="M968" s="8">
        <f>YEAR(Order_Details[[#This Row],[Order Date]])</f>
        <v>2019</v>
      </c>
      <c r="N968" s="8">
        <f>ROUNDUP(MONTH(Order_Details[[#This Row],[Order Date]])/3, 0)</f>
        <v>1</v>
      </c>
    </row>
    <row r="969" spans="1:14">
      <c r="A969" s="1" t="s">
        <v>794</v>
      </c>
      <c r="B969" s="1">
        <v>154</v>
      </c>
      <c r="C969" s="1">
        <v>-85</v>
      </c>
      <c r="D969" s="1">
        <v>3</v>
      </c>
      <c r="E969" s="1" t="s">
        <v>1075</v>
      </c>
      <c r="F969" s="1" t="s">
        <v>1108</v>
      </c>
      <c r="G969" s="7" t="str">
        <f>_xlfn.XLOOKUP(Order_Details[[#This Row],[Order ID]], List_of_orders[Order ID], List_of_orders[State])</f>
        <v xml:space="preserve">Kerala </v>
      </c>
      <c r="H969" s="10">
        <f>_xlfn.XLOOKUP(Order_Details[[#This Row],[Order ID]], List_of_orders[Order ID], List_of_orders[Order Date (Clean)])</f>
        <v>43467</v>
      </c>
      <c r="I969" s="7" t="str">
        <f>_xlfn.XLOOKUP(Order_Details[[#This Row],[Order ID]], List_of_orders[Order ID], List_of_orders[CustomerName])</f>
        <v>Girase</v>
      </c>
      <c r="J969" s="7" t="str">
        <f>_xlfn.XLOOKUP(Order_Details[[#This Row],[Order ID]], List_of_orders[Order ID], List_of_orders[City])</f>
        <v>Thiruvananthapuram</v>
      </c>
      <c r="K969" s="8" t="str">
        <f>TEXT(Order_Details[[#This Row],[Order Date]], "YY-MMM")</f>
        <v>19-Jan</v>
      </c>
      <c r="L969" s="11">
        <f>Order_Details[[#This Row],[Profit]]/Order_Details[[#This Row],[Amount]]</f>
        <v>-0.55194805194805197</v>
      </c>
      <c r="M969" s="8">
        <f>YEAR(Order_Details[[#This Row],[Order Date]])</f>
        <v>2019</v>
      </c>
      <c r="N969" s="8">
        <f>ROUNDUP(MONTH(Order_Details[[#This Row],[Order Date]])/3, 0)</f>
        <v>1</v>
      </c>
    </row>
    <row r="970" spans="1:14">
      <c r="A970" s="1" t="s">
        <v>796</v>
      </c>
      <c r="B970" s="1">
        <v>40</v>
      </c>
      <c r="C970" s="1">
        <v>13</v>
      </c>
      <c r="D970" s="1">
        <v>3</v>
      </c>
      <c r="E970" s="1" t="s">
        <v>1076</v>
      </c>
      <c r="F970" s="1" t="s">
        <v>1110</v>
      </c>
      <c r="G970" s="7" t="str">
        <f>_xlfn.XLOOKUP(Order_Details[[#This Row],[Order ID]], List_of_orders[Order ID], List_of_orders[State])</f>
        <v>Punjab</v>
      </c>
      <c r="H970" s="10">
        <f>_xlfn.XLOOKUP(Order_Details[[#This Row],[Order ID]], List_of_orders[Order ID], List_of_orders[Order Date (Clean)])</f>
        <v>43468</v>
      </c>
      <c r="I970" s="7" t="str">
        <f>_xlfn.XLOOKUP(Order_Details[[#This Row],[Order ID]], List_of_orders[Order ID], List_of_orders[CustomerName])</f>
        <v>Monica</v>
      </c>
      <c r="J970" s="7" t="str">
        <f>_xlfn.XLOOKUP(Order_Details[[#This Row],[Order ID]], List_of_orders[Order ID], List_of_orders[City])</f>
        <v>Chandigarh</v>
      </c>
      <c r="K970" s="8" t="str">
        <f>TEXT(Order_Details[[#This Row],[Order Date]], "YY-MMM")</f>
        <v>19-Jan</v>
      </c>
      <c r="L970" s="11">
        <f>Order_Details[[#This Row],[Profit]]/Order_Details[[#This Row],[Amount]]</f>
        <v>0.32500000000000001</v>
      </c>
      <c r="M970" s="8">
        <f>YEAR(Order_Details[[#This Row],[Order Date]])</f>
        <v>2019</v>
      </c>
      <c r="N970" s="8">
        <f>ROUNDUP(MONTH(Order_Details[[#This Row],[Order Date]])/3, 0)</f>
        <v>1</v>
      </c>
    </row>
    <row r="971" spans="1:14">
      <c r="A971" s="1" t="s">
        <v>796</v>
      </c>
      <c r="B971" s="1">
        <v>351</v>
      </c>
      <c r="C971" s="1">
        <v>-94</v>
      </c>
      <c r="D971" s="1">
        <v>5</v>
      </c>
      <c r="E971" s="1" t="s">
        <v>1077</v>
      </c>
      <c r="F971" s="1" t="s">
        <v>1104</v>
      </c>
      <c r="G971" s="7" t="str">
        <f>_xlfn.XLOOKUP(Order_Details[[#This Row],[Order ID]], List_of_orders[Order ID], List_of_orders[State])</f>
        <v>Punjab</v>
      </c>
      <c r="H971" s="10">
        <f>_xlfn.XLOOKUP(Order_Details[[#This Row],[Order ID]], List_of_orders[Order ID], List_of_orders[Order Date (Clean)])</f>
        <v>43468</v>
      </c>
      <c r="I971" s="7" t="str">
        <f>_xlfn.XLOOKUP(Order_Details[[#This Row],[Order ID]], List_of_orders[Order ID], List_of_orders[CustomerName])</f>
        <v>Monica</v>
      </c>
      <c r="J971" s="7" t="str">
        <f>_xlfn.XLOOKUP(Order_Details[[#This Row],[Order ID]], List_of_orders[Order ID], List_of_orders[City])</f>
        <v>Chandigarh</v>
      </c>
      <c r="K971" s="8" t="str">
        <f>TEXT(Order_Details[[#This Row],[Order Date]], "YY-MMM")</f>
        <v>19-Jan</v>
      </c>
      <c r="L971" s="11">
        <f>Order_Details[[#This Row],[Profit]]/Order_Details[[#This Row],[Amount]]</f>
        <v>-0.26780626780626782</v>
      </c>
      <c r="M971" s="8">
        <f>YEAR(Order_Details[[#This Row],[Order Date]])</f>
        <v>2019</v>
      </c>
      <c r="N971" s="8">
        <f>ROUNDUP(MONTH(Order_Details[[#This Row],[Order Date]])/3, 0)</f>
        <v>1</v>
      </c>
    </row>
    <row r="972" spans="1:14">
      <c r="A972" s="1" t="s">
        <v>796</v>
      </c>
      <c r="B972" s="1">
        <v>595</v>
      </c>
      <c r="C972" s="1">
        <v>119</v>
      </c>
      <c r="D972" s="1">
        <v>4</v>
      </c>
      <c r="E972" s="1" t="s">
        <v>1075</v>
      </c>
      <c r="F972" s="1" t="s">
        <v>1101</v>
      </c>
      <c r="G972" s="7" t="str">
        <f>_xlfn.XLOOKUP(Order_Details[[#This Row],[Order ID]], List_of_orders[Order ID], List_of_orders[State])</f>
        <v>Punjab</v>
      </c>
      <c r="H972" s="10">
        <f>_xlfn.XLOOKUP(Order_Details[[#This Row],[Order ID]], List_of_orders[Order ID], List_of_orders[Order Date (Clean)])</f>
        <v>43468</v>
      </c>
      <c r="I972" s="7" t="str">
        <f>_xlfn.XLOOKUP(Order_Details[[#This Row],[Order ID]], List_of_orders[Order ID], List_of_orders[CustomerName])</f>
        <v>Monica</v>
      </c>
      <c r="J972" s="7" t="str">
        <f>_xlfn.XLOOKUP(Order_Details[[#This Row],[Order ID]], List_of_orders[Order ID], List_of_orders[City])</f>
        <v>Chandigarh</v>
      </c>
      <c r="K972" s="8" t="str">
        <f>TEXT(Order_Details[[#This Row],[Order Date]], "YY-MMM")</f>
        <v>19-Jan</v>
      </c>
      <c r="L972" s="11">
        <f>Order_Details[[#This Row],[Profit]]/Order_Details[[#This Row],[Amount]]</f>
        <v>0.2</v>
      </c>
      <c r="M972" s="8">
        <f>YEAR(Order_Details[[#This Row],[Order Date]])</f>
        <v>2019</v>
      </c>
      <c r="N972" s="8">
        <f>ROUNDUP(MONTH(Order_Details[[#This Row],[Order Date]])/3, 0)</f>
        <v>1</v>
      </c>
    </row>
    <row r="973" spans="1:14">
      <c r="A973" s="1" t="s">
        <v>796</v>
      </c>
      <c r="B973" s="1">
        <v>151</v>
      </c>
      <c r="C973" s="1">
        <v>29</v>
      </c>
      <c r="D973" s="1">
        <v>5</v>
      </c>
      <c r="E973" s="1" t="s">
        <v>1076</v>
      </c>
      <c r="F973" s="1" t="s">
        <v>1103</v>
      </c>
      <c r="G973" s="7" t="str">
        <f>_xlfn.XLOOKUP(Order_Details[[#This Row],[Order ID]], List_of_orders[Order ID], List_of_orders[State])</f>
        <v>Punjab</v>
      </c>
      <c r="H973" s="10">
        <f>_xlfn.XLOOKUP(Order_Details[[#This Row],[Order ID]], List_of_orders[Order ID], List_of_orders[Order Date (Clean)])</f>
        <v>43468</v>
      </c>
      <c r="I973" s="7" t="str">
        <f>_xlfn.XLOOKUP(Order_Details[[#This Row],[Order ID]], List_of_orders[Order ID], List_of_orders[CustomerName])</f>
        <v>Monica</v>
      </c>
      <c r="J973" s="7" t="str">
        <f>_xlfn.XLOOKUP(Order_Details[[#This Row],[Order ID]], List_of_orders[Order ID], List_of_orders[City])</f>
        <v>Chandigarh</v>
      </c>
      <c r="K973" s="8" t="str">
        <f>TEXT(Order_Details[[#This Row],[Order Date]], "YY-MMM")</f>
        <v>19-Jan</v>
      </c>
      <c r="L973" s="11">
        <f>Order_Details[[#This Row],[Profit]]/Order_Details[[#This Row],[Amount]]</f>
        <v>0.19205298013245034</v>
      </c>
      <c r="M973" s="8">
        <f>YEAR(Order_Details[[#This Row],[Order Date]])</f>
        <v>2019</v>
      </c>
      <c r="N973" s="8">
        <f>ROUNDUP(MONTH(Order_Details[[#This Row],[Order Date]])/3, 0)</f>
        <v>1</v>
      </c>
    </row>
    <row r="974" spans="1:14">
      <c r="A974" s="1" t="s">
        <v>796</v>
      </c>
      <c r="B974" s="1">
        <v>58</v>
      </c>
      <c r="C974" s="1">
        <v>17</v>
      </c>
      <c r="D974" s="1">
        <v>2</v>
      </c>
      <c r="E974" s="1" t="s">
        <v>1076</v>
      </c>
      <c r="F974" s="1" t="s">
        <v>1103</v>
      </c>
      <c r="G974" s="7" t="str">
        <f>_xlfn.XLOOKUP(Order_Details[[#This Row],[Order ID]], List_of_orders[Order ID], List_of_orders[State])</f>
        <v>Punjab</v>
      </c>
      <c r="H974" s="10">
        <f>_xlfn.XLOOKUP(Order_Details[[#This Row],[Order ID]], List_of_orders[Order ID], List_of_orders[Order Date (Clean)])</f>
        <v>43468</v>
      </c>
      <c r="I974" s="7" t="str">
        <f>_xlfn.XLOOKUP(Order_Details[[#This Row],[Order ID]], List_of_orders[Order ID], List_of_orders[CustomerName])</f>
        <v>Monica</v>
      </c>
      <c r="J974" s="7" t="str">
        <f>_xlfn.XLOOKUP(Order_Details[[#This Row],[Order ID]], List_of_orders[Order ID], List_of_orders[City])</f>
        <v>Chandigarh</v>
      </c>
      <c r="K974" s="8" t="str">
        <f>TEXT(Order_Details[[#This Row],[Order Date]], "YY-MMM")</f>
        <v>19-Jan</v>
      </c>
      <c r="L974" s="11">
        <f>Order_Details[[#This Row],[Profit]]/Order_Details[[#This Row],[Amount]]</f>
        <v>0.29310344827586204</v>
      </c>
      <c r="M974" s="8">
        <f>YEAR(Order_Details[[#This Row],[Order Date]])</f>
        <v>2019</v>
      </c>
      <c r="N974" s="8">
        <f>ROUNDUP(MONTH(Order_Details[[#This Row],[Order Date]])/3, 0)</f>
        <v>1</v>
      </c>
    </row>
    <row r="975" spans="1:14">
      <c r="A975" s="1" t="s">
        <v>796</v>
      </c>
      <c r="B975" s="1">
        <v>202</v>
      </c>
      <c r="C975" s="1">
        <v>89</v>
      </c>
      <c r="D975" s="1">
        <v>9</v>
      </c>
      <c r="E975" s="1" t="s">
        <v>1076</v>
      </c>
      <c r="F975" s="1" t="s">
        <v>1110</v>
      </c>
      <c r="G975" s="7" t="str">
        <f>_xlfn.XLOOKUP(Order_Details[[#This Row],[Order ID]], List_of_orders[Order ID], List_of_orders[State])</f>
        <v>Punjab</v>
      </c>
      <c r="H975" s="10">
        <f>_xlfn.XLOOKUP(Order_Details[[#This Row],[Order ID]], List_of_orders[Order ID], List_of_orders[Order Date (Clean)])</f>
        <v>43468</v>
      </c>
      <c r="I975" s="7" t="str">
        <f>_xlfn.XLOOKUP(Order_Details[[#This Row],[Order ID]], List_of_orders[Order ID], List_of_orders[CustomerName])</f>
        <v>Monica</v>
      </c>
      <c r="J975" s="7" t="str">
        <f>_xlfn.XLOOKUP(Order_Details[[#This Row],[Order ID]], List_of_orders[Order ID], List_of_orders[City])</f>
        <v>Chandigarh</v>
      </c>
      <c r="K975" s="8" t="str">
        <f>TEXT(Order_Details[[#This Row],[Order Date]], "YY-MMM")</f>
        <v>19-Jan</v>
      </c>
      <c r="L975" s="11">
        <f>Order_Details[[#This Row],[Profit]]/Order_Details[[#This Row],[Amount]]</f>
        <v>0.4405940594059406</v>
      </c>
      <c r="M975" s="8">
        <f>YEAR(Order_Details[[#This Row],[Order Date]])</f>
        <v>2019</v>
      </c>
      <c r="N975" s="8">
        <f>ROUNDUP(MONTH(Order_Details[[#This Row],[Order Date]])/3, 0)</f>
        <v>1</v>
      </c>
    </row>
    <row r="976" spans="1:14">
      <c r="A976" s="1" t="s">
        <v>798</v>
      </c>
      <c r="B976" s="1">
        <v>73</v>
      </c>
      <c r="C976" s="1">
        <v>-36</v>
      </c>
      <c r="D976" s="1">
        <v>3</v>
      </c>
      <c r="E976" s="1" t="s">
        <v>1075</v>
      </c>
      <c r="F976" s="1" t="s">
        <v>1108</v>
      </c>
      <c r="G976" s="7" t="str">
        <f>_xlfn.XLOOKUP(Order_Details[[#This Row],[Order ID]], List_of_orders[Order ID], List_of_orders[State])</f>
        <v>Maharashtra</v>
      </c>
      <c r="H976" s="10">
        <f>_xlfn.XLOOKUP(Order_Details[[#This Row],[Order ID]], List_of_orders[Order ID], List_of_orders[Order Date (Clean)])</f>
        <v>43469</v>
      </c>
      <c r="I976" s="7" t="str">
        <f>_xlfn.XLOOKUP(Order_Details[[#This Row],[Order ID]], List_of_orders[Order ID], List_of_orders[CustomerName])</f>
        <v>Sidharth</v>
      </c>
      <c r="J976" s="7" t="str">
        <f>_xlfn.XLOOKUP(Order_Details[[#This Row],[Order ID]], List_of_orders[Order ID], List_of_orders[City])</f>
        <v>Mumbai</v>
      </c>
      <c r="K976" s="8" t="str">
        <f>TEXT(Order_Details[[#This Row],[Order Date]], "YY-MMM")</f>
        <v>19-Jan</v>
      </c>
      <c r="L976" s="11">
        <f>Order_Details[[#This Row],[Profit]]/Order_Details[[#This Row],[Amount]]</f>
        <v>-0.49315068493150682</v>
      </c>
      <c r="M976" s="8">
        <f>YEAR(Order_Details[[#This Row],[Order Date]])</f>
        <v>2019</v>
      </c>
      <c r="N976" s="8">
        <f>ROUNDUP(MONTH(Order_Details[[#This Row],[Order Date]])/3, 0)</f>
        <v>1</v>
      </c>
    </row>
    <row r="977" spans="1:14">
      <c r="A977" s="1" t="s">
        <v>800</v>
      </c>
      <c r="B977" s="1">
        <v>71</v>
      </c>
      <c r="C977" s="1">
        <v>-14</v>
      </c>
      <c r="D977" s="1">
        <v>4</v>
      </c>
      <c r="E977" s="1" t="s">
        <v>1075</v>
      </c>
      <c r="F977" s="1" t="s">
        <v>1116</v>
      </c>
      <c r="G977" s="7" t="str">
        <f>_xlfn.XLOOKUP(Order_Details[[#This Row],[Order ID]], List_of_orders[Order ID], List_of_orders[State])</f>
        <v>Madhya Pradesh</v>
      </c>
      <c r="H977" s="10">
        <f>_xlfn.XLOOKUP(Order_Details[[#This Row],[Order ID]], List_of_orders[Order ID], List_of_orders[Order Date (Clean)])</f>
        <v>43469</v>
      </c>
      <c r="I977" s="7" t="str">
        <f>_xlfn.XLOOKUP(Order_Details[[#This Row],[Order ID]], List_of_orders[Order ID], List_of_orders[CustomerName])</f>
        <v>Bhutekar</v>
      </c>
      <c r="J977" s="7" t="str">
        <f>_xlfn.XLOOKUP(Order_Details[[#This Row],[Order ID]], List_of_orders[Order ID], List_of_orders[City])</f>
        <v>Indore</v>
      </c>
      <c r="K977" s="8" t="str">
        <f>TEXT(Order_Details[[#This Row],[Order Date]], "YY-MMM")</f>
        <v>19-Jan</v>
      </c>
      <c r="L977" s="11">
        <f>Order_Details[[#This Row],[Profit]]/Order_Details[[#This Row],[Amount]]</f>
        <v>-0.19718309859154928</v>
      </c>
      <c r="M977" s="8">
        <f>YEAR(Order_Details[[#This Row],[Order Date]])</f>
        <v>2019</v>
      </c>
      <c r="N977" s="8">
        <f>ROUNDUP(MONTH(Order_Details[[#This Row],[Order Date]])/3, 0)</f>
        <v>1</v>
      </c>
    </row>
    <row r="978" spans="1:14">
      <c r="A978" s="1" t="s">
        <v>802</v>
      </c>
      <c r="B978" s="1">
        <v>81</v>
      </c>
      <c r="C978" s="1">
        <v>-44</v>
      </c>
      <c r="D978" s="1">
        <v>3</v>
      </c>
      <c r="E978" s="1" t="s">
        <v>1076</v>
      </c>
      <c r="F978" s="1" t="s">
        <v>1102</v>
      </c>
      <c r="G978" s="7" t="str">
        <f>_xlfn.XLOOKUP(Order_Details[[#This Row],[Order ID]], List_of_orders[Order ID], List_of_orders[State])</f>
        <v>Maharashtra</v>
      </c>
      <c r="H978" s="10">
        <f>_xlfn.XLOOKUP(Order_Details[[#This Row],[Order ID]], List_of_orders[Order ID], List_of_orders[Order Date (Clean)])</f>
        <v>43469</v>
      </c>
      <c r="I978" s="7" t="str">
        <f>_xlfn.XLOOKUP(Order_Details[[#This Row],[Order ID]], List_of_orders[Order ID], List_of_orders[CustomerName])</f>
        <v>Shikhar</v>
      </c>
      <c r="J978" s="7" t="str">
        <f>_xlfn.XLOOKUP(Order_Details[[#This Row],[Order ID]], List_of_orders[Order ID], List_of_orders[City])</f>
        <v>Mumbai</v>
      </c>
      <c r="K978" s="8" t="str">
        <f>TEXT(Order_Details[[#This Row],[Order Date]], "YY-MMM")</f>
        <v>19-Jan</v>
      </c>
      <c r="L978" s="11">
        <f>Order_Details[[#This Row],[Profit]]/Order_Details[[#This Row],[Amount]]</f>
        <v>-0.54320987654320985</v>
      </c>
      <c r="M978" s="8">
        <f>YEAR(Order_Details[[#This Row],[Order Date]])</f>
        <v>2019</v>
      </c>
      <c r="N978" s="8">
        <f>ROUNDUP(MONTH(Order_Details[[#This Row],[Order Date]])/3, 0)</f>
        <v>1</v>
      </c>
    </row>
    <row r="979" spans="1:14">
      <c r="A979" s="1" t="s">
        <v>802</v>
      </c>
      <c r="B979" s="1">
        <v>412</v>
      </c>
      <c r="C979" s="1">
        <v>-412</v>
      </c>
      <c r="D979" s="1">
        <v>6</v>
      </c>
      <c r="E979" s="1" t="s">
        <v>1076</v>
      </c>
      <c r="F979" s="1" t="s">
        <v>1106</v>
      </c>
      <c r="G979" s="7" t="str">
        <f>_xlfn.XLOOKUP(Order_Details[[#This Row],[Order ID]], List_of_orders[Order ID], List_of_orders[State])</f>
        <v>Maharashtra</v>
      </c>
      <c r="H979" s="10">
        <f>_xlfn.XLOOKUP(Order_Details[[#This Row],[Order ID]], List_of_orders[Order ID], List_of_orders[Order Date (Clean)])</f>
        <v>43469</v>
      </c>
      <c r="I979" s="7" t="str">
        <f>_xlfn.XLOOKUP(Order_Details[[#This Row],[Order ID]], List_of_orders[Order ID], List_of_orders[CustomerName])</f>
        <v>Shikhar</v>
      </c>
      <c r="J979" s="7" t="str">
        <f>_xlfn.XLOOKUP(Order_Details[[#This Row],[Order ID]], List_of_orders[Order ID], List_of_orders[City])</f>
        <v>Mumbai</v>
      </c>
      <c r="K979" s="8" t="str">
        <f>TEXT(Order_Details[[#This Row],[Order Date]], "YY-MMM")</f>
        <v>19-Jan</v>
      </c>
      <c r="L979" s="11">
        <f>Order_Details[[#This Row],[Profit]]/Order_Details[[#This Row],[Amount]]</f>
        <v>-1</v>
      </c>
      <c r="M979" s="8">
        <f>YEAR(Order_Details[[#This Row],[Order Date]])</f>
        <v>2019</v>
      </c>
      <c r="N979" s="8">
        <f>ROUNDUP(MONTH(Order_Details[[#This Row],[Order Date]])/3, 0)</f>
        <v>1</v>
      </c>
    </row>
    <row r="980" spans="1:14">
      <c r="A980" s="1" t="s">
        <v>802</v>
      </c>
      <c r="B980" s="1">
        <v>207</v>
      </c>
      <c r="C980" s="1">
        <v>-100</v>
      </c>
      <c r="D980" s="1">
        <v>2</v>
      </c>
      <c r="E980" s="1" t="s">
        <v>1076</v>
      </c>
      <c r="F980" s="1" t="s">
        <v>1106</v>
      </c>
      <c r="G980" s="7" t="str">
        <f>_xlfn.XLOOKUP(Order_Details[[#This Row],[Order ID]], List_of_orders[Order ID], List_of_orders[State])</f>
        <v>Maharashtra</v>
      </c>
      <c r="H980" s="10">
        <f>_xlfn.XLOOKUP(Order_Details[[#This Row],[Order ID]], List_of_orders[Order ID], List_of_orders[Order Date (Clean)])</f>
        <v>43469</v>
      </c>
      <c r="I980" s="7" t="str">
        <f>_xlfn.XLOOKUP(Order_Details[[#This Row],[Order ID]], List_of_orders[Order ID], List_of_orders[CustomerName])</f>
        <v>Shikhar</v>
      </c>
      <c r="J980" s="7" t="str">
        <f>_xlfn.XLOOKUP(Order_Details[[#This Row],[Order ID]], List_of_orders[Order ID], List_of_orders[City])</f>
        <v>Mumbai</v>
      </c>
      <c r="K980" s="8" t="str">
        <f>TEXT(Order_Details[[#This Row],[Order Date]], "YY-MMM")</f>
        <v>19-Jan</v>
      </c>
      <c r="L980" s="11">
        <f>Order_Details[[#This Row],[Profit]]/Order_Details[[#This Row],[Amount]]</f>
        <v>-0.48309178743961351</v>
      </c>
      <c r="M980" s="8">
        <f>YEAR(Order_Details[[#This Row],[Order Date]])</f>
        <v>2019</v>
      </c>
      <c r="N980" s="8">
        <f>ROUNDUP(MONTH(Order_Details[[#This Row],[Order Date]])/3, 0)</f>
        <v>1</v>
      </c>
    </row>
    <row r="981" spans="1:14">
      <c r="A981" s="1" t="s">
        <v>804</v>
      </c>
      <c r="B981" s="1">
        <v>105</v>
      </c>
      <c r="C981" s="1">
        <v>33</v>
      </c>
      <c r="D981" s="1">
        <v>6</v>
      </c>
      <c r="E981" s="1" t="s">
        <v>1076</v>
      </c>
      <c r="F981" s="1" t="s">
        <v>1106</v>
      </c>
      <c r="G981" s="7" t="str">
        <f>_xlfn.XLOOKUP(Order_Details[[#This Row],[Order ID]], List_of_orders[Order ID], List_of_orders[State])</f>
        <v>Madhya Pradesh</v>
      </c>
      <c r="H981" s="10">
        <f>_xlfn.XLOOKUP(Order_Details[[#This Row],[Order ID]], List_of_orders[Order ID], List_of_orders[Order Date (Clean)])</f>
        <v>43469</v>
      </c>
      <c r="I981" s="7" t="str">
        <f>_xlfn.XLOOKUP(Order_Details[[#This Row],[Order ID]], List_of_orders[Order ID], List_of_orders[CustomerName])</f>
        <v>Rahul</v>
      </c>
      <c r="J981" s="7" t="str">
        <f>_xlfn.XLOOKUP(Order_Details[[#This Row],[Order ID]], List_of_orders[Order ID], List_of_orders[City])</f>
        <v>Indore</v>
      </c>
      <c r="K981" s="8" t="str">
        <f>TEXT(Order_Details[[#This Row],[Order Date]], "YY-MMM")</f>
        <v>19-Jan</v>
      </c>
      <c r="L981" s="11">
        <f>Order_Details[[#This Row],[Profit]]/Order_Details[[#This Row],[Amount]]</f>
        <v>0.31428571428571428</v>
      </c>
      <c r="M981" s="8">
        <f>YEAR(Order_Details[[#This Row],[Order Date]])</f>
        <v>2019</v>
      </c>
      <c r="N981" s="8">
        <f>ROUNDUP(MONTH(Order_Details[[#This Row],[Order Date]])/3, 0)</f>
        <v>1</v>
      </c>
    </row>
    <row r="982" spans="1:14">
      <c r="A982" s="1" t="s">
        <v>806</v>
      </c>
      <c r="B982" s="1">
        <v>162</v>
      </c>
      <c r="C982" s="1">
        <v>20</v>
      </c>
      <c r="D982" s="1">
        <v>3</v>
      </c>
      <c r="E982" s="1" t="s">
        <v>1075</v>
      </c>
      <c r="F982" s="1" t="s">
        <v>1108</v>
      </c>
      <c r="G982" s="7" t="str">
        <f>_xlfn.XLOOKUP(Order_Details[[#This Row],[Order ID]], List_of_orders[Order ID], List_of_orders[State])</f>
        <v>Nagaland</v>
      </c>
      <c r="H982" s="10">
        <f>_xlfn.XLOOKUP(Order_Details[[#This Row],[Order ID]], List_of_orders[Order ID], List_of_orders[Order Date (Clean)])</f>
        <v>43469</v>
      </c>
      <c r="I982" s="7" t="str">
        <f>_xlfn.XLOOKUP(Order_Details[[#This Row],[Order ID]], List_of_orders[Order ID], List_of_orders[CustomerName])</f>
        <v>Sudhir</v>
      </c>
      <c r="J982" s="7" t="str">
        <f>_xlfn.XLOOKUP(Order_Details[[#This Row],[Order ID]], List_of_orders[Order ID], List_of_orders[City])</f>
        <v>Kohima</v>
      </c>
      <c r="K982" s="8" t="str">
        <f>TEXT(Order_Details[[#This Row],[Order Date]], "YY-MMM")</f>
        <v>19-Jan</v>
      </c>
      <c r="L982" s="11">
        <f>Order_Details[[#This Row],[Profit]]/Order_Details[[#This Row],[Amount]]</f>
        <v>0.12345679012345678</v>
      </c>
      <c r="M982" s="8">
        <f>YEAR(Order_Details[[#This Row],[Order Date]])</f>
        <v>2019</v>
      </c>
      <c r="N982" s="8">
        <f>ROUNDUP(MONTH(Order_Details[[#This Row],[Order Date]])/3, 0)</f>
        <v>1</v>
      </c>
    </row>
    <row r="983" spans="1:14">
      <c r="A983" s="1" t="s">
        <v>806</v>
      </c>
      <c r="B983" s="1">
        <v>150</v>
      </c>
      <c r="C983" s="1">
        <v>32</v>
      </c>
      <c r="D983" s="1">
        <v>3</v>
      </c>
      <c r="E983" s="1" t="s">
        <v>1076</v>
      </c>
      <c r="F983" s="1" t="s">
        <v>1103</v>
      </c>
      <c r="G983" s="7" t="str">
        <f>_xlfn.XLOOKUP(Order_Details[[#This Row],[Order ID]], List_of_orders[Order ID], List_of_orders[State])</f>
        <v>Nagaland</v>
      </c>
      <c r="H983" s="10">
        <f>_xlfn.XLOOKUP(Order_Details[[#This Row],[Order ID]], List_of_orders[Order ID], List_of_orders[Order Date (Clean)])</f>
        <v>43469</v>
      </c>
      <c r="I983" s="7" t="str">
        <f>_xlfn.XLOOKUP(Order_Details[[#This Row],[Order ID]], List_of_orders[Order ID], List_of_orders[CustomerName])</f>
        <v>Sudhir</v>
      </c>
      <c r="J983" s="7" t="str">
        <f>_xlfn.XLOOKUP(Order_Details[[#This Row],[Order ID]], List_of_orders[Order ID], List_of_orders[City])</f>
        <v>Kohima</v>
      </c>
      <c r="K983" s="8" t="str">
        <f>TEXT(Order_Details[[#This Row],[Order Date]], "YY-MMM")</f>
        <v>19-Jan</v>
      </c>
      <c r="L983" s="11">
        <f>Order_Details[[#This Row],[Profit]]/Order_Details[[#This Row],[Amount]]</f>
        <v>0.21333333333333335</v>
      </c>
      <c r="M983" s="8">
        <f>YEAR(Order_Details[[#This Row],[Order Date]])</f>
        <v>2019</v>
      </c>
      <c r="N983" s="8">
        <f>ROUNDUP(MONTH(Order_Details[[#This Row],[Order Date]])/3, 0)</f>
        <v>1</v>
      </c>
    </row>
    <row r="984" spans="1:14">
      <c r="A984" s="1" t="s">
        <v>806</v>
      </c>
      <c r="B984" s="1">
        <v>1657</v>
      </c>
      <c r="C984" s="1">
        <v>460</v>
      </c>
      <c r="D984" s="1">
        <v>4</v>
      </c>
      <c r="E984" s="1" t="s">
        <v>1075</v>
      </c>
      <c r="F984" s="1" t="s">
        <v>1108</v>
      </c>
      <c r="G984" s="7" t="str">
        <f>_xlfn.XLOOKUP(Order_Details[[#This Row],[Order ID]], List_of_orders[Order ID], List_of_orders[State])</f>
        <v>Nagaland</v>
      </c>
      <c r="H984" s="10">
        <f>_xlfn.XLOOKUP(Order_Details[[#This Row],[Order ID]], List_of_orders[Order ID], List_of_orders[Order Date (Clean)])</f>
        <v>43469</v>
      </c>
      <c r="I984" s="7" t="str">
        <f>_xlfn.XLOOKUP(Order_Details[[#This Row],[Order ID]], List_of_orders[Order ID], List_of_orders[CustomerName])</f>
        <v>Sudhir</v>
      </c>
      <c r="J984" s="7" t="str">
        <f>_xlfn.XLOOKUP(Order_Details[[#This Row],[Order ID]], List_of_orders[Order ID], List_of_orders[City])</f>
        <v>Kohima</v>
      </c>
      <c r="K984" s="8" t="str">
        <f>TEXT(Order_Details[[#This Row],[Order Date]], "YY-MMM")</f>
        <v>19-Jan</v>
      </c>
      <c r="L984" s="11">
        <f>Order_Details[[#This Row],[Profit]]/Order_Details[[#This Row],[Amount]]</f>
        <v>0.27761013880506941</v>
      </c>
      <c r="M984" s="8">
        <f>YEAR(Order_Details[[#This Row],[Order Date]])</f>
        <v>2019</v>
      </c>
      <c r="N984" s="8">
        <f>ROUNDUP(MONTH(Order_Details[[#This Row],[Order Date]])/3, 0)</f>
        <v>1</v>
      </c>
    </row>
    <row r="985" spans="1:14">
      <c r="A985" s="1" t="s">
        <v>808</v>
      </c>
      <c r="B985" s="1">
        <v>61</v>
      </c>
      <c r="C985" s="1">
        <v>25</v>
      </c>
      <c r="D985" s="1">
        <v>4</v>
      </c>
      <c r="E985" s="1" t="s">
        <v>1076</v>
      </c>
      <c r="F985" s="1" t="s">
        <v>1106</v>
      </c>
      <c r="G985" s="7" t="str">
        <f>_xlfn.XLOOKUP(Order_Details[[#This Row],[Order ID]], List_of_orders[Order ID], List_of_orders[State])</f>
        <v>Punjab</v>
      </c>
      <c r="H985" s="10">
        <f>_xlfn.XLOOKUP(Order_Details[[#This Row],[Order ID]], List_of_orders[Order ID], List_of_orders[Order Date (Clean)])</f>
        <v>43470</v>
      </c>
      <c r="I985" s="7" t="str">
        <f>_xlfn.XLOOKUP(Order_Details[[#This Row],[Order ID]], List_of_orders[Order ID], List_of_orders[CustomerName])</f>
        <v>Nikhil</v>
      </c>
      <c r="J985" s="7" t="str">
        <f>_xlfn.XLOOKUP(Order_Details[[#This Row],[Order ID]], List_of_orders[Order ID], List_of_orders[City])</f>
        <v>Chandigarh</v>
      </c>
      <c r="K985" s="8" t="str">
        <f>TEXT(Order_Details[[#This Row],[Order Date]], "YY-MMM")</f>
        <v>19-Jan</v>
      </c>
      <c r="L985" s="11">
        <f>Order_Details[[#This Row],[Profit]]/Order_Details[[#This Row],[Amount]]</f>
        <v>0.4098360655737705</v>
      </c>
      <c r="M985" s="8">
        <f>YEAR(Order_Details[[#This Row],[Order Date]])</f>
        <v>2019</v>
      </c>
      <c r="N985" s="8">
        <f>ROUNDUP(MONTH(Order_Details[[#This Row],[Order Date]])/3, 0)</f>
        <v>1</v>
      </c>
    </row>
    <row r="986" spans="1:14">
      <c r="A986" s="1" t="s">
        <v>810</v>
      </c>
      <c r="B986" s="1">
        <v>1101</v>
      </c>
      <c r="C986" s="1">
        <v>352</v>
      </c>
      <c r="D986" s="1">
        <v>3</v>
      </c>
      <c r="E986" s="1" t="s">
        <v>1075</v>
      </c>
      <c r="F986" s="1" t="s">
        <v>1101</v>
      </c>
      <c r="G986" s="7" t="str">
        <f>_xlfn.XLOOKUP(Order_Details[[#This Row],[Order ID]], List_of_orders[Order ID], List_of_orders[State])</f>
        <v>Haryana</v>
      </c>
      <c r="H986" s="10">
        <f>_xlfn.XLOOKUP(Order_Details[[#This Row],[Order ID]], List_of_orders[Order ID], List_of_orders[Order Date (Clean)])</f>
        <v>43470</v>
      </c>
      <c r="I986" s="7" t="str">
        <f>_xlfn.XLOOKUP(Order_Details[[#This Row],[Order ID]], List_of_orders[Order ID], List_of_orders[CustomerName])</f>
        <v>Ankit</v>
      </c>
      <c r="J986" s="7" t="str">
        <f>_xlfn.XLOOKUP(Order_Details[[#This Row],[Order ID]], List_of_orders[Order ID], List_of_orders[City])</f>
        <v>Chandigarh</v>
      </c>
      <c r="K986" s="8" t="str">
        <f>TEXT(Order_Details[[#This Row],[Order Date]], "YY-MMM")</f>
        <v>19-Jan</v>
      </c>
      <c r="L986" s="11">
        <f>Order_Details[[#This Row],[Profit]]/Order_Details[[#This Row],[Amount]]</f>
        <v>0.31970935513169846</v>
      </c>
      <c r="M986" s="8">
        <f>YEAR(Order_Details[[#This Row],[Order Date]])</f>
        <v>2019</v>
      </c>
      <c r="N986" s="8">
        <f>ROUNDUP(MONTH(Order_Details[[#This Row],[Order Date]])/3, 0)</f>
        <v>1</v>
      </c>
    </row>
    <row r="987" spans="1:14">
      <c r="A987" s="1" t="s">
        <v>811</v>
      </c>
      <c r="B987" s="1">
        <v>61</v>
      </c>
      <c r="C987" s="1">
        <v>1</v>
      </c>
      <c r="D987" s="1">
        <v>2</v>
      </c>
      <c r="E987" s="1" t="s">
        <v>1075</v>
      </c>
      <c r="F987" s="1" t="s">
        <v>1116</v>
      </c>
      <c r="G987" s="7" t="str">
        <f>_xlfn.XLOOKUP(Order_Details[[#This Row],[Order ID]], List_of_orders[Order ID], List_of_orders[State])</f>
        <v>Himachal Pradesh</v>
      </c>
      <c r="H987" s="10">
        <f>_xlfn.XLOOKUP(Order_Details[[#This Row],[Order ID]], List_of_orders[Order ID], List_of_orders[Order Date (Clean)])</f>
        <v>43470</v>
      </c>
      <c r="I987" s="7" t="str">
        <f>_xlfn.XLOOKUP(Order_Details[[#This Row],[Order ID]], List_of_orders[Order ID], List_of_orders[CustomerName])</f>
        <v>Shikhar</v>
      </c>
      <c r="J987" s="7" t="str">
        <f>_xlfn.XLOOKUP(Order_Details[[#This Row],[Order ID]], List_of_orders[Order ID], List_of_orders[City])</f>
        <v>Simla</v>
      </c>
      <c r="K987" s="8" t="str">
        <f>TEXT(Order_Details[[#This Row],[Order Date]], "YY-MMM")</f>
        <v>19-Jan</v>
      </c>
      <c r="L987" s="11">
        <f>Order_Details[[#This Row],[Profit]]/Order_Details[[#This Row],[Amount]]</f>
        <v>1.6393442622950821E-2</v>
      </c>
      <c r="M987" s="8">
        <f>YEAR(Order_Details[[#This Row],[Order Date]])</f>
        <v>2019</v>
      </c>
      <c r="N987" s="8">
        <f>ROUNDUP(MONTH(Order_Details[[#This Row],[Order Date]])/3, 0)</f>
        <v>1</v>
      </c>
    </row>
    <row r="988" spans="1:14">
      <c r="A988" s="1" t="s">
        <v>811</v>
      </c>
      <c r="B988" s="1">
        <v>59</v>
      </c>
      <c r="C988" s="1">
        <v>25</v>
      </c>
      <c r="D988" s="1">
        <v>3</v>
      </c>
      <c r="E988" s="1" t="s">
        <v>1076</v>
      </c>
      <c r="F988" s="1" t="s">
        <v>1102</v>
      </c>
      <c r="G988" s="7" t="str">
        <f>_xlfn.XLOOKUP(Order_Details[[#This Row],[Order ID]], List_of_orders[Order ID], List_of_orders[State])</f>
        <v>Himachal Pradesh</v>
      </c>
      <c r="H988" s="10">
        <f>_xlfn.XLOOKUP(Order_Details[[#This Row],[Order ID]], List_of_orders[Order ID], List_of_orders[Order Date (Clean)])</f>
        <v>43470</v>
      </c>
      <c r="I988" s="7" t="str">
        <f>_xlfn.XLOOKUP(Order_Details[[#This Row],[Order ID]], List_of_orders[Order ID], List_of_orders[CustomerName])</f>
        <v>Shikhar</v>
      </c>
      <c r="J988" s="7" t="str">
        <f>_xlfn.XLOOKUP(Order_Details[[#This Row],[Order ID]], List_of_orders[Order ID], List_of_orders[City])</f>
        <v>Simla</v>
      </c>
      <c r="K988" s="8" t="str">
        <f>TEXT(Order_Details[[#This Row],[Order Date]], "YY-MMM")</f>
        <v>19-Jan</v>
      </c>
      <c r="L988" s="11">
        <f>Order_Details[[#This Row],[Profit]]/Order_Details[[#This Row],[Amount]]</f>
        <v>0.42372881355932202</v>
      </c>
      <c r="M988" s="8">
        <f>YEAR(Order_Details[[#This Row],[Order Date]])</f>
        <v>2019</v>
      </c>
      <c r="N988" s="8">
        <f>ROUNDUP(MONTH(Order_Details[[#This Row],[Order Date]])/3, 0)</f>
        <v>1</v>
      </c>
    </row>
    <row r="989" spans="1:14">
      <c r="A989" s="1" t="s">
        <v>812</v>
      </c>
      <c r="B989" s="1">
        <v>61</v>
      </c>
      <c r="C989" s="1">
        <v>18</v>
      </c>
      <c r="D989" s="1">
        <v>2</v>
      </c>
      <c r="E989" s="1" t="s">
        <v>1077</v>
      </c>
      <c r="F989" s="1" t="s">
        <v>1115</v>
      </c>
      <c r="G989" s="7" t="str">
        <f>_xlfn.XLOOKUP(Order_Details[[#This Row],[Order ID]], List_of_orders[Order ID], List_of_orders[State])</f>
        <v>Sikkim</v>
      </c>
      <c r="H989" s="10">
        <f>_xlfn.XLOOKUP(Order_Details[[#This Row],[Order ID]], List_of_orders[Order ID], List_of_orders[Order Date (Clean)])</f>
        <v>43470</v>
      </c>
      <c r="I989" s="7" t="str">
        <f>_xlfn.XLOOKUP(Order_Details[[#This Row],[Order ID]], List_of_orders[Order ID], List_of_orders[CustomerName])</f>
        <v>Vineet</v>
      </c>
      <c r="J989" s="7" t="str">
        <f>_xlfn.XLOOKUP(Order_Details[[#This Row],[Order ID]], List_of_orders[Order ID], List_of_orders[City])</f>
        <v>Gangtok</v>
      </c>
      <c r="K989" s="8" t="str">
        <f>TEXT(Order_Details[[#This Row],[Order Date]], "YY-MMM")</f>
        <v>19-Jan</v>
      </c>
      <c r="L989" s="11">
        <f>Order_Details[[#This Row],[Profit]]/Order_Details[[#This Row],[Amount]]</f>
        <v>0.29508196721311475</v>
      </c>
      <c r="M989" s="8">
        <f>YEAR(Order_Details[[#This Row],[Order Date]])</f>
        <v>2019</v>
      </c>
      <c r="N989" s="8">
        <f>ROUNDUP(MONTH(Order_Details[[#This Row],[Order Date]])/3, 0)</f>
        <v>1</v>
      </c>
    </row>
    <row r="990" spans="1:14">
      <c r="A990" s="1" t="s">
        <v>812</v>
      </c>
      <c r="B990" s="1">
        <v>136</v>
      </c>
      <c r="C990" s="1">
        <v>41</v>
      </c>
      <c r="D990" s="1">
        <v>3</v>
      </c>
      <c r="E990" s="1" t="s">
        <v>1077</v>
      </c>
      <c r="F990" s="1" t="s">
        <v>1115</v>
      </c>
      <c r="G990" s="7" t="str">
        <f>_xlfn.XLOOKUP(Order_Details[[#This Row],[Order ID]], List_of_orders[Order ID], List_of_orders[State])</f>
        <v>Sikkim</v>
      </c>
      <c r="H990" s="10">
        <f>_xlfn.XLOOKUP(Order_Details[[#This Row],[Order ID]], List_of_orders[Order ID], List_of_orders[Order Date (Clean)])</f>
        <v>43470</v>
      </c>
      <c r="I990" s="7" t="str">
        <f>_xlfn.XLOOKUP(Order_Details[[#This Row],[Order ID]], List_of_orders[Order ID], List_of_orders[CustomerName])</f>
        <v>Vineet</v>
      </c>
      <c r="J990" s="7" t="str">
        <f>_xlfn.XLOOKUP(Order_Details[[#This Row],[Order ID]], List_of_orders[Order ID], List_of_orders[City])</f>
        <v>Gangtok</v>
      </c>
      <c r="K990" s="8" t="str">
        <f>TEXT(Order_Details[[#This Row],[Order Date]], "YY-MMM")</f>
        <v>19-Jan</v>
      </c>
      <c r="L990" s="11">
        <f>Order_Details[[#This Row],[Profit]]/Order_Details[[#This Row],[Amount]]</f>
        <v>0.3014705882352941</v>
      </c>
      <c r="M990" s="8">
        <f>YEAR(Order_Details[[#This Row],[Order Date]])</f>
        <v>2019</v>
      </c>
      <c r="N990" s="8">
        <f>ROUNDUP(MONTH(Order_Details[[#This Row],[Order Date]])/3, 0)</f>
        <v>1</v>
      </c>
    </row>
    <row r="991" spans="1:14">
      <c r="A991" s="1" t="s">
        <v>812</v>
      </c>
      <c r="B991" s="1">
        <v>469</v>
      </c>
      <c r="C991" s="1">
        <v>33</v>
      </c>
      <c r="D991" s="1">
        <v>4</v>
      </c>
      <c r="E991" s="1" t="s">
        <v>1077</v>
      </c>
      <c r="F991" s="1" t="s">
        <v>1104</v>
      </c>
      <c r="G991" s="7" t="str">
        <f>_xlfn.XLOOKUP(Order_Details[[#This Row],[Order ID]], List_of_orders[Order ID], List_of_orders[State])</f>
        <v>Sikkim</v>
      </c>
      <c r="H991" s="10">
        <f>_xlfn.XLOOKUP(Order_Details[[#This Row],[Order ID]], List_of_orders[Order ID], List_of_orders[Order Date (Clean)])</f>
        <v>43470</v>
      </c>
      <c r="I991" s="7" t="str">
        <f>_xlfn.XLOOKUP(Order_Details[[#This Row],[Order ID]], List_of_orders[Order ID], List_of_orders[CustomerName])</f>
        <v>Vineet</v>
      </c>
      <c r="J991" s="7" t="str">
        <f>_xlfn.XLOOKUP(Order_Details[[#This Row],[Order ID]], List_of_orders[Order ID], List_of_orders[City])</f>
        <v>Gangtok</v>
      </c>
      <c r="K991" s="8" t="str">
        <f>TEXT(Order_Details[[#This Row],[Order Date]], "YY-MMM")</f>
        <v>19-Jan</v>
      </c>
      <c r="L991" s="11">
        <f>Order_Details[[#This Row],[Profit]]/Order_Details[[#This Row],[Amount]]</f>
        <v>7.0362473347547971E-2</v>
      </c>
      <c r="M991" s="8">
        <f>YEAR(Order_Details[[#This Row],[Order Date]])</f>
        <v>2019</v>
      </c>
      <c r="N991" s="8">
        <f>ROUNDUP(MONTH(Order_Details[[#This Row],[Order Date]])/3, 0)</f>
        <v>1</v>
      </c>
    </row>
    <row r="992" spans="1:14">
      <c r="A992" s="1" t="s">
        <v>814</v>
      </c>
      <c r="B992" s="1">
        <v>55</v>
      </c>
      <c r="C992" s="1">
        <v>4</v>
      </c>
      <c r="D992" s="1">
        <v>2</v>
      </c>
      <c r="E992" s="1" t="s">
        <v>1076</v>
      </c>
      <c r="F992" s="1" t="s">
        <v>1102</v>
      </c>
      <c r="G992" s="7" t="str">
        <f>_xlfn.XLOOKUP(Order_Details[[#This Row],[Order ID]], List_of_orders[Order ID], List_of_orders[State])</f>
        <v>Goa</v>
      </c>
      <c r="H992" s="10">
        <f>_xlfn.XLOOKUP(Order_Details[[#This Row],[Order ID]], List_of_orders[Order ID], List_of_orders[Order Date (Clean)])</f>
        <v>43471</v>
      </c>
      <c r="I992" s="7" t="str">
        <f>_xlfn.XLOOKUP(Order_Details[[#This Row],[Order ID]], List_of_orders[Order ID], List_of_orders[CustomerName])</f>
        <v>Vivek</v>
      </c>
      <c r="J992" s="7" t="str">
        <f>_xlfn.XLOOKUP(Order_Details[[#This Row],[Order ID]], List_of_orders[Order ID], List_of_orders[City])</f>
        <v>Goa</v>
      </c>
      <c r="K992" s="8" t="str">
        <f>TEXT(Order_Details[[#This Row],[Order Date]], "YY-MMM")</f>
        <v>19-Jan</v>
      </c>
      <c r="L992" s="11">
        <f>Order_Details[[#This Row],[Profit]]/Order_Details[[#This Row],[Amount]]</f>
        <v>7.2727272727272724E-2</v>
      </c>
      <c r="M992" s="8">
        <f>YEAR(Order_Details[[#This Row],[Order Date]])</f>
        <v>2019</v>
      </c>
      <c r="N992" s="8">
        <f>ROUNDUP(MONTH(Order_Details[[#This Row],[Order Date]])/3, 0)</f>
        <v>1</v>
      </c>
    </row>
    <row r="993" spans="1:14">
      <c r="A993" s="1" t="s">
        <v>814</v>
      </c>
      <c r="B993" s="1">
        <v>13</v>
      </c>
      <c r="C993" s="1">
        <v>3</v>
      </c>
      <c r="D993" s="1">
        <v>2</v>
      </c>
      <c r="E993" s="1" t="s">
        <v>1076</v>
      </c>
      <c r="F993" s="1" t="s">
        <v>1103</v>
      </c>
      <c r="G993" s="7" t="str">
        <f>_xlfn.XLOOKUP(Order_Details[[#This Row],[Order ID]], List_of_orders[Order ID], List_of_orders[State])</f>
        <v>Goa</v>
      </c>
      <c r="H993" s="10">
        <f>_xlfn.XLOOKUP(Order_Details[[#This Row],[Order ID]], List_of_orders[Order ID], List_of_orders[Order Date (Clean)])</f>
        <v>43471</v>
      </c>
      <c r="I993" s="7" t="str">
        <f>_xlfn.XLOOKUP(Order_Details[[#This Row],[Order ID]], List_of_orders[Order ID], List_of_orders[CustomerName])</f>
        <v>Vivek</v>
      </c>
      <c r="J993" s="7" t="str">
        <f>_xlfn.XLOOKUP(Order_Details[[#This Row],[Order ID]], List_of_orders[Order ID], List_of_orders[City])</f>
        <v>Goa</v>
      </c>
      <c r="K993" s="8" t="str">
        <f>TEXT(Order_Details[[#This Row],[Order Date]], "YY-MMM")</f>
        <v>19-Jan</v>
      </c>
      <c r="L993" s="11">
        <f>Order_Details[[#This Row],[Profit]]/Order_Details[[#This Row],[Amount]]</f>
        <v>0.23076923076923078</v>
      </c>
      <c r="M993" s="8">
        <f>YEAR(Order_Details[[#This Row],[Order Date]])</f>
        <v>2019</v>
      </c>
      <c r="N993" s="8">
        <f>ROUNDUP(MONTH(Order_Details[[#This Row],[Order Date]])/3, 0)</f>
        <v>1</v>
      </c>
    </row>
    <row r="994" spans="1:14">
      <c r="A994" s="1" t="s">
        <v>814</v>
      </c>
      <c r="B994" s="1">
        <v>46</v>
      </c>
      <c r="C994" s="1">
        <v>0</v>
      </c>
      <c r="D994" s="1">
        <v>4</v>
      </c>
      <c r="E994" s="1" t="s">
        <v>1076</v>
      </c>
      <c r="F994" s="1" t="s">
        <v>1112</v>
      </c>
      <c r="G994" s="7" t="str">
        <f>_xlfn.XLOOKUP(Order_Details[[#This Row],[Order ID]], List_of_orders[Order ID], List_of_orders[State])</f>
        <v>Goa</v>
      </c>
      <c r="H994" s="10">
        <f>_xlfn.XLOOKUP(Order_Details[[#This Row],[Order ID]], List_of_orders[Order ID], List_of_orders[Order Date (Clean)])</f>
        <v>43471</v>
      </c>
      <c r="I994" s="7" t="str">
        <f>_xlfn.XLOOKUP(Order_Details[[#This Row],[Order ID]], List_of_orders[Order ID], List_of_orders[CustomerName])</f>
        <v>Vivek</v>
      </c>
      <c r="J994" s="7" t="str">
        <f>_xlfn.XLOOKUP(Order_Details[[#This Row],[Order ID]], List_of_orders[Order ID], List_of_orders[City])</f>
        <v>Goa</v>
      </c>
      <c r="K994" s="8" t="str">
        <f>TEXT(Order_Details[[#This Row],[Order Date]], "YY-MMM")</f>
        <v>19-Jan</v>
      </c>
      <c r="L994" s="11">
        <f>Order_Details[[#This Row],[Profit]]/Order_Details[[#This Row],[Amount]]</f>
        <v>0</v>
      </c>
      <c r="M994" s="8">
        <f>YEAR(Order_Details[[#This Row],[Order Date]])</f>
        <v>2019</v>
      </c>
      <c r="N994" s="8">
        <f>ROUNDUP(MONTH(Order_Details[[#This Row],[Order Date]])/3, 0)</f>
        <v>1</v>
      </c>
    </row>
    <row r="995" spans="1:14">
      <c r="A995" s="1" t="s">
        <v>816</v>
      </c>
      <c r="B995" s="1">
        <v>177</v>
      </c>
      <c r="C995" s="1">
        <v>41</v>
      </c>
      <c r="D995" s="1">
        <v>4</v>
      </c>
      <c r="E995" s="1" t="s">
        <v>1076</v>
      </c>
      <c r="F995" s="1" t="s">
        <v>1111</v>
      </c>
      <c r="G995" s="7" t="str">
        <f>_xlfn.XLOOKUP(Order_Details[[#This Row],[Order ID]], List_of_orders[Order ID], List_of_orders[State])</f>
        <v>Nagaland</v>
      </c>
      <c r="H995" s="10">
        <f>_xlfn.XLOOKUP(Order_Details[[#This Row],[Order ID]], List_of_orders[Order ID], List_of_orders[Order Date (Clean)])</f>
        <v>43472</v>
      </c>
      <c r="I995" s="7" t="str">
        <f>_xlfn.XLOOKUP(Order_Details[[#This Row],[Order ID]], List_of_orders[Order ID], List_of_orders[CustomerName])</f>
        <v>Jaideep</v>
      </c>
      <c r="J995" s="7" t="str">
        <f>_xlfn.XLOOKUP(Order_Details[[#This Row],[Order ID]], List_of_orders[Order ID], List_of_orders[City])</f>
        <v>Kohima</v>
      </c>
      <c r="K995" s="8" t="str">
        <f>TEXT(Order_Details[[#This Row],[Order Date]], "YY-MMM")</f>
        <v>19-Jan</v>
      </c>
      <c r="L995" s="11">
        <f>Order_Details[[#This Row],[Profit]]/Order_Details[[#This Row],[Amount]]</f>
        <v>0.23163841807909605</v>
      </c>
      <c r="M995" s="8">
        <f>YEAR(Order_Details[[#This Row],[Order Date]])</f>
        <v>2019</v>
      </c>
      <c r="N995" s="8">
        <f>ROUNDUP(MONTH(Order_Details[[#This Row],[Order Date]])/3, 0)</f>
        <v>1</v>
      </c>
    </row>
    <row r="996" spans="1:14">
      <c r="A996" s="1" t="s">
        <v>818</v>
      </c>
      <c r="B996" s="1">
        <v>646</v>
      </c>
      <c r="C996" s="1">
        <v>-23</v>
      </c>
      <c r="D996" s="1">
        <v>2</v>
      </c>
      <c r="E996" s="1" t="s">
        <v>1077</v>
      </c>
      <c r="F996" s="1" t="s">
        <v>1114</v>
      </c>
      <c r="G996" s="7" t="str">
        <f>_xlfn.XLOOKUP(Order_Details[[#This Row],[Order ID]], List_of_orders[Order ID], List_of_orders[State])</f>
        <v>Andhra Pradesh</v>
      </c>
      <c r="H996" s="10">
        <f>_xlfn.XLOOKUP(Order_Details[[#This Row],[Order ID]], List_of_orders[Order ID], List_of_orders[Order Date (Clean)])</f>
        <v>43473</v>
      </c>
      <c r="I996" s="7" t="str">
        <f>_xlfn.XLOOKUP(Order_Details[[#This Row],[Order ID]], List_of_orders[Order ID], List_of_orders[CustomerName])</f>
        <v>Ankur</v>
      </c>
      <c r="J996" s="7" t="str">
        <f>_xlfn.XLOOKUP(Order_Details[[#This Row],[Order ID]], List_of_orders[Order ID], List_of_orders[City])</f>
        <v>Hyderabad</v>
      </c>
      <c r="K996" s="8" t="str">
        <f>TEXT(Order_Details[[#This Row],[Order Date]], "YY-MMM")</f>
        <v>19-Jan</v>
      </c>
      <c r="L996" s="11">
        <f>Order_Details[[#This Row],[Profit]]/Order_Details[[#This Row],[Amount]]</f>
        <v>-3.5603715170278639E-2</v>
      </c>
      <c r="M996" s="8">
        <f>YEAR(Order_Details[[#This Row],[Order Date]])</f>
        <v>2019</v>
      </c>
      <c r="N996" s="8">
        <f>ROUNDUP(MONTH(Order_Details[[#This Row],[Order Date]])/3, 0)</f>
        <v>1</v>
      </c>
    </row>
    <row r="997" spans="1:14">
      <c r="A997" s="1" t="s">
        <v>819</v>
      </c>
      <c r="B997" s="1">
        <v>48</v>
      </c>
      <c r="C997" s="1">
        <v>20</v>
      </c>
      <c r="D997" s="1">
        <v>4</v>
      </c>
      <c r="E997" s="1" t="s">
        <v>1076</v>
      </c>
      <c r="F997" s="1" t="s">
        <v>1102</v>
      </c>
      <c r="G997" s="7" t="str">
        <f>_xlfn.XLOOKUP(Order_Details[[#This Row],[Order ID]], List_of_orders[Order ID], List_of_orders[State])</f>
        <v>Gujarat</v>
      </c>
      <c r="H997" s="10">
        <f>_xlfn.XLOOKUP(Order_Details[[#This Row],[Order ID]], List_of_orders[Order ID], List_of_orders[Order Date (Clean)])</f>
        <v>43474</v>
      </c>
      <c r="I997" s="7" t="str">
        <f>_xlfn.XLOOKUP(Order_Details[[#This Row],[Order ID]], List_of_orders[Order ID], List_of_orders[CustomerName])</f>
        <v>Shardul</v>
      </c>
      <c r="J997" s="7" t="str">
        <f>_xlfn.XLOOKUP(Order_Details[[#This Row],[Order ID]], List_of_orders[Order ID], List_of_orders[City])</f>
        <v>Ahmedabad</v>
      </c>
      <c r="K997" s="8" t="str">
        <f>TEXT(Order_Details[[#This Row],[Order Date]], "YY-MMM")</f>
        <v>19-Jan</v>
      </c>
      <c r="L997" s="11">
        <f>Order_Details[[#This Row],[Profit]]/Order_Details[[#This Row],[Amount]]</f>
        <v>0.41666666666666669</v>
      </c>
      <c r="M997" s="8">
        <f>YEAR(Order_Details[[#This Row],[Order Date]])</f>
        <v>2019</v>
      </c>
      <c r="N997" s="8">
        <f>ROUNDUP(MONTH(Order_Details[[#This Row],[Order Date]])/3, 0)</f>
        <v>1</v>
      </c>
    </row>
    <row r="998" spans="1:14">
      <c r="A998" s="1" t="s">
        <v>819</v>
      </c>
      <c r="B998" s="1">
        <v>26</v>
      </c>
      <c r="C998" s="1">
        <v>7</v>
      </c>
      <c r="D998" s="1">
        <v>4</v>
      </c>
      <c r="E998" s="1" t="s">
        <v>1076</v>
      </c>
      <c r="F998" s="1" t="s">
        <v>1103</v>
      </c>
      <c r="G998" s="7" t="str">
        <f>_xlfn.XLOOKUP(Order_Details[[#This Row],[Order ID]], List_of_orders[Order ID], List_of_orders[State])</f>
        <v>Gujarat</v>
      </c>
      <c r="H998" s="10">
        <f>_xlfn.XLOOKUP(Order_Details[[#This Row],[Order ID]], List_of_orders[Order ID], List_of_orders[Order Date (Clean)])</f>
        <v>43474</v>
      </c>
      <c r="I998" s="7" t="str">
        <f>_xlfn.XLOOKUP(Order_Details[[#This Row],[Order ID]], List_of_orders[Order ID], List_of_orders[CustomerName])</f>
        <v>Shardul</v>
      </c>
      <c r="J998" s="7" t="str">
        <f>_xlfn.XLOOKUP(Order_Details[[#This Row],[Order ID]], List_of_orders[Order ID], List_of_orders[City])</f>
        <v>Ahmedabad</v>
      </c>
      <c r="K998" s="8" t="str">
        <f>TEXT(Order_Details[[#This Row],[Order Date]], "YY-MMM")</f>
        <v>19-Jan</v>
      </c>
      <c r="L998" s="11">
        <f>Order_Details[[#This Row],[Profit]]/Order_Details[[#This Row],[Amount]]</f>
        <v>0.26923076923076922</v>
      </c>
      <c r="M998" s="8">
        <f>YEAR(Order_Details[[#This Row],[Order Date]])</f>
        <v>2019</v>
      </c>
      <c r="N998" s="8">
        <f>ROUNDUP(MONTH(Order_Details[[#This Row],[Order Date]])/3, 0)</f>
        <v>1</v>
      </c>
    </row>
    <row r="999" spans="1:14">
      <c r="A999" s="1" t="s">
        <v>819</v>
      </c>
      <c r="B999" s="1">
        <v>149</v>
      </c>
      <c r="C999" s="1">
        <v>15</v>
      </c>
      <c r="D999" s="1">
        <v>3</v>
      </c>
      <c r="E999" s="1" t="s">
        <v>1076</v>
      </c>
      <c r="F999" s="1" t="s">
        <v>1106</v>
      </c>
      <c r="G999" s="7" t="str">
        <f>_xlfn.XLOOKUP(Order_Details[[#This Row],[Order ID]], List_of_orders[Order ID], List_of_orders[State])</f>
        <v>Gujarat</v>
      </c>
      <c r="H999" s="10">
        <f>_xlfn.XLOOKUP(Order_Details[[#This Row],[Order ID]], List_of_orders[Order ID], List_of_orders[Order Date (Clean)])</f>
        <v>43474</v>
      </c>
      <c r="I999" s="7" t="str">
        <f>_xlfn.XLOOKUP(Order_Details[[#This Row],[Order ID]], List_of_orders[Order ID], List_of_orders[CustomerName])</f>
        <v>Shardul</v>
      </c>
      <c r="J999" s="7" t="str">
        <f>_xlfn.XLOOKUP(Order_Details[[#This Row],[Order ID]], List_of_orders[Order ID], List_of_orders[City])</f>
        <v>Ahmedabad</v>
      </c>
      <c r="K999" s="8" t="str">
        <f>TEXT(Order_Details[[#This Row],[Order Date]], "YY-MMM")</f>
        <v>19-Jan</v>
      </c>
      <c r="L999" s="11">
        <f>Order_Details[[#This Row],[Profit]]/Order_Details[[#This Row],[Amount]]</f>
        <v>0.10067114093959731</v>
      </c>
      <c r="M999" s="8">
        <f>YEAR(Order_Details[[#This Row],[Order Date]])</f>
        <v>2019</v>
      </c>
      <c r="N999" s="8">
        <f>ROUNDUP(MONTH(Order_Details[[#This Row],[Order Date]])/3, 0)</f>
        <v>1</v>
      </c>
    </row>
    <row r="1000" spans="1:14">
      <c r="A1000" s="1" t="s">
        <v>819</v>
      </c>
      <c r="B1000" s="1">
        <v>1547</v>
      </c>
      <c r="C1000" s="1">
        <v>340</v>
      </c>
      <c r="D1000" s="1">
        <v>6</v>
      </c>
      <c r="E1000" s="1" t="s">
        <v>1077</v>
      </c>
      <c r="F1000" s="1" t="s">
        <v>1115</v>
      </c>
      <c r="G1000" s="7" t="str">
        <f>_xlfn.XLOOKUP(Order_Details[[#This Row],[Order ID]], List_of_orders[Order ID], List_of_orders[State])</f>
        <v>Gujarat</v>
      </c>
      <c r="H1000" s="10">
        <f>_xlfn.XLOOKUP(Order_Details[[#This Row],[Order ID]], List_of_orders[Order ID], List_of_orders[Order Date (Clean)])</f>
        <v>43474</v>
      </c>
      <c r="I1000" s="7" t="str">
        <f>_xlfn.XLOOKUP(Order_Details[[#This Row],[Order ID]], List_of_orders[Order ID], List_of_orders[CustomerName])</f>
        <v>Shardul</v>
      </c>
      <c r="J1000" s="7" t="str">
        <f>_xlfn.XLOOKUP(Order_Details[[#This Row],[Order ID]], List_of_orders[Order ID], List_of_orders[City])</f>
        <v>Ahmedabad</v>
      </c>
      <c r="K1000" s="8" t="str">
        <f>TEXT(Order_Details[[#This Row],[Order Date]], "YY-MMM")</f>
        <v>19-Jan</v>
      </c>
      <c r="L1000" s="11">
        <f>Order_Details[[#This Row],[Profit]]/Order_Details[[#This Row],[Amount]]</f>
        <v>0.21978021978021978</v>
      </c>
      <c r="M1000" s="8">
        <f>YEAR(Order_Details[[#This Row],[Order Date]])</f>
        <v>2019</v>
      </c>
      <c r="N1000" s="8">
        <f>ROUNDUP(MONTH(Order_Details[[#This Row],[Order Date]])/3, 0)</f>
        <v>1</v>
      </c>
    </row>
    <row r="1001" spans="1:14">
      <c r="A1001" s="1" t="s">
        <v>819</v>
      </c>
      <c r="B1001" s="1">
        <v>137</v>
      </c>
      <c r="C1001" s="1">
        <v>38</v>
      </c>
      <c r="D1001" s="1">
        <v>5</v>
      </c>
      <c r="E1001" s="1" t="s">
        <v>1076</v>
      </c>
      <c r="F1001" s="1" t="s">
        <v>1103</v>
      </c>
      <c r="G1001" s="7" t="str">
        <f>_xlfn.XLOOKUP(Order_Details[[#This Row],[Order ID]], List_of_orders[Order ID], List_of_orders[State])</f>
        <v>Gujarat</v>
      </c>
      <c r="H1001" s="10">
        <f>_xlfn.XLOOKUP(Order_Details[[#This Row],[Order ID]], List_of_orders[Order ID], List_of_orders[Order Date (Clean)])</f>
        <v>43474</v>
      </c>
      <c r="I1001" s="7" t="str">
        <f>_xlfn.XLOOKUP(Order_Details[[#This Row],[Order ID]], List_of_orders[Order ID], List_of_orders[CustomerName])</f>
        <v>Shardul</v>
      </c>
      <c r="J1001" s="7" t="str">
        <f>_xlfn.XLOOKUP(Order_Details[[#This Row],[Order ID]], List_of_orders[Order ID], List_of_orders[City])</f>
        <v>Ahmedabad</v>
      </c>
      <c r="K1001" s="8" t="str">
        <f>TEXT(Order_Details[[#This Row],[Order Date]], "YY-MMM")</f>
        <v>19-Jan</v>
      </c>
      <c r="L1001" s="11">
        <f>Order_Details[[#This Row],[Profit]]/Order_Details[[#This Row],[Amount]]</f>
        <v>0.27737226277372262</v>
      </c>
      <c r="M1001" s="8">
        <f>YEAR(Order_Details[[#This Row],[Order Date]])</f>
        <v>2019</v>
      </c>
      <c r="N1001" s="8">
        <f>ROUNDUP(MONTH(Order_Details[[#This Row],[Order Date]])/3, 0)</f>
        <v>1</v>
      </c>
    </row>
    <row r="1002" spans="1:14">
      <c r="A1002" s="1" t="s">
        <v>821</v>
      </c>
      <c r="B1002" s="1">
        <v>169</v>
      </c>
      <c r="C1002" s="1">
        <v>38</v>
      </c>
      <c r="D1002" s="1">
        <v>3</v>
      </c>
      <c r="E1002" s="1" t="s">
        <v>1076</v>
      </c>
      <c r="F1002" s="1" t="s">
        <v>1106</v>
      </c>
      <c r="G1002" s="7" t="str">
        <f>_xlfn.XLOOKUP(Order_Details[[#This Row],[Order ID]], List_of_orders[Order ID], List_of_orders[State])</f>
        <v>Maharashtra</v>
      </c>
      <c r="H1002" s="10">
        <f>_xlfn.XLOOKUP(Order_Details[[#This Row],[Order ID]], List_of_orders[Order ID], List_of_orders[Order Date (Clean)])</f>
        <v>43475</v>
      </c>
      <c r="I1002" s="7" t="str">
        <f>_xlfn.XLOOKUP(Order_Details[[#This Row],[Order ID]], List_of_orders[Order ID], List_of_orders[CustomerName])</f>
        <v>Syed</v>
      </c>
      <c r="J1002" s="7" t="str">
        <f>_xlfn.XLOOKUP(Order_Details[[#This Row],[Order ID]], List_of_orders[Order ID], List_of_orders[City])</f>
        <v>Pune</v>
      </c>
      <c r="K1002" s="8" t="str">
        <f>TEXT(Order_Details[[#This Row],[Order Date]], "YY-MMM")</f>
        <v>19-Jan</v>
      </c>
      <c r="L1002" s="11">
        <f>Order_Details[[#This Row],[Profit]]/Order_Details[[#This Row],[Amount]]</f>
        <v>0.22485207100591717</v>
      </c>
      <c r="M1002" s="8">
        <f>YEAR(Order_Details[[#This Row],[Order Date]])</f>
        <v>2019</v>
      </c>
      <c r="N1002" s="8">
        <f>ROUNDUP(MONTH(Order_Details[[#This Row],[Order Date]])/3, 0)</f>
        <v>1</v>
      </c>
    </row>
    <row r="1003" spans="1:14">
      <c r="A1003" s="1" t="s">
        <v>823</v>
      </c>
      <c r="B1003" s="1">
        <v>245</v>
      </c>
      <c r="C1003" s="1">
        <v>10</v>
      </c>
      <c r="D1003" s="1">
        <v>2</v>
      </c>
      <c r="E1003" s="1" t="s">
        <v>1075</v>
      </c>
      <c r="F1003" s="1" t="s">
        <v>1101</v>
      </c>
      <c r="G1003" s="7" t="str">
        <f>_xlfn.XLOOKUP(Order_Details[[#This Row],[Order ID]], List_of_orders[Order ID], List_of_orders[State])</f>
        <v>Madhya Pradesh</v>
      </c>
      <c r="H1003" s="10">
        <f>_xlfn.XLOOKUP(Order_Details[[#This Row],[Order ID]], List_of_orders[Order ID], List_of_orders[Order Date (Clean)])</f>
        <v>43476</v>
      </c>
      <c r="I1003" s="7" t="str">
        <f>_xlfn.XLOOKUP(Order_Details[[#This Row],[Order ID]], List_of_orders[Order ID], List_of_orders[CustomerName])</f>
        <v>Mhatre</v>
      </c>
      <c r="J1003" s="7" t="str">
        <f>_xlfn.XLOOKUP(Order_Details[[#This Row],[Order ID]], List_of_orders[Order ID], List_of_orders[City])</f>
        <v>Indore</v>
      </c>
      <c r="K1003" s="8" t="str">
        <f>TEXT(Order_Details[[#This Row],[Order Date]], "YY-MMM")</f>
        <v>19-Jan</v>
      </c>
      <c r="L1003" s="11">
        <f>Order_Details[[#This Row],[Profit]]/Order_Details[[#This Row],[Amount]]</f>
        <v>4.0816326530612242E-2</v>
      </c>
      <c r="M1003" s="8">
        <f>YEAR(Order_Details[[#This Row],[Order Date]])</f>
        <v>2019</v>
      </c>
      <c r="N1003" s="8">
        <f>ROUNDUP(MONTH(Order_Details[[#This Row],[Order Date]])/3, 0)</f>
        <v>1</v>
      </c>
    </row>
    <row r="1004" spans="1:14">
      <c r="A1004" s="1" t="s">
        <v>823</v>
      </c>
      <c r="B1004" s="1">
        <v>60</v>
      </c>
      <c r="C1004" s="1">
        <v>3</v>
      </c>
      <c r="D1004" s="1">
        <v>3</v>
      </c>
      <c r="E1004" s="1" t="s">
        <v>1076</v>
      </c>
      <c r="F1004" s="1" t="s">
        <v>1106</v>
      </c>
      <c r="G1004" s="7" t="str">
        <f>_xlfn.XLOOKUP(Order_Details[[#This Row],[Order ID]], List_of_orders[Order ID], List_of_orders[State])</f>
        <v>Madhya Pradesh</v>
      </c>
      <c r="H1004" s="10">
        <f>_xlfn.XLOOKUP(Order_Details[[#This Row],[Order ID]], List_of_orders[Order ID], List_of_orders[Order Date (Clean)])</f>
        <v>43476</v>
      </c>
      <c r="I1004" s="7" t="str">
        <f>_xlfn.XLOOKUP(Order_Details[[#This Row],[Order ID]], List_of_orders[Order ID], List_of_orders[CustomerName])</f>
        <v>Mhatre</v>
      </c>
      <c r="J1004" s="7" t="str">
        <f>_xlfn.XLOOKUP(Order_Details[[#This Row],[Order ID]], List_of_orders[Order ID], List_of_orders[City])</f>
        <v>Indore</v>
      </c>
      <c r="K1004" s="8" t="str">
        <f>TEXT(Order_Details[[#This Row],[Order Date]], "YY-MMM")</f>
        <v>19-Jan</v>
      </c>
      <c r="L1004" s="11">
        <f>Order_Details[[#This Row],[Profit]]/Order_Details[[#This Row],[Amount]]</f>
        <v>0.05</v>
      </c>
      <c r="M1004" s="8">
        <f>YEAR(Order_Details[[#This Row],[Order Date]])</f>
        <v>2019</v>
      </c>
      <c r="N1004" s="8">
        <f>ROUNDUP(MONTH(Order_Details[[#This Row],[Order Date]])/3, 0)</f>
        <v>1</v>
      </c>
    </row>
    <row r="1005" spans="1:14">
      <c r="A1005" s="1" t="s">
        <v>823</v>
      </c>
      <c r="B1005" s="1">
        <v>63</v>
      </c>
      <c r="C1005" s="1">
        <v>14</v>
      </c>
      <c r="D1005" s="1">
        <v>2</v>
      </c>
      <c r="E1005" s="1" t="s">
        <v>1076</v>
      </c>
      <c r="F1005" s="1" t="s">
        <v>1111</v>
      </c>
      <c r="G1005" s="7" t="str">
        <f>_xlfn.XLOOKUP(Order_Details[[#This Row],[Order ID]], List_of_orders[Order ID], List_of_orders[State])</f>
        <v>Madhya Pradesh</v>
      </c>
      <c r="H1005" s="10">
        <f>_xlfn.XLOOKUP(Order_Details[[#This Row],[Order ID]], List_of_orders[Order ID], List_of_orders[Order Date (Clean)])</f>
        <v>43476</v>
      </c>
      <c r="I1005" s="7" t="str">
        <f>_xlfn.XLOOKUP(Order_Details[[#This Row],[Order ID]], List_of_orders[Order ID], List_of_orders[CustomerName])</f>
        <v>Mhatre</v>
      </c>
      <c r="J1005" s="7" t="str">
        <f>_xlfn.XLOOKUP(Order_Details[[#This Row],[Order ID]], List_of_orders[Order ID], List_of_orders[City])</f>
        <v>Indore</v>
      </c>
      <c r="K1005" s="8" t="str">
        <f>TEXT(Order_Details[[#This Row],[Order Date]], "YY-MMM")</f>
        <v>19-Jan</v>
      </c>
      <c r="L1005" s="11">
        <f>Order_Details[[#This Row],[Profit]]/Order_Details[[#This Row],[Amount]]</f>
        <v>0.22222222222222221</v>
      </c>
      <c r="M1005" s="8">
        <f>YEAR(Order_Details[[#This Row],[Order Date]])</f>
        <v>2019</v>
      </c>
      <c r="N1005" s="8">
        <f>ROUNDUP(MONTH(Order_Details[[#This Row],[Order Date]])/3, 0)</f>
        <v>1</v>
      </c>
    </row>
    <row r="1006" spans="1:14">
      <c r="A1006" s="1" t="s">
        <v>823</v>
      </c>
      <c r="B1006" s="1">
        <v>765</v>
      </c>
      <c r="C1006" s="1">
        <v>-36</v>
      </c>
      <c r="D1006" s="1">
        <v>3</v>
      </c>
      <c r="E1006" s="1" t="s">
        <v>1077</v>
      </c>
      <c r="F1006" s="1" t="s">
        <v>1104</v>
      </c>
      <c r="G1006" s="7" t="str">
        <f>_xlfn.XLOOKUP(Order_Details[[#This Row],[Order ID]], List_of_orders[Order ID], List_of_orders[State])</f>
        <v>Madhya Pradesh</v>
      </c>
      <c r="H1006" s="10">
        <f>_xlfn.XLOOKUP(Order_Details[[#This Row],[Order ID]], List_of_orders[Order ID], List_of_orders[Order Date (Clean)])</f>
        <v>43476</v>
      </c>
      <c r="I1006" s="7" t="str">
        <f>_xlfn.XLOOKUP(Order_Details[[#This Row],[Order ID]], List_of_orders[Order ID], List_of_orders[CustomerName])</f>
        <v>Mhatre</v>
      </c>
      <c r="J1006" s="7" t="str">
        <f>_xlfn.XLOOKUP(Order_Details[[#This Row],[Order ID]], List_of_orders[Order ID], List_of_orders[City])</f>
        <v>Indore</v>
      </c>
      <c r="K1006" s="8" t="str">
        <f>TEXT(Order_Details[[#This Row],[Order Date]], "YY-MMM")</f>
        <v>19-Jan</v>
      </c>
      <c r="L1006" s="11">
        <f>Order_Details[[#This Row],[Profit]]/Order_Details[[#This Row],[Amount]]</f>
        <v>-4.7058823529411764E-2</v>
      </c>
      <c r="M1006" s="8">
        <f>YEAR(Order_Details[[#This Row],[Order Date]])</f>
        <v>2019</v>
      </c>
      <c r="N1006" s="8">
        <f>ROUNDUP(MONTH(Order_Details[[#This Row],[Order Date]])/3, 0)</f>
        <v>1</v>
      </c>
    </row>
    <row r="1007" spans="1:14">
      <c r="A1007" s="1" t="s">
        <v>825</v>
      </c>
      <c r="B1007" s="1">
        <v>146</v>
      </c>
      <c r="C1007" s="1">
        <v>7</v>
      </c>
      <c r="D1007" s="1">
        <v>2</v>
      </c>
      <c r="E1007" s="1" t="s">
        <v>1077</v>
      </c>
      <c r="F1007" s="1" t="s">
        <v>1105</v>
      </c>
      <c r="G1007" s="7" t="str">
        <f>_xlfn.XLOOKUP(Order_Details[[#This Row],[Order ID]], List_of_orders[Order ID], List_of_orders[State])</f>
        <v>Andhra Pradesh</v>
      </c>
      <c r="H1007" s="10">
        <f>_xlfn.XLOOKUP(Order_Details[[#This Row],[Order ID]], List_of_orders[Order ID], List_of_orders[Order Date (Clean)])</f>
        <v>43477</v>
      </c>
      <c r="I1007" s="7" t="str">
        <f>_xlfn.XLOOKUP(Order_Details[[#This Row],[Order ID]], List_of_orders[Order ID], List_of_orders[CustomerName])</f>
        <v>Saurabh</v>
      </c>
      <c r="J1007" s="7" t="str">
        <f>_xlfn.XLOOKUP(Order_Details[[#This Row],[Order ID]], List_of_orders[Order ID], List_of_orders[City])</f>
        <v>Hyderabad</v>
      </c>
      <c r="K1007" s="8" t="str">
        <f>TEXT(Order_Details[[#This Row],[Order Date]], "YY-MMM")</f>
        <v>19-Jan</v>
      </c>
      <c r="L1007" s="11">
        <f>Order_Details[[#This Row],[Profit]]/Order_Details[[#This Row],[Amount]]</f>
        <v>4.7945205479452052E-2</v>
      </c>
      <c r="M1007" s="8">
        <f>YEAR(Order_Details[[#This Row],[Order Date]])</f>
        <v>2019</v>
      </c>
      <c r="N1007" s="8">
        <f>ROUNDUP(MONTH(Order_Details[[#This Row],[Order Date]])/3, 0)</f>
        <v>1</v>
      </c>
    </row>
    <row r="1008" spans="1:14">
      <c r="A1008" s="1" t="s">
        <v>826</v>
      </c>
      <c r="B1008" s="1">
        <v>290</v>
      </c>
      <c r="C1008" s="1">
        <v>35</v>
      </c>
      <c r="D1008" s="1">
        <v>6</v>
      </c>
      <c r="E1008" s="1" t="s">
        <v>1076</v>
      </c>
      <c r="F1008" s="1" t="s">
        <v>1103</v>
      </c>
      <c r="G1008" s="7" t="str">
        <f>_xlfn.XLOOKUP(Order_Details[[#This Row],[Order ID]], List_of_orders[Order ID], List_of_orders[State])</f>
        <v>Gujarat</v>
      </c>
      <c r="H1008" s="10">
        <f>_xlfn.XLOOKUP(Order_Details[[#This Row],[Order ID]], List_of_orders[Order ID], List_of_orders[Order Date (Clean)])</f>
        <v>43478</v>
      </c>
      <c r="I1008" s="7" t="str">
        <f>_xlfn.XLOOKUP(Order_Details[[#This Row],[Order ID]], List_of_orders[Order ID], List_of_orders[CustomerName])</f>
        <v>Chetan</v>
      </c>
      <c r="J1008" s="7" t="str">
        <f>_xlfn.XLOOKUP(Order_Details[[#This Row],[Order ID]], List_of_orders[Order ID], List_of_orders[City])</f>
        <v>Ahmedabad</v>
      </c>
      <c r="K1008" s="8" t="str">
        <f>TEXT(Order_Details[[#This Row],[Order Date]], "YY-MMM")</f>
        <v>19-Jan</v>
      </c>
      <c r="L1008" s="11">
        <f>Order_Details[[#This Row],[Profit]]/Order_Details[[#This Row],[Amount]]</f>
        <v>0.1206896551724138</v>
      </c>
      <c r="M1008" s="8">
        <f>YEAR(Order_Details[[#This Row],[Order Date]])</f>
        <v>2019</v>
      </c>
      <c r="N1008" s="8">
        <f>ROUNDUP(MONTH(Order_Details[[#This Row],[Order Date]])/3, 0)</f>
        <v>1</v>
      </c>
    </row>
    <row r="1009" spans="1:14">
      <c r="A1009" s="1" t="s">
        <v>826</v>
      </c>
      <c r="B1009" s="1">
        <v>207</v>
      </c>
      <c r="C1009" s="1">
        <v>33</v>
      </c>
      <c r="D1009" s="1">
        <v>2</v>
      </c>
      <c r="E1009" s="1" t="s">
        <v>1077</v>
      </c>
      <c r="F1009" s="1" t="s">
        <v>1115</v>
      </c>
      <c r="G1009" s="7" t="str">
        <f>_xlfn.XLOOKUP(Order_Details[[#This Row],[Order ID]], List_of_orders[Order ID], List_of_orders[State])</f>
        <v>Gujarat</v>
      </c>
      <c r="H1009" s="10">
        <f>_xlfn.XLOOKUP(Order_Details[[#This Row],[Order ID]], List_of_orders[Order ID], List_of_orders[Order Date (Clean)])</f>
        <v>43478</v>
      </c>
      <c r="I1009" s="7" t="str">
        <f>_xlfn.XLOOKUP(Order_Details[[#This Row],[Order ID]], List_of_orders[Order ID], List_of_orders[CustomerName])</f>
        <v>Chetan</v>
      </c>
      <c r="J1009" s="7" t="str">
        <f>_xlfn.XLOOKUP(Order_Details[[#This Row],[Order ID]], List_of_orders[Order ID], List_of_orders[City])</f>
        <v>Ahmedabad</v>
      </c>
      <c r="K1009" s="8" t="str">
        <f>TEXT(Order_Details[[#This Row],[Order Date]], "YY-MMM")</f>
        <v>19-Jan</v>
      </c>
      <c r="L1009" s="11">
        <f>Order_Details[[#This Row],[Profit]]/Order_Details[[#This Row],[Amount]]</f>
        <v>0.15942028985507245</v>
      </c>
      <c r="M1009" s="8">
        <f>YEAR(Order_Details[[#This Row],[Order Date]])</f>
        <v>2019</v>
      </c>
      <c r="N1009" s="8">
        <f>ROUNDUP(MONTH(Order_Details[[#This Row],[Order Date]])/3, 0)</f>
        <v>1</v>
      </c>
    </row>
    <row r="1010" spans="1:14">
      <c r="A1010" s="1" t="s">
        <v>829</v>
      </c>
      <c r="B1010" s="1">
        <v>152</v>
      </c>
      <c r="C1010" s="1">
        <v>23</v>
      </c>
      <c r="D1010" s="1">
        <v>3</v>
      </c>
      <c r="E1010" s="1" t="s">
        <v>1075</v>
      </c>
      <c r="F1010" s="1" t="s">
        <v>1116</v>
      </c>
      <c r="G1010" s="7" t="str">
        <f>_xlfn.XLOOKUP(Order_Details[[#This Row],[Order ID]], List_of_orders[Order ID], List_of_orders[State])</f>
        <v>Maharashtra</v>
      </c>
      <c r="H1010" s="10">
        <f>_xlfn.XLOOKUP(Order_Details[[#This Row],[Order ID]], List_of_orders[Order ID], List_of_orders[Order Date (Clean)])</f>
        <v>43478</v>
      </c>
      <c r="I1010" s="7" t="str">
        <f>_xlfn.XLOOKUP(Order_Details[[#This Row],[Order ID]], List_of_orders[Order ID], List_of_orders[CustomerName])</f>
        <v>Mukund</v>
      </c>
      <c r="J1010" s="7" t="str">
        <f>_xlfn.XLOOKUP(Order_Details[[#This Row],[Order ID]], List_of_orders[Order ID], List_of_orders[City])</f>
        <v>Pune</v>
      </c>
      <c r="K1010" s="8" t="str">
        <f>TEXT(Order_Details[[#This Row],[Order Date]], "YY-MMM")</f>
        <v>19-Jan</v>
      </c>
      <c r="L1010" s="11">
        <f>Order_Details[[#This Row],[Profit]]/Order_Details[[#This Row],[Amount]]</f>
        <v>0.15131578947368421</v>
      </c>
      <c r="M1010" s="8">
        <f>YEAR(Order_Details[[#This Row],[Order Date]])</f>
        <v>2019</v>
      </c>
      <c r="N1010" s="8">
        <f>ROUNDUP(MONTH(Order_Details[[#This Row],[Order Date]])/3, 0)</f>
        <v>1</v>
      </c>
    </row>
    <row r="1011" spans="1:14">
      <c r="A1011" s="1" t="s">
        <v>831</v>
      </c>
      <c r="B1011" s="1">
        <v>24</v>
      </c>
      <c r="C1011" s="1">
        <v>11</v>
      </c>
      <c r="D1011" s="1">
        <v>3</v>
      </c>
      <c r="E1011" s="1" t="s">
        <v>1076</v>
      </c>
      <c r="F1011" s="1" t="s">
        <v>1103</v>
      </c>
      <c r="G1011" s="7" t="str">
        <f>_xlfn.XLOOKUP(Order_Details[[#This Row],[Order ID]], List_of_orders[Order ID], List_of_orders[State])</f>
        <v>Maharashtra</v>
      </c>
      <c r="H1011" s="10">
        <f>_xlfn.XLOOKUP(Order_Details[[#This Row],[Order ID]], List_of_orders[Order ID], List_of_orders[Order Date (Clean)])</f>
        <v>43478</v>
      </c>
      <c r="I1011" s="7" t="str">
        <f>_xlfn.XLOOKUP(Order_Details[[#This Row],[Order ID]], List_of_orders[Order ID], List_of_orders[CustomerName])</f>
        <v>Shantanu</v>
      </c>
      <c r="J1011" s="7" t="str">
        <f>_xlfn.XLOOKUP(Order_Details[[#This Row],[Order ID]], List_of_orders[Order ID], List_of_orders[City])</f>
        <v>Mumbai</v>
      </c>
      <c r="K1011" s="8" t="str">
        <f>TEXT(Order_Details[[#This Row],[Order Date]], "YY-MMM")</f>
        <v>19-Jan</v>
      </c>
      <c r="L1011" s="11">
        <f>Order_Details[[#This Row],[Profit]]/Order_Details[[#This Row],[Amount]]</f>
        <v>0.45833333333333331</v>
      </c>
      <c r="M1011" s="8">
        <f>YEAR(Order_Details[[#This Row],[Order Date]])</f>
        <v>2019</v>
      </c>
      <c r="N1011" s="8">
        <f>ROUNDUP(MONTH(Order_Details[[#This Row],[Order Date]])/3, 0)</f>
        <v>1</v>
      </c>
    </row>
    <row r="1012" spans="1:14">
      <c r="A1012" s="1" t="s">
        <v>831</v>
      </c>
      <c r="B1012" s="1">
        <v>140</v>
      </c>
      <c r="C1012" s="1">
        <v>57</v>
      </c>
      <c r="D1012" s="1">
        <v>2</v>
      </c>
      <c r="E1012" s="1" t="s">
        <v>1076</v>
      </c>
      <c r="F1012" s="1" t="s">
        <v>1107</v>
      </c>
      <c r="G1012" s="7" t="str">
        <f>_xlfn.XLOOKUP(Order_Details[[#This Row],[Order ID]], List_of_orders[Order ID], List_of_orders[State])</f>
        <v>Maharashtra</v>
      </c>
      <c r="H1012" s="10">
        <f>_xlfn.XLOOKUP(Order_Details[[#This Row],[Order ID]], List_of_orders[Order ID], List_of_orders[Order Date (Clean)])</f>
        <v>43478</v>
      </c>
      <c r="I1012" s="7" t="str">
        <f>_xlfn.XLOOKUP(Order_Details[[#This Row],[Order ID]], List_of_orders[Order ID], List_of_orders[CustomerName])</f>
        <v>Shantanu</v>
      </c>
      <c r="J1012" s="7" t="str">
        <f>_xlfn.XLOOKUP(Order_Details[[#This Row],[Order ID]], List_of_orders[Order ID], List_of_orders[City])</f>
        <v>Mumbai</v>
      </c>
      <c r="K1012" s="8" t="str">
        <f>TEXT(Order_Details[[#This Row],[Order Date]], "YY-MMM")</f>
        <v>19-Jan</v>
      </c>
      <c r="L1012" s="11">
        <f>Order_Details[[#This Row],[Profit]]/Order_Details[[#This Row],[Amount]]</f>
        <v>0.40714285714285714</v>
      </c>
      <c r="M1012" s="8">
        <f>YEAR(Order_Details[[#This Row],[Order Date]])</f>
        <v>2019</v>
      </c>
      <c r="N1012" s="8">
        <f>ROUNDUP(MONTH(Order_Details[[#This Row],[Order Date]])/3, 0)</f>
        <v>1</v>
      </c>
    </row>
    <row r="1013" spans="1:14">
      <c r="A1013" s="1" t="s">
        <v>831</v>
      </c>
      <c r="B1013" s="1">
        <v>151</v>
      </c>
      <c r="C1013" s="1">
        <v>9</v>
      </c>
      <c r="D1013" s="1">
        <v>3</v>
      </c>
      <c r="E1013" s="1" t="s">
        <v>1076</v>
      </c>
      <c r="F1013" s="1" t="s">
        <v>1103</v>
      </c>
      <c r="G1013" s="7" t="str">
        <f>_xlfn.XLOOKUP(Order_Details[[#This Row],[Order ID]], List_of_orders[Order ID], List_of_orders[State])</f>
        <v>Maharashtra</v>
      </c>
      <c r="H1013" s="10">
        <f>_xlfn.XLOOKUP(Order_Details[[#This Row],[Order ID]], List_of_orders[Order ID], List_of_orders[Order Date (Clean)])</f>
        <v>43478</v>
      </c>
      <c r="I1013" s="7" t="str">
        <f>_xlfn.XLOOKUP(Order_Details[[#This Row],[Order ID]], List_of_orders[Order ID], List_of_orders[CustomerName])</f>
        <v>Shantanu</v>
      </c>
      <c r="J1013" s="7" t="str">
        <f>_xlfn.XLOOKUP(Order_Details[[#This Row],[Order ID]], List_of_orders[Order ID], List_of_orders[City])</f>
        <v>Mumbai</v>
      </c>
      <c r="K1013" s="8" t="str">
        <f>TEXT(Order_Details[[#This Row],[Order Date]], "YY-MMM")</f>
        <v>19-Jan</v>
      </c>
      <c r="L1013" s="11">
        <f>Order_Details[[#This Row],[Profit]]/Order_Details[[#This Row],[Amount]]</f>
        <v>5.9602649006622516E-2</v>
      </c>
      <c r="M1013" s="8">
        <f>YEAR(Order_Details[[#This Row],[Order Date]])</f>
        <v>2019</v>
      </c>
      <c r="N1013" s="8">
        <f>ROUNDUP(MONTH(Order_Details[[#This Row],[Order Date]])/3, 0)</f>
        <v>1</v>
      </c>
    </row>
    <row r="1014" spans="1:14">
      <c r="A1014" s="1" t="s">
        <v>833</v>
      </c>
      <c r="B1014" s="1">
        <v>13</v>
      </c>
      <c r="C1014" s="1">
        <v>4</v>
      </c>
      <c r="D1014" s="1">
        <v>1</v>
      </c>
      <c r="E1014" s="1" t="s">
        <v>1076</v>
      </c>
      <c r="F1014" s="1" t="s">
        <v>1112</v>
      </c>
      <c r="G1014" s="7" t="str">
        <f>_xlfn.XLOOKUP(Order_Details[[#This Row],[Order ID]], List_of_orders[Order ID], List_of_orders[State])</f>
        <v>Madhya Pradesh</v>
      </c>
      <c r="H1014" s="10">
        <f>_xlfn.XLOOKUP(Order_Details[[#This Row],[Order ID]], List_of_orders[Order ID], List_of_orders[Order Date (Clean)])</f>
        <v>43478</v>
      </c>
      <c r="I1014" s="7" t="str">
        <f>_xlfn.XLOOKUP(Order_Details[[#This Row],[Order ID]], List_of_orders[Order ID], List_of_orders[CustomerName])</f>
        <v>Shruti</v>
      </c>
      <c r="J1014" s="7" t="str">
        <f>_xlfn.XLOOKUP(Order_Details[[#This Row],[Order ID]], List_of_orders[Order ID], List_of_orders[City])</f>
        <v>Indore</v>
      </c>
      <c r="K1014" s="8" t="str">
        <f>TEXT(Order_Details[[#This Row],[Order Date]], "YY-MMM")</f>
        <v>19-Jan</v>
      </c>
      <c r="L1014" s="11">
        <f>Order_Details[[#This Row],[Profit]]/Order_Details[[#This Row],[Amount]]</f>
        <v>0.30769230769230771</v>
      </c>
      <c r="M1014" s="8">
        <f>YEAR(Order_Details[[#This Row],[Order Date]])</f>
        <v>2019</v>
      </c>
      <c r="N1014" s="8">
        <f>ROUNDUP(MONTH(Order_Details[[#This Row],[Order Date]])/3, 0)</f>
        <v>1</v>
      </c>
    </row>
    <row r="1015" spans="1:14">
      <c r="A1015" s="1" t="s">
        <v>833</v>
      </c>
      <c r="B1015" s="1">
        <v>54</v>
      </c>
      <c r="C1015" s="1">
        <v>27</v>
      </c>
      <c r="D1015" s="1">
        <v>2</v>
      </c>
      <c r="E1015" s="1" t="s">
        <v>1076</v>
      </c>
      <c r="F1015" s="1" t="s">
        <v>1102</v>
      </c>
      <c r="G1015" s="7" t="str">
        <f>_xlfn.XLOOKUP(Order_Details[[#This Row],[Order ID]], List_of_orders[Order ID], List_of_orders[State])</f>
        <v>Madhya Pradesh</v>
      </c>
      <c r="H1015" s="10">
        <f>_xlfn.XLOOKUP(Order_Details[[#This Row],[Order ID]], List_of_orders[Order ID], List_of_orders[Order Date (Clean)])</f>
        <v>43478</v>
      </c>
      <c r="I1015" s="7" t="str">
        <f>_xlfn.XLOOKUP(Order_Details[[#This Row],[Order ID]], List_of_orders[Order ID], List_of_orders[CustomerName])</f>
        <v>Shruti</v>
      </c>
      <c r="J1015" s="7" t="str">
        <f>_xlfn.XLOOKUP(Order_Details[[#This Row],[Order ID]], List_of_orders[Order ID], List_of_orders[City])</f>
        <v>Indore</v>
      </c>
      <c r="K1015" s="8" t="str">
        <f>TEXT(Order_Details[[#This Row],[Order Date]], "YY-MMM")</f>
        <v>19-Jan</v>
      </c>
      <c r="L1015" s="11">
        <f>Order_Details[[#This Row],[Profit]]/Order_Details[[#This Row],[Amount]]</f>
        <v>0.5</v>
      </c>
      <c r="M1015" s="8">
        <f>YEAR(Order_Details[[#This Row],[Order Date]])</f>
        <v>2019</v>
      </c>
      <c r="N1015" s="8">
        <f>ROUNDUP(MONTH(Order_Details[[#This Row],[Order Date]])/3, 0)</f>
        <v>1</v>
      </c>
    </row>
    <row r="1016" spans="1:14">
      <c r="A1016" s="1" t="s">
        <v>833</v>
      </c>
      <c r="B1016" s="1">
        <v>644</v>
      </c>
      <c r="C1016" s="1">
        <v>167</v>
      </c>
      <c r="D1016" s="1">
        <v>2</v>
      </c>
      <c r="E1016" s="1" t="s">
        <v>1077</v>
      </c>
      <c r="F1016" s="1" t="s">
        <v>1114</v>
      </c>
      <c r="G1016" s="7" t="str">
        <f>_xlfn.XLOOKUP(Order_Details[[#This Row],[Order ID]], List_of_orders[Order ID], List_of_orders[State])</f>
        <v>Madhya Pradesh</v>
      </c>
      <c r="H1016" s="10">
        <f>_xlfn.XLOOKUP(Order_Details[[#This Row],[Order ID]], List_of_orders[Order ID], List_of_orders[Order Date (Clean)])</f>
        <v>43478</v>
      </c>
      <c r="I1016" s="7" t="str">
        <f>_xlfn.XLOOKUP(Order_Details[[#This Row],[Order ID]], List_of_orders[Order ID], List_of_orders[CustomerName])</f>
        <v>Shruti</v>
      </c>
      <c r="J1016" s="7" t="str">
        <f>_xlfn.XLOOKUP(Order_Details[[#This Row],[Order ID]], List_of_orders[Order ID], List_of_orders[City])</f>
        <v>Indore</v>
      </c>
      <c r="K1016" s="8" t="str">
        <f>TEXT(Order_Details[[#This Row],[Order Date]], "YY-MMM")</f>
        <v>19-Jan</v>
      </c>
      <c r="L1016" s="11">
        <f>Order_Details[[#This Row],[Profit]]/Order_Details[[#This Row],[Amount]]</f>
        <v>0.25931677018633542</v>
      </c>
      <c r="M1016" s="8">
        <f>YEAR(Order_Details[[#This Row],[Order Date]])</f>
        <v>2019</v>
      </c>
      <c r="N1016" s="8">
        <f>ROUNDUP(MONTH(Order_Details[[#This Row],[Order Date]])/3, 0)</f>
        <v>1</v>
      </c>
    </row>
    <row r="1017" spans="1:14">
      <c r="A1017" s="1" t="s">
        <v>833</v>
      </c>
      <c r="B1017" s="1">
        <v>261</v>
      </c>
      <c r="C1017" s="1">
        <v>13</v>
      </c>
      <c r="D1017" s="1">
        <v>6</v>
      </c>
      <c r="E1017" s="1" t="s">
        <v>1076</v>
      </c>
      <c r="F1017" s="1" t="s">
        <v>1111</v>
      </c>
      <c r="G1017" s="7" t="str">
        <f>_xlfn.XLOOKUP(Order_Details[[#This Row],[Order ID]], List_of_orders[Order ID], List_of_orders[State])</f>
        <v>Madhya Pradesh</v>
      </c>
      <c r="H1017" s="10">
        <f>_xlfn.XLOOKUP(Order_Details[[#This Row],[Order ID]], List_of_orders[Order ID], List_of_orders[Order Date (Clean)])</f>
        <v>43478</v>
      </c>
      <c r="I1017" s="7" t="str">
        <f>_xlfn.XLOOKUP(Order_Details[[#This Row],[Order ID]], List_of_orders[Order ID], List_of_orders[CustomerName])</f>
        <v>Shruti</v>
      </c>
      <c r="J1017" s="7" t="str">
        <f>_xlfn.XLOOKUP(Order_Details[[#This Row],[Order ID]], List_of_orders[Order ID], List_of_orders[City])</f>
        <v>Indore</v>
      </c>
      <c r="K1017" s="8" t="str">
        <f>TEXT(Order_Details[[#This Row],[Order Date]], "YY-MMM")</f>
        <v>19-Jan</v>
      </c>
      <c r="L1017" s="11">
        <f>Order_Details[[#This Row],[Profit]]/Order_Details[[#This Row],[Amount]]</f>
        <v>4.9808429118773943E-2</v>
      </c>
      <c r="M1017" s="8">
        <f>YEAR(Order_Details[[#This Row],[Order Date]])</f>
        <v>2019</v>
      </c>
      <c r="N1017" s="8">
        <f>ROUNDUP(MONTH(Order_Details[[#This Row],[Order Date]])/3, 0)</f>
        <v>1</v>
      </c>
    </row>
    <row r="1018" spans="1:14">
      <c r="A1018" s="1" t="s">
        <v>833</v>
      </c>
      <c r="B1018" s="1">
        <v>1622</v>
      </c>
      <c r="C1018" s="1">
        <v>95</v>
      </c>
      <c r="D1018" s="1">
        <v>5</v>
      </c>
      <c r="E1018" s="1" t="s">
        <v>1077</v>
      </c>
      <c r="F1018" s="1" t="s">
        <v>1114</v>
      </c>
      <c r="G1018" s="7" t="str">
        <f>_xlfn.XLOOKUP(Order_Details[[#This Row],[Order ID]], List_of_orders[Order ID], List_of_orders[State])</f>
        <v>Madhya Pradesh</v>
      </c>
      <c r="H1018" s="10">
        <f>_xlfn.XLOOKUP(Order_Details[[#This Row],[Order ID]], List_of_orders[Order ID], List_of_orders[Order Date (Clean)])</f>
        <v>43478</v>
      </c>
      <c r="I1018" s="7" t="str">
        <f>_xlfn.XLOOKUP(Order_Details[[#This Row],[Order ID]], List_of_orders[Order ID], List_of_orders[CustomerName])</f>
        <v>Shruti</v>
      </c>
      <c r="J1018" s="7" t="str">
        <f>_xlfn.XLOOKUP(Order_Details[[#This Row],[Order ID]], List_of_orders[Order ID], List_of_orders[City])</f>
        <v>Indore</v>
      </c>
      <c r="K1018" s="8" t="str">
        <f>TEXT(Order_Details[[#This Row],[Order Date]], "YY-MMM")</f>
        <v>19-Jan</v>
      </c>
      <c r="L1018" s="11">
        <f>Order_Details[[#This Row],[Profit]]/Order_Details[[#This Row],[Amount]]</f>
        <v>5.8569667077681874E-2</v>
      </c>
      <c r="M1018" s="8">
        <f>YEAR(Order_Details[[#This Row],[Order Date]])</f>
        <v>2019</v>
      </c>
      <c r="N1018" s="8">
        <f>ROUNDUP(MONTH(Order_Details[[#This Row],[Order Date]])/3, 0)</f>
        <v>1</v>
      </c>
    </row>
    <row r="1019" spans="1:14">
      <c r="A1019" s="1" t="s">
        <v>833</v>
      </c>
      <c r="B1019" s="1">
        <v>190</v>
      </c>
      <c r="C1019" s="1">
        <v>19</v>
      </c>
      <c r="D1019" s="1">
        <v>9</v>
      </c>
      <c r="E1019" s="1" t="s">
        <v>1075</v>
      </c>
      <c r="F1019" s="1" t="s">
        <v>1116</v>
      </c>
      <c r="G1019" s="7" t="str">
        <f>_xlfn.XLOOKUP(Order_Details[[#This Row],[Order ID]], List_of_orders[Order ID], List_of_orders[State])</f>
        <v>Madhya Pradesh</v>
      </c>
      <c r="H1019" s="10">
        <f>_xlfn.XLOOKUP(Order_Details[[#This Row],[Order ID]], List_of_orders[Order ID], List_of_orders[Order Date (Clean)])</f>
        <v>43478</v>
      </c>
      <c r="I1019" s="7" t="str">
        <f>_xlfn.XLOOKUP(Order_Details[[#This Row],[Order ID]], List_of_orders[Order ID], List_of_orders[CustomerName])</f>
        <v>Shruti</v>
      </c>
      <c r="J1019" s="7" t="str">
        <f>_xlfn.XLOOKUP(Order_Details[[#This Row],[Order ID]], List_of_orders[Order ID], List_of_orders[City])</f>
        <v>Indore</v>
      </c>
      <c r="K1019" s="8" t="str">
        <f>TEXT(Order_Details[[#This Row],[Order Date]], "YY-MMM")</f>
        <v>19-Jan</v>
      </c>
      <c r="L1019" s="11">
        <f>Order_Details[[#This Row],[Profit]]/Order_Details[[#This Row],[Amount]]</f>
        <v>0.1</v>
      </c>
      <c r="M1019" s="8">
        <f>YEAR(Order_Details[[#This Row],[Order Date]])</f>
        <v>2019</v>
      </c>
      <c r="N1019" s="8">
        <f>ROUNDUP(MONTH(Order_Details[[#This Row],[Order Date]])/3, 0)</f>
        <v>1</v>
      </c>
    </row>
    <row r="1020" spans="1:14">
      <c r="A1020" s="1" t="s">
        <v>833</v>
      </c>
      <c r="B1020" s="1">
        <v>158</v>
      </c>
      <c r="C1020" s="1">
        <v>-29</v>
      </c>
      <c r="D1020" s="1">
        <v>10</v>
      </c>
      <c r="E1020" s="1" t="s">
        <v>1076</v>
      </c>
      <c r="F1020" s="1" t="s">
        <v>1103</v>
      </c>
      <c r="G1020" s="7" t="str">
        <f>_xlfn.XLOOKUP(Order_Details[[#This Row],[Order ID]], List_of_orders[Order ID], List_of_orders[State])</f>
        <v>Madhya Pradesh</v>
      </c>
      <c r="H1020" s="10">
        <f>_xlfn.XLOOKUP(Order_Details[[#This Row],[Order ID]], List_of_orders[Order ID], List_of_orders[Order Date (Clean)])</f>
        <v>43478</v>
      </c>
      <c r="I1020" s="7" t="str">
        <f>_xlfn.XLOOKUP(Order_Details[[#This Row],[Order ID]], List_of_orders[Order ID], List_of_orders[CustomerName])</f>
        <v>Shruti</v>
      </c>
      <c r="J1020" s="7" t="str">
        <f>_xlfn.XLOOKUP(Order_Details[[#This Row],[Order ID]], List_of_orders[Order ID], List_of_orders[City])</f>
        <v>Indore</v>
      </c>
      <c r="K1020" s="8" t="str">
        <f>TEXT(Order_Details[[#This Row],[Order Date]], "YY-MMM")</f>
        <v>19-Jan</v>
      </c>
      <c r="L1020" s="11">
        <f>Order_Details[[#This Row],[Profit]]/Order_Details[[#This Row],[Amount]]</f>
        <v>-0.18354430379746836</v>
      </c>
      <c r="M1020" s="8">
        <f>YEAR(Order_Details[[#This Row],[Order Date]])</f>
        <v>2019</v>
      </c>
      <c r="N1020" s="8">
        <f>ROUNDUP(MONTH(Order_Details[[#This Row],[Order Date]])/3, 0)</f>
        <v>1</v>
      </c>
    </row>
    <row r="1021" spans="1:14">
      <c r="A1021" s="1" t="s">
        <v>833</v>
      </c>
      <c r="B1021" s="1">
        <v>136</v>
      </c>
      <c r="C1021" s="1">
        <v>-33</v>
      </c>
      <c r="D1021" s="1">
        <v>5</v>
      </c>
      <c r="E1021" s="1" t="s">
        <v>1076</v>
      </c>
      <c r="F1021" s="1" t="s">
        <v>1106</v>
      </c>
      <c r="G1021" s="7" t="str">
        <f>_xlfn.XLOOKUP(Order_Details[[#This Row],[Order ID]], List_of_orders[Order ID], List_of_orders[State])</f>
        <v>Madhya Pradesh</v>
      </c>
      <c r="H1021" s="10">
        <f>_xlfn.XLOOKUP(Order_Details[[#This Row],[Order ID]], List_of_orders[Order ID], List_of_orders[Order Date (Clean)])</f>
        <v>43478</v>
      </c>
      <c r="I1021" s="7" t="str">
        <f>_xlfn.XLOOKUP(Order_Details[[#This Row],[Order ID]], List_of_orders[Order ID], List_of_orders[CustomerName])</f>
        <v>Shruti</v>
      </c>
      <c r="J1021" s="7" t="str">
        <f>_xlfn.XLOOKUP(Order_Details[[#This Row],[Order ID]], List_of_orders[Order ID], List_of_orders[City])</f>
        <v>Indore</v>
      </c>
      <c r="K1021" s="8" t="str">
        <f>TEXT(Order_Details[[#This Row],[Order Date]], "YY-MMM")</f>
        <v>19-Jan</v>
      </c>
      <c r="L1021" s="11">
        <f>Order_Details[[#This Row],[Profit]]/Order_Details[[#This Row],[Amount]]</f>
        <v>-0.24264705882352941</v>
      </c>
      <c r="M1021" s="8">
        <f>YEAR(Order_Details[[#This Row],[Order Date]])</f>
        <v>2019</v>
      </c>
      <c r="N1021" s="8">
        <f>ROUNDUP(MONTH(Order_Details[[#This Row],[Order Date]])/3, 0)</f>
        <v>1</v>
      </c>
    </row>
    <row r="1022" spans="1:14">
      <c r="A1022" s="1" t="s">
        <v>833</v>
      </c>
      <c r="B1022" s="1">
        <v>133</v>
      </c>
      <c r="C1022" s="1">
        <v>5</v>
      </c>
      <c r="D1022" s="1">
        <v>5</v>
      </c>
      <c r="E1022" s="1" t="s">
        <v>1076</v>
      </c>
      <c r="F1022" s="1" t="s">
        <v>1102</v>
      </c>
      <c r="G1022" s="7" t="str">
        <f>_xlfn.XLOOKUP(Order_Details[[#This Row],[Order ID]], List_of_orders[Order ID], List_of_orders[State])</f>
        <v>Madhya Pradesh</v>
      </c>
      <c r="H1022" s="10">
        <f>_xlfn.XLOOKUP(Order_Details[[#This Row],[Order ID]], List_of_orders[Order ID], List_of_orders[Order Date (Clean)])</f>
        <v>43478</v>
      </c>
      <c r="I1022" s="7" t="str">
        <f>_xlfn.XLOOKUP(Order_Details[[#This Row],[Order ID]], List_of_orders[Order ID], List_of_orders[CustomerName])</f>
        <v>Shruti</v>
      </c>
      <c r="J1022" s="7" t="str">
        <f>_xlfn.XLOOKUP(Order_Details[[#This Row],[Order ID]], List_of_orders[Order ID], List_of_orders[City])</f>
        <v>Indore</v>
      </c>
      <c r="K1022" s="8" t="str">
        <f>TEXT(Order_Details[[#This Row],[Order Date]], "YY-MMM")</f>
        <v>19-Jan</v>
      </c>
      <c r="L1022" s="11">
        <f>Order_Details[[#This Row],[Profit]]/Order_Details[[#This Row],[Amount]]</f>
        <v>3.7593984962406013E-2</v>
      </c>
      <c r="M1022" s="8">
        <f>YEAR(Order_Details[[#This Row],[Order Date]])</f>
        <v>2019</v>
      </c>
      <c r="N1022" s="8">
        <f>ROUNDUP(MONTH(Order_Details[[#This Row],[Order Date]])/3, 0)</f>
        <v>1</v>
      </c>
    </row>
    <row r="1023" spans="1:14">
      <c r="A1023" s="1" t="s">
        <v>834</v>
      </c>
      <c r="B1023" s="1">
        <v>102</v>
      </c>
      <c r="C1023" s="1">
        <v>13</v>
      </c>
      <c r="D1023" s="1">
        <v>2</v>
      </c>
      <c r="E1023" s="1" t="s">
        <v>1076</v>
      </c>
      <c r="F1023" s="1" t="s">
        <v>1102</v>
      </c>
      <c r="G1023" s="7" t="str">
        <f>_xlfn.XLOOKUP(Order_Details[[#This Row],[Order ID]], List_of_orders[Order ID], List_of_orders[State])</f>
        <v>West Bengal</v>
      </c>
      <c r="H1023" s="10">
        <f>_xlfn.XLOOKUP(Order_Details[[#This Row],[Order ID]], List_of_orders[Order ID], List_of_orders[Order Date (Clean)])</f>
        <v>43478</v>
      </c>
      <c r="I1023" s="7" t="str">
        <f>_xlfn.XLOOKUP(Order_Details[[#This Row],[Order ID]], List_of_orders[Order ID], List_of_orders[CustomerName])</f>
        <v>Jesal</v>
      </c>
      <c r="J1023" s="7" t="str">
        <f>_xlfn.XLOOKUP(Order_Details[[#This Row],[Order ID]], List_of_orders[Order ID], List_of_orders[City])</f>
        <v>Kolkata</v>
      </c>
      <c r="K1023" s="8" t="str">
        <f>TEXT(Order_Details[[#This Row],[Order Date]], "YY-MMM")</f>
        <v>19-Jan</v>
      </c>
      <c r="L1023" s="11">
        <f>Order_Details[[#This Row],[Profit]]/Order_Details[[#This Row],[Amount]]</f>
        <v>0.12745098039215685</v>
      </c>
      <c r="M1023" s="8">
        <f>YEAR(Order_Details[[#This Row],[Order Date]])</f>
        <v>2019</v>
      </c>
      <c r="N1023" s="8">
        <f>ROUNDUP(MONTH(Order_Details[[#This Row],[Order Date]])/3, 0)</f>
        <v>1</v>
      </c>
    </row>
    <row r="1024" spans="1:14">
      <c r="A1024" s="1" t="s">
        <v>834</v>
      </c>
      <c r="B1024" s="1">
        <v>50</v>
      </c>
      <c r="C1024" s="1">
        <v>14</v>
      </c>
      <c r="D1024" s="1">
        <v>1</v>
      </c>
      <c r="E1024" s="1" t="s">
        <v>1077</v>
      </c>
      <c r="F1024" s="1" t="s">
        <v>1104</v>
      </c>
      <c r="G1024" s="7" t="str">
        <f>_xlfn.XLOOKUP(Order_Details[[#This Row],[Order ID]], List_of_orders[Order ID], List_of_orders[State])</f>
        <v>West Bengal</v>
      </c>
      <c r="H1024" s="10">
        <f>_xlfn.XLOOKUP(Order_Details[[#This Row],[Order ID]], List_of_orders[Order ID], List_of_orders[Order Date (Clean)])</f>
        <v>43478</v>
      </c>
      <c r="I1024" s="7" t="str">
        <f>_xlfn.XLOOKUP(Order_Details[[#This Row],[Order ID]], List_of_orders[Order ID], List_of_orders[CustomerName])</f>
        <v>Jesal</v>
      </c>
      <c r="J1024" s="7" t="str">
        <f>_xlfn.XLOOKUP(Order_Details[[#This Row],[Order ID]], List_of_orders[Order ID], List_of_orders[City])</f>
        <v>Kolkata</v>
      </c>
      <c r="K1024" s="8" t="str">
        <f>TEXT(Order_Details[[#This Row],[Order Date]], "YY-MMM")</f>
        <v>19-Jan</v>
      </c>
      <c r="L1024" s="11">
        <f>Order_Details[[#This Row],[Profit]]/Order_Details[[#This Row],[Amount]]</f>
        <v>0.28000000000000003</v>
      </c>
      <c r="M1024" s="8">
        <f>YEAR(Order_Details[[#This Row],[Order Date]])</f>
        <v>2019</v>
      </c>
      <c r="N1024" s="8">
        <f>ROUNDUP(MONTH(Order_Details[[#This Row],[Order Date]])/3, 0)</f>
        <v>1</v>
      </c>
    </row>
    <row r="1025" spans="1:14">
      <c r="A1025" s="1" t="s">
        <v>834</v>
      </c>
      <c r="B1025" s="1">
        <v>111</v>
      </c>
      <c r="C1025" s="1">
        <v>11</v>
      </c>
      <c r="D1025" s="1">
        <v>9</v>
      </c>
      <c r="E1025" s="1" t="s">
        <v>1076</v>
      </c>
      <c r="F1025" s="1" t="s">
        <v>1103</v>
      </c>
      <c r="G1025" s="7" t="str">
        <f>_xlfn.XLOOKUP(Order_Details[[#This Row],[Order ID]], List_of_orders[Order ID], List_of_orders[State])</f>
        <v>West Bengal</v>
      </c>
      <c r="H1025" s="10">
        <f>_xlfn.XLOOKUP(Order_Details[[#This Row],[Order ID]], List_of_orders[Order ID], List_of_orders[Order Date (Clean)])</f>
        <v>43478</v>
      </c>
      <c r="I1025" s="7" t="str">
        <f>_xlfn.XLOOKUP(Order_Details[[#This Row],[Order ID]], List_of_orders[Order ID], List_of_orders[CustomerName])</f>
        <v>Jesal</v>
      </c>
      <c r="J1025" s="7" t="str">
        <f>_xlfn.XLOOKUP(Order_Details[[#This Row],[Order ID]], List_of_orders[Order ID], List_of_orders[City])</f>
        <v>Kolkata</v>
      </c>
      <c r="K1025" s="8" t="str">
        <f>TEXT(Order_Details[[#This Row],[Order Date]], "YY-MMM")</f>
        <v>19-Jan</v>
      </c>
      <c r="L1025" s="11">
        <f>Order_Details[[#This Row],[Profit]]/Order_Details[[#This Row],[Amount]]</f>
        <v>9.90990990990991E-2</v>
      </c>
      <c r="M1025" s="8">
        <f>YEAR(Order_Details[[#This Row],[Order Date]])</f>
        <v>2019</v>
      </c>
      <c r="N1025" s="8">
        <f>ROUNDUP(MONTH(Order_Details[[#This Row],[Order Date]])/3, 0)</f>
        <v>1</v>
      </c>
    </row>
    <row r="1026" spans="1:14">
      <c r="A1026" s="1" t="s">
        <v>834</v>
      </c>
      <c r="B1026" s="1">
        <v>120</v>
      </c>
      <c r="C1026" s="1">
        <v>23</v>
      </c>
      <c r="D1026" s="1">
        <v>5</v>
      </c>
      <c r="E1026" s="1" t="s">
        <v>1076</v>
      </c>
      <c r="F1026" s="1" t="s">
        <v>1102</v>
      </c>
      <c r="G1026" s="7" t="str">
        <f>_xlfn.XLOOKUP(Order_Details[[#This Row],[Order ID]], List_of_orders[Order ID], List_of_orders[State])</f>
        <v>West Bengal</v>
      </c>
      <c r="H1026" s="10">
        <f>_xlfn.XLOOKUP(Order_Details[[#This Row],[Order ID]], List_of_orders[Order ID], List_of_orders[Order Date (Clean)])</f>
        <v>43478</v>
      </c>
      <c r="I1026" s="7" t="str">
        <f>_xlfn.XLOOKUP(Order_Details[[#This Row],[Order ID]], List_of_orders[Order ID], List_of_orders[CustomerName])</f>
        <v>Jesal</v>
      </c>
      <c r="J1026" s="7" t="str">
        <f>_xlfn.XLOOKUP(Order_Details[[#This Row],[Order ID]], List_of_orders[Order ID], List_of_orders[City])</f>
        <v>Kolkata</v>
      </c>
      <c r="K1026" s="8" t="str">
        <f>TEXT(Order_Details[[#This Row],[Order Date]], "YY-MMM")</f>
        <v>19-Jan</v>
      </c>
      <c r="L1026" s="11">
        <f>Order_Details[[#This Row],[Profit]]/Order_Details[[#This Row],[Amount]]</f>
        <v>0.19166666666666668</v>
      </c>
      <c r="M1026" s="8">
        <f>YEAR(Order_Details[[#This Row],[Order Date]])</f>
        <v>2019</v>
      </c>
      <c r="N1026" s="8">
        <f>ROUNDUP(MONTH(Order_Details[[#This Row],[Order Date]])/3, 0)</f>
        <v>1</v>
      </c>
    </row>
    <row r="1027" spans="1:14">
      <c r="A1027" s="1" t="s">
        <v>834</v>
      </c>
      <c r="B1027" s="1">
        <v>40</v>
      </c>
      <c r="C1027" s="1">
        <v>18</v>
      </c>
      <c r="D1027" s="1">
        <v>1</v>
      </c>
      <c r="E1027" s="1" t="s">
        <v>1077</v>
      </c>
      <c r="F1027" s="1" t="s">
        <v>1115</v>
      </c>
      <c r="G1027" s="7" t="str">
        <f>_xlfn.XLOOKUP(Order_Details[[#This Row],[Order ID]], List_of_orders[Order ID], List_of_orders[State])</f>
        <v>West Bengal</v>
      </c>
      <c r="H1027" s="10">
        <f>_xlfn.XLOOKUP(Order_Details[[#This Row],[Order ID]], List_of_orders[Order ID], List_of_orders[Order Date (Clean)])</f>
        <v>43478</v>
      </c>
      <c r="I1027" s="7" t="str">
        <f>_xlfn.XLOOKUP(Order_Details[[#This Row],[Order ID]], List_of_orders[Order ID], List_of_orders[CustomerName])</f>
        <v>Jesal</v>
      </c>
      <c r="J1027" s="7" t="str">
        <f>_xlfn.XLOOKUP(Order_Details[[#This Row],[Order ID]], List_of_orders[Order ID], List_of_orders[City])</f>
        <v>Kolkata</v>
      </c>
      <c r="K1027" s="8" t="str">
        <f>TEXT(Order_Details[[#This Row],[Order Date]], "YY-MMM")</f>
        <v>19-Jan</v>
      </c>
      <c r="L1027" s="11">
        <f>Order_Details[[#This Row],[Profit]]/Order_Details[[#This Row],[Amount]]</f>
        <v>0.45</v>
      </c>
      <c r="M1027" s="8">
        <f>YEAR(Order_Details[[#This Row],[Order Date]])</f>
        <v>2019</v>
      </c>
      <c r="N1027" s="8">
        <f>ROUNDUP(MONTH(Order_Details[[#This Row],[Order Date]])/3, 0)</f>
        <v>1</v>
      </c>
    </row>
    <row r="1028" spans="1:14">
      <c r="A1028" s="1" t="s">
        <v>834</v>
      </c>
      <c r="B1028" s="1">
        <v>250</v>
      </c>
      <c r="C1028" s="1">
        <v>100</v>
      </c>
      <c r="D1028" s="1">
        <v>3</v>
      </c>
      <c r="E1028" s="1" t="s">
        <v>1076</v>
      </c>
      <c r="F1028" s="1" t="s">
        <v>1107</v>
      </c>
      <c r="G1028" s="7" t="str">
        <f>_xlfn.XLOOKUP(Order_Details[[#This Row],[Order ID]], List_of_orders[Order ID], List_of_orders[State])</f>
        <v>West Bengal</v>
      </c>
      <c r="H1028" s="10">
        <f>_xlfn.XLOOKUP(Order_Details[[#This Row],[Order ID]], List_of_orders[Order ID], List_of_orders[Order Date (Clean)])</f>
        <v>43478</v>
      </c>
      <c r="I1028" s="7" t="str">
        <f>_xlfn.XLOOKUP(Order_Details[[#This Row],[Order ID]], List_of_orders[Order ID], List_of_orders[CustomerName])</f>
        <v>Jesal</v>
      </c>
      <c r="J1028" s="7" t="str">
        <f>_xlfn.XLOOKUP(Order_Details[[#This Row],[Order ID]], List_of_orders[Order ID], List_of_orders[City])</f>
        <v>Kolkata</v>
      </c>
      <c r="K1028" s="8" t="str">
        <f>TEXT(Order_Details[[#This Row],[Order Date]], "YY-MMM")</f>
        <v>19-Jan</v>
      </c>
      <c r="L1028" s="11">
        <f>Order_Details[[#This Row],[Profit]]/Order_Details[[#This Row],[Amount]]</f>
        <v>0.4</v>
      </c>
      <c r="M1028" s="8">
        <f>YEAR(Order_Details[[#This Row],[Order Date]])</f>
        <v>2019</v>
      </c>
      <c r="N1028" s="8">
        <f>ROUNDUP(MONTH(Order_Details[[#This Row],[Order Date]])/3, 0)</f>
        <v>1</v>
      </c>
    </row>
    <row r="1029" spans="1:14">
      <c r="A1029" s="1" t="s">
        <v>834</v>
      </c>
      <c r="B1029" s="1">
        <v>89</v>
      </c>
      <c r="C1029" s="1">
        <v>29</v>
      </c>
      <c r="D1029" s="1">
        <v>2</v>
      </c>
      <c r="E1029" s="1" t="s">
        <v>1076</v>
      </c>
      <c r="F1029" s="1" t="s">
        <v>1102</v>
      </c>
      <c r="G1029" s="7" t="str">
        <f>_xlfn.XLOOKUP(Order_Details[[#This Row],[Order ID]], List_of_orders[Order ID], List_of_orders[State])</f>
        <v>West Bengal</v>
      </c>
      <c r="H1029" s="10">
        <f>_xlfn.XLOOKUP(Order_Details[[#This Row],[Order ID]], List_of_orders[Order ID], List_of_orders[Order Date (Clean)])</f>
        <v>43478</v>
      </c>
      <c r="I1029" s="7" t="str">
        <f>_xlfn.XLOOKUP(Order_Details[[#This Row],[Order ID]], List_of_orders[Order ID], List_of_orders[CustomerName])</f>
        <v>Jesal</v>
      </c>
      <c r="J1029" s="7" t="str">
        <f>_xlfn.XLOOKUP(Order_Details[[#This Row],[Order ID]], List_of_orders[Order ID], List_of_orders[City])</f>
        <v>Kolkata</v>
      </c>
      <c r="K1029" s="8" t="str">
        <f>TEXT(Order_Details[[#This Row],[Order Date]], "YY-MMM")</f>
        <v>19-Jan</v>
      </c>
      <c r="L1029" s="11">
        <f>Order_Details[[#This Row],[Profit]]/Order_Details[[#This Row],[Amount]]</f>
        <v>0.3258426966292135</v>
      </c>
      <c r="M1029" s="8">
        <f>YEAR(Order_Details[[#This Row],[Order Date]])</f>
        <v>2019</v>
      </c>
      <c r="N1029" s="8">
        <f>ROUNDUP(MONTH(Order_Details[[#This Row],[Order Date]])/3, 0)</f>
        <v>1</v>
      </c>
    </row>
    <row r="1030" spans="1:14">
      <c r="A1030" s="1" t="s">
        <v>834</v>
      </c>
      <c r="B1030" s="1">
        <v>30</v>
      </c>
      <c r="C1030" s="1">
        <v>5</v>
      </c>
      <c r="D1030" s="1">
        <v>2</v>
      </c>
      <c r="E1030" s="1" t="s">
        <v>1076</v>
      </c>
      <c r="F1030" s="1" t="s">
        <v>1109</v>
      </c>
      <c r="G1030" s="7" t="str">
        <f>_xlfn.XLOOKUP(Order_Details[[#This Row],[Order ID]], List_of_orders[Order ID], List_of_orders[State])</f>
        <v>West Bengal</v>
      </c>
      <c r="H1030" s="10">
        <f>_xlfn.XLOOKUP(Order_Details[[#This Row],[Order ID]], List_of_orders[Order ID], List_of_orders[Order Date (Clean)])</f>
        <v>43478</v>
      </c>
      <c r="I1030" s="7" t="str">
        <f>_xlfn.XLOOKUP(Order_Details[[#This Row],[Order ID]], List_of_orders[Order ID], List_of_orders[CustomerName])</f>
        <v>Jesal</v>
      </c>
      <c r="J1030" s="7" t="str">
        <f>_xlfn.XLOOKUP(Order_Details[[#This Row],[Order ID]], List_of_orders[Order ID], List_of_orders[City])</f>
        <v>Kolkata</v>
      </c>
      <c r="K1030" s="8" t="str">
        <f>TEXT(Order_Details[[#This Row],[Order Date]], "YY-MMM")</f>
        <v>19-Jan</v>
      </c>
      <c r="L1030" s="11">
        <f>Order_Details[[#This Row],[Profit]]/Order_Details[[#This Row],[Amount]]</f>
        <v>0.16666666666666666</v>
      </c>
      <c r="M1030" s="8">
        <f>YEAR(Order_Details[[#This Row],[Order Date]])</f>
        <v>2019</v>
      </c>
      <c r="N1030" s="8">
        <f>ROUNDUP(MONTH(Order_Details[[#This Row],[Order Date]])/3, 0)</f>
        <v>1</v>
      </c>
    </row>
    <row r="1031" spans="1:14">
      <c r="A1031" s="1" t="s">
        <v>834</v>
      </c>
      <c r="B1031" s="1">
        <v>248</v>
      </c>
      <c r="C1031" s="1">
        <v>105</v>
      </c>
      <c r="D1031" s="1">
        <v>2</v>
      </c>
      <c r="E1031" s="1" t="s">
        <v>1077</v>
      </c>
      <c r="F1031" s="1" t="s">
        <v>1105</v>
      </c>
      <c r="G1031" s="7" t="str">
        <f>_xlfn.XLOOKUP(Order_Details[[#This Row],[Order ID]], List_of_orders[Order ID], List_of_orders[State])</f>
        <v>West Bengal</v>
      </c>
      <c r="H1031" s="10">
        <f>_xlfn.XLOOKUP(Order_Details[[#This Row],[Order ID]], List_of_orders[Order ID], List_of_orders[Order Date (Clean)])</f>
        <v>43478</v>
      </c>
      <c r="I1031" s="7" t="str">
        <f>_xlfn.XLOOKUP(Order_Details[[#This Row],[Order ID]], List_of_orders[Order ID], List_of_orders[CustomerName])</f>
        <v>Jesal</v>
      </c>
      <c r="J1031" s="7" t="str">
        <f>_xlfn.XLOOKUP(Order_Details[[#This Row],[Order ID]], List_of_orders[Order ID], List_of_orders[City])</f>
        <v>Kolkata</v>
      </c>
      <c r="K1031" s="8" t="str">
        <f>TEXT(Order_Details[[#This Row],[Order Date]], "YY-MMM")</f>
        <v>19-Jan</v>
      </c>
      <c r="L1031" s="11">
        <f>Order_Details[[#This Row],[Profit]]/Order_Details[[#This Row],[Amount]]</f>
        <v>0.42338709677419356</v>
      </c>
      <c r="M1031" s="8">
        <f>YEAR(Order_Details[[#This Row],[Order Date]])</f>
        <v>2019</v>
      </c>
      <c r="N1031" s="8">
        <f>ROUNDUP(MONTH(Order_Details[[#This Row],[Order Date]])/3, 0)</f>
        <v>1</v>
      </c>
    </row>
    <row r="1032" spans="1:14">
      <c r="A1032" s="1" t="s">
        <v>834</v>
      </c>
      <c r="B1032" s="1">
        <v>742</v>
      </c>
      <c r="C1032" s="1">
        <v>198</v>
      </c>
      <c r="D1032" s="1">
        <v>2</v>
      </c>
      <c r="E1032" s="1" t="s">
        <v>1075</v>
      </c>
      <c r="F1032" s="1" t="s">
        <v>1101</v>
      </c>
      <c r="G1032" s="7" t="str">
        <f>_xlfn.XLOOKUP(Order_Details[[#This Row],[Order ID]], List_of_orders[Order ID], List_of_orders[State])</f>
        <v>West Bengal</v>
      </c>
      <c r="H1032" s="10">
        <f>_xlfn.XLOOKUP(Order_Details[[#This Row],[Order ID]], List_of_orders[Order ID], List_of_orders[Order Date (Clean)])</f>
        <v>43478</v>
      </c>
      <c r="I1032" s="7" t="str">
        <f>_xlfn.XLOOKUP(Order_Details[[#This Row],[Order ID]], List_of_orders[Order ID], List_of_orders[CustomerName])</f>
        <v>Jesal</v>
      </c>
      <c r="J1032" s="7" t="str">
        <f>_xlfn.XLOOKUP(Order_Details[[#This Row],[Order ID]], List_of_orders[Order ID], List_of_orders[City])</f>
        <v>Kolkata</v>
      </c>
      <c r="K1032" s="8" t="str">
        <f>TEXT(Order_Details[[#This Row],[Order Date]], "YY-MMM")</f>
        <v>19-Jan</v>
      </c>
      <c r="L1032" s="11">
        <f>Order_Details[[#This Row],[Profit]]/Order_Details[[#This Row],[Amount]]</f>
        <v>0.26684636118598382</v>
      </c>
      <c r="M1032" s="8">
        <f>YEAR(Order_Details[[#This Row],[Order Date]])</f>
        <v>2019</v>
      </c>
      <c r="N1032" s="8">
        <f>ROUNDUP(MONTH(Order_Details[[#This Row],[Order Date]])/3, 0)</f>
        <v>1</v>
      </c>
    </row>
    <row r="1033" spans="1:14">
      <c r="A1033" s="1" t="s">
        <v>836</v>
      </c>
      <c r="B1033" s="1">
        <v>14</v>
      </c>
      <c r="C1033" s="1">
        <v>0</v>
      </c>
      <c r="D1033" s="1">
        <v>4</v>
      </c>
      <c r="E1033" s="1" t="s">
        <v>1076</v>
      </c>
      <c r="F1033" s="1" t="s">
        <v>1103</v>
      </c>
      <c r="G1033" s="7" t="str">
        <f>_xlfn.XLOOKUP(Order_Details[[#This Row],[Order ID]], List_of_orders[Order ID], List_of_orders[State])</f>
        <v>Madhya Pradesh</v>
      </c>
      <c r="H1033" s="10">
        <f>_xlfn.XLOOKUP(Order_Details[[#This Row],[Order ID]], List_of_orders[Order ID], List_of_orders[Order Date (Clean)])</f>
        <v>43478</v>
      </c>
      <c r="I1033" s="7" t="str">
        <f>_xlfn.XLOOKUP(Order_Details[[#This Row],[Order ID]], List_of_orders[Order ID], List_of_orders[CustomerName])</f>
        <v>Priyanka</v>
      </c>
      <c r="J1033" s="7" t="str">
        <f>_xlfn.XLOOKUP(Order_Details[[#This Row],[Order ID]], List_of_orders[Order ID], List_of_orders[City])</f>
        <v>Indore</v>
      </c>
      <c r="K1033" s="8" t="str">
        <f>TEXT(Order_Details[[#This Row],[Order Date]], "YY-MMM")</f>
        <v>19-Jan</v>
      </c>
      <c r="L1033" s="11">
        <f>Order_Details[[#This Row],[Profit]]/Order_Details[[#This Row],[Amount]]</f>
        <v>0</v>
      </c>
      <c r="M1033" s="8">
        <f>YEAR(Order_Details[[#This Row],[Order Date]])</f>
        <v>2019</v>
      </c>
      <c r="N1033" s="8">
        <f>ROUNDUP(MONTH(Order_Details[[#This Row],[Order Date]])/3, 0)</f>
        <v>1</v>
      </c>
    </row>
    <row r="1034" spans="1:14">
      <c r="A1034" s="1" t="s">
        <v>836</v>
      </c>
      <c r="B1034" s="1">
        <v>87</v>
      </c>
      <c r="C1034" s="1">
        <v>32</v>
      </c>
      <c r="D1034" s="1">
        <v>9</v>
      </c>
      <c r="E1034" s="1" t="s">
        <v>1076</v>
      </c>
      <c r="F1034" s="1" t="s">
        <v>1117</v>
      </c>
      <c r="G1034" s="7" t="str">
        <f>_xlfn.XLOOKUP(Order_Details[[#This Row],[Order ID]], List_of_orders[Order ID], List_of_orders[State])</f>
        <v>Madhya Pradesh</v>
      </c>
      <c r="H1034" s="10">
        <f>_xlfn.XLOOKUP(Order_Details[[#This Row],[Order ID]], List_of_orders[Order ID], List_of_orders[Order Date (Clean)])</f>
        <v>43478</v>
      </c>
      <c r="I1034" s="7" t="str">
        <f>_xlfn.XLOOKUP(Order_Details[[#This Row],[Order ID]], List_of_orders[Order ID], List_of_orders[CustomerName])</f>
        <v>Priyanka</v>
      </c>
      <c r="J1034" s="7" t="str">
        <f>_xlfn.XLOOKUP(Order_Details[[#This Row],[Order ID]], List_of_orders[Order ID], List_of_orders[City])</f>
        <v>Indore</v>
      </c>
      <c r="K1034" s="8" t="str">
        <f>TEXT(Order_Details[[#This Row],[Order Date]], "YY-MMM")</f>
        <v>19-Jan</v>
      </c>
      <c r="L1034" s="11">
        <f>Order_Details[[#This Row],[Profit]]/Order_Details[[#This Row],[Amount]]</f>
        <v>0.36781609195402298</v>
      </c>
      <c r="M1034" s="8">
        <f>YEAR(Order_Details[[#This Row],[Order Date]])</f>
        <v>2019</v>
      </c>
      <c r="N1034" s="8">
        <f>ROUNDUP(MONTH(Order_Details[[#This Row],[Order Date]])/3, 0)</f>
        <v>1</v>
      </c>
    </row>
    <row r="1035" spans="1:14">
      <c r="A1035" s="1" t="s">
        <v>836</v>
      </c>
      <c r="B1035" s="1">
        <v>935</v>
      </c>
      <c r="C1035" s="1">
        <v>114</v>
      </c>
      <c r="D1035" s="1">
        <v>4</v>
      </c>
      <c r="E1035" s="1" t="s">
        <v>1077</v>
      </c>
      <c r="F1035" s="1" t="s">
        <v>1104</v>
      </c>
      <c r="G1035" s="7" t="str">
        <f>_xlfn.XLOOKUP(Order_Details[[#This Row],[Order ID]], List_of_orders[Order ID], List_of_orders[State])</f>
        <v>Madhya Pradesh</v>
      </c>
      <c r="H1035" s="10">
        <f>_xlfn.XLOOKUP(Order_Details[[#This Row],[Order ID]], List_of_orders[Order ID], List_of_orders[Order Date (Clean)])</f>
        <v>43478</v>
      </c>
      <c r="I1035" s="7" t="str">
        <f>_xlfn.XLOOKUP(Order_Details[[#This Row],[Order ID]], List_of_orders[Order ID], List_of_orders[CustomerName])</f>
        <v>Priyanka</v>
      </c>
      <c r="J1035" s="7" t="str">
        <f>_xlfn.XLOOKUP(Order_Details[[#This Row],[Order ID]], List_of_orders[Order ID], List_of_orders[City])</f>
        <v>Indore</v>
      </c>
      <c r="K1035" s="8" t="str">
        <f>TEXT(Order_Details[[#This Row],[Order Date]], "YY-MMM")</f>
        <v>19-Jan</v>
      </c>
      <c r="L1035" s="11">
        <f>Order_Details[[#This Row],[Profit]]/Order_Details[[#This Row],[Amount]]</f>
        <v>0.12192513368983957</v>
      </c>
      <c r="M1035" s="8">
        <f>YEAR(Order_Details[[#This Row],[Order Date]])</f>
        <v>2019</v>
      </c>
      <c r="N1035" s="8">
        <f>ROUNDUP(MONTH(Order_Details[[#This Row],[Order Date]])/3, 0)</f>
        <v>1</v>
      </c>
    </row>
    <row r="1036" spans="1:14">
      <c r="A1036" s="1" t="s">
        <v>836</v>
      </c>
      <c r="B1036" s="1">
        <v>173</v>
      </c>
      <c r="C1036" s="1">
        <v>69</v>
      </c>
      <c r="D1036" s="1">
        <v>3</v>
      </c>
      <c r="E1036" s="1" t="s">
        <v>1075</v>
      </c>
      <c r="F1036" s="1" t="s">
        <v>1108</v>
      </c>
      <c r="G1036" s="7" t="str">
        <f>_xlfn.XLOOKUP(Order_Details[[#This Row],[Order ID]], List_of_orders[Order ID], List_of_orders[State])</f>
        <v>Madhya Pradesh</v>
      </c>
      <c r="H1036" s="10">
        <f>_xlfn.XLOOKUP(Order_Details[[#This Row],[Order ID]], List_of_orders[Order ID], List_of_orders[Order Date (Clean)])</f>
        <v>43478</v>
      </c>
      <c r="I1036" s="7" t="str">
        <f>_xlfn.XLOOKUP(Order_Details[[#This Row],[Order ID]], List_of_orders[Order ID], List_of_orders[CustomerName])</f>
        <v>Priyanka</v>
      </c>
      <c r="J1036" s="7" t="str">
        <f>_xlfn.XLOOKUP(Order_Details[[#This Row],[Order ID]], List_of_orders[Order ID], List_of_orders[City])</f>
        <v>Indore</v>
      </c>
      <c r="K1036" s="8" t="str">
        <f>TEXT(Order_Details[[#This Row],[Order Date]], "YY-MMM")</f>
        <v>19-Jan</v>
      </c>
      <c r="L1036" s="11">
        <f>Order_Details[[#This Row],[Profit]]/Order_Details[[#This Row],[Amount]]</f>
        <v>0.39884393063583817</v>
      </c>
      <c r="M1036" s="8">
        <f>YEAR(Order_Details[[#This Row],[Order Date]])</f>
        <v>2019</v>
      </c>
      <c r="N1036" s="8">
        <f>ROUNDUP(MONTH(Order_Details[[#This Row],[Order Date]])/3, 0)</f>
        <v>1</v>
      </c>
    </row>
    <row r="1037" spans="1:14">
      <c r="A1037" s="1" t="s">
        <v>836</v>
      </c>
      <c r="B1037" s="1">
        <v>352</v>
      </c>
      <c r="C1037" s="1">
        <v>18</v>
      </c>
      <c r="D1037" s="1">
        <v>5</v>
      </c>
      <c r="E1037" s="1" t="s">
        <v>1076</v>
      </c>
      <c r="F1037" s="1" t="s">
        <v>1107</v>
      </c>
      <c r="G1037" s="7" t="str">
        <f>_xlfn.XLOOKUP(Order_Details[[#This Row],[Order ID]], List_of_orders[Order ID], List_of_orders[State])</f>
        <v>Madhya Pradesh</v>
      </c>
      <c r="H1037" s="10">
        <f>_xlfn.XLOOKUP(Order_Details[[#This Row],[Order ID]], List_of_orders[Order ID], List_of_orders[Order Date (Clean)])</f>
        <v>43478</v>
      </c>
      <c r="I1037" s="7" t="str">
        <f>_xlfn.XLOOKUP(Order_Details[[#This Row],[Order ID]], List_of_orders[Order ID], List_of_orders[CustomerName])</f>
        <v>Priyanka</v>
      </c>
      <c r="J1037" s="7" t="str">
        <f>_xlfn.XLOOKUP(Order_Details[[#This Row],[Order ID]], List_of_orders[Order ID], List_of_orders[City])</f>
        <v>Indore</v>
      </c>
      <c r="K1037" s="8" t="str">
        <f>TEXT(Order_Details[[#This Row],[Order Date]], "YY-MMM")</f>
        <v>19-Jan</v>
      </c>
      <c r="L1037" s="11">
        <f>Order_Details[[#This Row],[Profit]]/Order_Details[[#This Row],[Amount]]</f>
        <v>5.113636363636364E-2</v>
      </c>
      <c r="M1037" s="8">
        <f>YEAR(Order_Details[[#This Row],[Order Date]])</f>
        <v>2019</v>
      </c>
      <c r="N1037" s="8">
        <f>ROUNDUP(MONTH(Order_Details[[#This Row],[Order Date]])/3, 0)</f>
        <v>1</v>
      </c>
    </row>
    <row r="1038" spans="1:14">
      <c r="A1038" s="1" t="s">
        <v>836</v>
      </c>
      <c r="B1038" s="1">
        <v>147</v>
      </c>
      <c r="C1038" s="1">
        <v>48</v>
      </c>
      <c r="D1038" s="1">
        <v>3</v>
      </c>
      <c r="E1038" s="1" t="s">
        <v>1076</v>
      </c>
      <c r="F1038" s="1" t="s">
        <v>1106</v>
      </c>
      <c r="G1038" s="7" t="str">
        <f>_xlfn.XLOOKUP(Order_Details[[#This Row],[Order ID]], List_of_orders[Order ID], List_of_orders[State])</f>
        <v>Madhya Pradesh</v>
      </c>
      <c r="H1038" s="10">
        <f>_xlfn.XLOOKUP(Order_Details[[#This Row],[Order ID]], List_of_orders[Order ID], List_of_orders[Order Date (Clean)])</f>
        <v>43478</v>
      </c>
      <c r="I1038" s="7" t="str">
        <f>_xlfn.XLOOKUP(Order_Details[[#This Row],[Order ID]], List_of_orders[Order ID], List_of_orders[CustomerName])</f>
        <v>Priyanka</v>
      </c>
      <c r="J1038" s="7" t="str">
        <f>_xlfn.XLOOKUP(Order_Details[[#This Row],[Order ID]], List_of_orders[Order ID], List_of_orders[City])</f>
        <v>Indore</v>
      </c>
      <c r="K1038" s="8" t="str">
        <f>TEXT(Order_Details[[#This Row],[Order Date]], "YY-MMM")</f>
        <v>19-Jan</v>
      </c>
      <c r="L1038" s="11">
        <f>Order_Details[[#This Row],[Profit]]/Order_Details[[#This Row],[Amount]]</f>
        <v>0.32653061224489793</v>
      </c>
      <c r="M1038" s="8">
        <f>YEAR(Order_Details[[#This Row],[Order Date]])</f>
        <v>2019</v>
      </c>
      <c r="N1038" s="8">
        <f>ROUNDUP(MONTH(Order_Details[[#This Row],[Order Date]])/3, 0)</f>
        <v>1</v>
      </c>
    </row>
    <row r="1039" spans="1:14">
      <c r="A1039" s="1" t="s">
        <v>836</v>
      </c>
      <c r="B1039" s="1">
        <v>44</v>
      </c>
      <c r="C1039" s="1">
        <v>14</v>
      </c>
      <c r="D1039" s="1">
        <v>3</v>
      </c>
      <c r="E1039" s="1" t="s">
        <v>1076</v>
      </c>
      <c r="F1039" s="1" t="s">
        <v>1103</v>
      </c>
      <c r="G1039" s="7" t="str">
        <f>_xlfn.XLOOKUP(Order_Details[[#This Row],[Order ID]], List_of_orders[Order ID], List_of_orders[State])</f>
        <v>Madhya Pradesh</v>
      </c>
      <c r="H1039" s="10">
        <f>_xlfn.XLOOKUP(Order_Details[[#This Row],[Order ID]], List_of_orders[Order ID], List_of_orders[Order Date (Clean)])</f>
        <v>43478</v>
      </c>
      <c r="I1039" s="7" t="str">
        <f>_xlfn.XLOOKUP(Order_Details[[#This Row],[Order ID]], List_of_orders[Order ID], List_of_orders[CustomerName])</f>
        <v>Priyanka</v>
      </c>
      <c r="J1039" s="7" t="str">
        <f>_xlfn.XLOOKUP(Order_Details[[#This Row],[Order ID]], List_of_orders[Order ID], List_of_orders[City])</f>
        <v>Indore</v>
      </c>
      <c r="K1039" s="8" t="str">
        <f>TEXT(Order_Details[[#This Row],[Order Date]], "YY-MMM")</f>
        <v>19-Jan</v>
      </c>
      <c r="L1039" s="11">
        <f>Order_Details[[#This Row],[Profit]]/Order_Details[[#This Row],[Amount]]</f>
        <v>0.31818181818181818</v>
      </c>
      <c r="M1039" s="8">
        <f>YEAR(Order_Details[[#This Row],[Order Date]])</f>
        <v>2019</v>
      </c>
      <c r="N1039" s="8">
        <f>ROUNDUP(MONTH(Order_Details[[#This Row],[Order Date]])/3, 0)</f>
        <v>1</v>
      </c>
    </row>
    <row r="1040" spans="1:14">
      <c r="A1040" s="1" t="s">
        <v>837</v>
      </c>
      <c r="B1040" s="1">
        <v>22</v>
      </c>
      <c r="C1040" s="1">
        <v>-8</v>
      </c>
      <c r="D1040" s="1">
        <v>4</v>
      </c>
      <c r="E1040" s="1" t="s">
        <v>1076</v>
      </c>
      <c r="F1040" s="1" t="s">
        <v>1103</v>
      </c>
      <c r="G1040" s="7" t="str">
        <f>_xlfn.XLOOKUP(Order_Details[[#This Row],[Order ID]], List_of_orders[Order ID], List_of_orders[State])</f>
        <v>Andhra Pradesh</v>
      </c>
      <c r="H1040" s="10">
        <f>_xlfn.XLOOKUP(Order_Details[[#This Row],[Order ID]], List_of_orders[Order ID], List_of_orders[Order Date (Clean)])</f>
        <v>43479</v>
      </c>
      <c r="I1040" s="7" t="str">
        <f>_xlfn.XLOOKUP(Order_Details[[#This Row],[Order ID]], List_of_orders[Order ID], List_of_orders[CustomerName])</f>
        <v>Krutika</v>
      </c>
      <c r="J1040" s="7" t="str">
        <f>_xlfn.XLOOKUP(Order_Details[[#This Row],[Order ID]], List_of_orders[Order ID], List_of_orders[City])</f>
        <v>Hyderabad</v>
      </c>
      <c r="K1040" s="8" t="str">
        <f>TEXT(Order_Details[[#This Row],[Order Date]], "YY-MMM")</f>
        <v>19-Jan</v>
      </c>
      <c r="L1040" s="11">
        <f>Order_Details[[#This Row],[Profit]]/Order_Details[[#This Row],[Amount]]</f>
        <v>-0.36363636363636365</v>
      </c>
      <c r="M1040" s="8">
        <f>YEAR(Order_Details[[#This Row],[Order Date]])</f>
        <v>2019</v>
      </c>
      <c r="N1040" s="8">
        <f>ROUNDUP(MONTH(Order_Details[[#This Row],[Order Date]])/3, 0)</f>
        <v>1</v>
      </c>
    </row>
    <row r="1041" spans="1:14">
      <c r="A1041" s="1" t="s">
        <v>837</v>
      </c>
      <c r="B1041" s="1">
        <v>188</v>
      </c>
      <c r="C1041" s="1">
        <v>-193</v>
      </c>
      <c r="D1041" s="1">
        <v>2</v>
      </c>
      <c r="E1041" s="1" t="s">
        <v>1077</v>
      </c>
      <c r="F1041" s="1" t="s">
        <v>1104</v>
      </c>
      <c r="G1041" s="7" t="str">
        <f>_xlfn.XLOOKUP(Order_Details[[#This Row],[Order ID]], List_of_orders[Order ID], List_of_orders[State])</f>
        <v>Andhra Pradesh</v>
      </c>
      <c r="H1041" s="10">
        <f>_xlfn.XLOOKUP(Order_Details[[#This Row],[Order ID]], List_of_orders[Order ID], List_of_orders[Order Date (Clean)])</f>
        <v>43479</v>
      </c>
      <c r="I1041" s="7" t="str">
        <f>_xlfn.XLOOKUP(Order_Details[[#This Row],[Order ID]], List_of_orders[Order ID], List_of_orders[CustomerName])</f>
        <v>Krutika</v>
      </c>
      <c r="J1041" s="7" t="str">
        <f>_xlfn.XLOOKUP(Order_Details[[#This Row],[Order ID]], List_of_orders[Order ID], List_of_orders[City])</f>
        <v>Hyderabad</v>
      </c>
      <c r="K1041" s="8" t="str">
        <f>TEXT(Order_Details[[#This Row],[Order Date]], "YY-MMM")</f>
        <v>19-Jan</v>
      </c>
      <c r="L1041" s="11">
        <f>Order_Details[[#This Row],[Profit]]/Order_Details[[#This Row],[Amount]]</f>
        <v>-1.0265957446808511</v>
      </c>
      <c r="M1041" s="8">
        <f>YEAR(Order_Details[[#This Row],[Order Date]])</f>
        <v>2019</v>
      </c>
      <c r="N1041" s="8">
        <f>ROUNDUP(MONTH(Order_Details[[#This Row],[Order Date]])/3, 0)</f>
        <v>1</v>
      </c>
    </row>
    <row r="1042" spans="1:14">
      <c r="A1042" s="1" t="s">
        <v>837</v>
      </c>
      <c r="B1042" s="1">
        <v>81</v>
      </c>
      <c r="C1042" s="1">
        <v>41</v>
      </c>
      <c r="D1042" s="1">
        <v>3</v>
      </c>
      <c r="E1042" s="1" t="s">
        <v>1076</v>
      </c>
      <c r="F1042" s="1" t="s">
        <v>1102</v>
      </c>
      <c r="G1042" s="7" t="str">
        <f>_xlfn.XLOOKUP(Order_Details[[#This Row],[Order ID]], List_of_orders[Order ID], List_of_orders[State])</f>
        <v>Andhra Pradesh</v>
      </c>
      <c r="H1042" s="10">
        <f>_xlfn.XLOOKUP(Order_Details[[#This Row],[Order ID]], List_of_orders[Order ID], List_of_orders[Order Date (Clean)])</f>
        <v>43479</v>
      </c>
      <c r="I1042" s="7" t="str">
        <f>_xlfn.XLOOKUP(Order_Details[[#This Row],[Order ID]], List_of_orders[Order ID], List_of_orders[CustomerName])</f>
        <v>Krutika</v>
      </c>
      <c r="J1042" s="7" t="str">
        <f>_xlfn.XLOOKUP(Order_Details[[#This Row],[Order ID]], List_of_orders[Order ID], List_of_orders[City])</f>
        <v>Hyderabad</v>
      </c>
      <c r="K1042" s="8" t="str">
        <f>TEXT(Order_Details[[#This Row],[Order Date]], "YY-MMM")</f>
        <v>19-Jan</v>
      </c>
      <c r="L1042" s="11">
        <f>Order_Details[[#This Row],[Profit]]/Order_Details[[#This Row],[Amount]]</f>
        <v>0.50617283950617287</v>
      </c>
      <c r="M1042" s="8">
        <f>YEAR(Order_Details[[#This Row],[Order Date]])</f>
        <v>2019</v>
      </c>
      <c r="N1042" s="8">
        <f>ROUNDUP(MONTH(Order_Details[[#This Row],[Order Date]])/3, 0)</f>
        <v>1</v>
      </c>
    </row>
    <row r="1043" spans="1:14">
      <c r="A1043" s="1" t="s">
        <v>837</v>
      </c>
      <c r="B1043" s="1">
        <v>44</v>
      </c>
      <c r="C1043" s="1">
        <v>2</v>
      </c>
      <c r="D1043" s="1">
        <v>3</v>
      </c>
      <c r="E1043" s="1" t="s">
        <v>1076</v>
      </c>
      <c r="F1043" s="1" t="s">
        <v>1103</v>
      </c>
      <c r="G1043" s="7" t="str">
        <f>_xlfn.XLOOKUP(Order_Details[[#This Row],[Order ID]], List_of_orders[Order ID], List_of_orders[State])</f>
        <v>Andhra Pradesh</v>
      </c>
      <c r="H1043" s="10">
        <f>_xlfn.XLOOKUP(Order_Details[[#This Row],[Order ID]], List_of_orders[Order ID], List_of_orders[Order Date (Clean)])</f>
        <v>43479</v>
      </c>
      <c r="I1043" s="7" t="str">
        <f>_xlfn.XLOOKUP(Order_Details[[#This Row],[Order ID]], List_of_orders[Order ID], List_of_orders[CustomerName])</f>
        <v>Krutika</v>
      </c>
      <c r="J1043" s="7" t="str">
        <f>_xlfn.XLOOKUP(Order_Details[[#This Row],[Order ID]], List_of_orders[Order ID], List_of_orders[City])</f>
        <v>Hyderabad</v>
      </c>
      <c r="K1043" s="8" t="str">
        <f>TEXT(Order_Details[[#This Row],[Order Date]], "YY-MMM")</f>
        <v>19-Jan</v>
      </c>
      <c r="L1043" s="11">
        <f>Order_Details[[#This Row],[Profit]]/Order_Details[[#This Row],[Amount]]</f>
        <v>4.5454545454545456E-2</v>
      </c>
      <c r="M1043" s="8">
        <f>YEAR(Order_Details[[#This Row],[Order Date]])</f>
        <v>2019</v>
      </c>
      <c r="N1043" s="8">
        <f>ROUNDUP(MONTH(Order_Details[[#This Row],[Order Date]])/3, 0)</f>
        <v>1</v>
      </c>
    </row>
    <row r="1044" spans="1:14">
      <c r="A1044" s="1" t="s">
        <v>837</v>
      </c>
      <c r="B1044" s="1">
        <v>116</v>
      </c>
      <c r="C1044" s="1">
        <v>22</v>
      </c>
      <c r="D1044" s="1">
        <v>1</v>
      </c>
      <c r="E1044" s="1" t="s">
        <v>1077</v>
      </c>
      <c r="F1044" s="1" t="s">
        <v>1115</v>
      </c>
      <c r="G1044" s="7" t="str">
        <f>_xlfn.XLOOKUP(Order_Details[[#This Row],[Order ID]], List_of_orders[Order ID], List_of_orders[State])</f>
        <v>Andhra Pradesh</v>
      </c>
      <c r="H1044" s="10">
        <f>_xlfn.XLOOKUP(Order_Details[[#This Row],[Order ID]], List_of_orders[Order ID], List_of_orders[Order Date (Clean)])</f>
        <v>43479</v>
      </c>
      <c r="I1044" s="7" t="str">
        <f>_xlfn.XLOOKUP(Order_Details[[#This Row],[Order ID]], List_of_orders[Order ID], List_of_orders[CustomerName])</f>
        <v>Krutika</v>
      </c>
      <c r="J1044" s="7" t="str">
        <f>_xlfn.XLOOKUP(Order_Details[[#This Row],[Order ID]], List_of_orders[Order ID], List_of_orders[City])</f>
        <v>Hyderabad</v>
      </c>
      <c r="K1044" s="8" t="str">
        <f>TEXT(Order_Details[[#This Row],[Order Date]], "YY-MMM")</f>
        <v>19-Jan</v>
      </c>
      <c r="L1044" s="11">
        <f>Order_Details[[#This Row],[Profit]]/Order_Details[[#This Row],[Amount]]</f>
        <v>0.18965517241379309</v>
      </c>
      <c r="M1044" s="8">
        <f>YEAR(Order_Details[[#This Row],[Order Date]])</f>
        <v>2019</v>
      </c>
      <c r="N1044" s="8">
        <f>ROUNDUP(MONTH(Order_Details[[#This Row],[Order Date]])/3, 0)</f>
        <v>1</v>
      </c>
    </row>
    <row r="1045" spans="1:14">
      <c r="A1045" s="1" t="s">
        <v>837</v>
      </c>
      <c r="B1045" s="1">
        <v>67</v>
      </c>
      <c r="C1045" s="1">
        <v>20</v>
      </c>
      <c r="D1045" s="1">
        <v>4</v>
      </c>
      <c r="E1045" s="1" t="s">
        <v>1076</v>
      </c>
      <c r="F1045" s="1" t="s">
        <v>1110</v>
      </c>
      <c r="G1045" s="7" t="str">
        <f>_xlfn.XLOOKUP(Order_Details[[#This Row],[Order ID]], List_of_orders[Order ID], List_of_orders[State])</f>
        <v>Andhra Pradesh</v>
      </c>
      <c r="H1045" s="10">
        <f>_xlfn.XLOOKUP(Order_Details[[#This Row],[Order ID]], List_of_orders[Order ID], List_of_orders[Order Date (Clean)])</f>
        <v>43479</v>
      </c>
      <c r="I1045" s="7" t="str">
        <f>_xlfn.XLOOKUP(Order_Details[[#This Row],[Order ID]], List_of_orders[Order ID], List_of_orders[CustomerName])</f>
        <v>Krutika</v>
      </c>
      <c r="J1045" s="7" t="str">
        <f>_xlfn.XLOOKUP(Order_Details[[#This Row],[Order ID]], List_of_orders[Order ID], List_of_orders[City])</f>
        <v>Hyderabad</v>
      </c>
      <c r="K1045" s="8" t="str">
        <f>TEXT(Order_Details[[#This Row],[Order Date]], "YY-MMM")</f>
        <v>19-Jan</v>
      </c>
      <c r="L1045" s="11">
        <f>Order_Details[[#This Row],[Profit]]/Order_Details[[#This Row],[Amount]]</f>
        <v>0.29850746268656714</v>
      </c>
      <c r="M1045" s="8">
        <f>YEAR(Order_Details[[#This Row],[Order Date]])</f>
        <v>2019</v>
      </c>
      <c r="N1045" s="8">
        <f>ROUNDUP(MONTH(Order_Details[[#This Row],[Order Date]])/3, 0)</f>
        <v>1</v>
      </c>
    </row>
    <row r="1046" spans="1:14">
      <c r="A1046" s="1" t="s">
        <v>837</v>
      </c>
      <c r="B1046" s="1">
        <v>744</v>
      </c>
      <c r="C1046" s="1">
        <v>119</v>
      </c>
      <c r="D1046" s="1">
        <v>6</v>
      </c>
      <c r="E1046" s="1" t="s">
        <v>1077</v>
      </c>
      <c r="F1046" s="1" t="s">
        <v>1114</v>
      </c>
      <c r="G1046" s="7" t="str">
        <f>_xlfn.XLOOKUP(Order_Details[[#This Row],[Order ID]], List_of_orders[Order ID], List_of_orders[State])</f>
        <v>Andhra Pradesh</v>
      </c>
      <c r="H1046" s="10">
        <f>_xlfn.XLOOKUP(Order_Details[[#This Row],[Order ID]], List_of_orders[Order ID], List_of_orders[Order Date (Clean)])</f>
        <v>43479</v>
      </c>
      <c r="I1046" s="7" t="str">
        <f>_xlfn.XLOOKUP(Order_Details[[#This Row],[Order ID]], List_of_orders[Order ID], List_of_orders[CustomerName])</f>
        <v>Krutika</v>
      </c>
      <c r="J1046" s="7" t="str">
        <f>_xlfn.XLOOKUP(Order_Details[[#This Row],[Order ID]], List_of_orders[Order ID], List_of_orders[City])</f>
        <v>Hyderabad</v>
      </c>
      <c r="K1046" s="8" t="str">
        <f>TEXT(Order_Details[[#This Row],[Order Date]], "YY-MMM")</f>
        <v>19-Jan</v>
      </c>
      <c r="L1046" s="11">
        <f>Order_Details[[#This Row],[Profit]]/Order_Details[[#This Row],[Amount]]</f>
        <v>0.15994623655913978</v>
      </c>
      <c r="M1046" s="8">
        <f>YEAR(Order_Details[[#This Row],[Order Date]])</f>
        <v>2019</v>
      </c>
      <c r="N1046" s="8">
        <f>ROUNDUP(MONTH(Order_Details[[#This Row],[Order Date]])/3, 0)</f>
        <v>1</v>
      </c>
    </row>
    <row r="1047" spans="1:14">
      <c r="A1047" s="1" t="s">
        <v>837</v>
      </c>
      <c r="B1047" s="1">
        <v>1218</v>
      </c>
      <c r="C1047" s="1">
        <v>352</v>
      </c>
      <c r="D1047" s="1">
        <v>9</v>
      </c>
      <c r="E1047" s="1" t="s">
        <v>1075</v>
      </c>
      <c r="F1047" s="1" t="s">
        <v>1101</v>
      </c>
      <c r="G1047" s="7" t="str">
        <f>_xlfn.XLOOKUP(Order_Details[[#This Row],[Order ID]], List_of_orders[Order ID], List_of_orders[State])</f>
        <v>Andhra Pradesh</v>
      </c>
      <c r="H1047" s="10">
        <f>_xlfn.XLOOKUP(Order_Details[[#This Row],[Order ID]], List_of_orders[Order ID], List_of_orders[Order Date (Clean)])</f>
        <v>43479</v>
      </c>
      <c r="I1047" s="7" t="str">
        <f>_xlfn.XLOOKUP(Order_Details[[#This Row],[Order ID]], List_of_orders[Order ID], List_of_orders[CustomerName])</f>
        <v>Krutika</v>
      </c>
      <c r="J1047" s="7" t="str">
        <f>_xlfn.XLOOKUP(Order_Details[[#This Row],[Order ID]], List_of_orders[Order ID], List_of_orders[City])</f>
        <v>Hyderabad</v>
      </c>
      <c r="K1047" s="8" t="str">
        <f>TEXT(Order_Details[[#This Row],[Order Date]], "YY-MMM")</f>
        <v>19-Jan</v>
      </c>
      <c r="L1047" s="11">
        <f>Order_Details[[#This Row],[Profit]]/Order_Details[[#This Row],[Amount]]</f>
        <v>0.28899835796387519</v>
      </c>
      <c r="M1047" s="8">
        <f>YEAR(Order_Details[[#This Row],[Order Date]])</f>
        <v>2019</v>
      </c>
      <c r="N1047" s="8">
        <f>ROUNDUP(MONTH(Order_Details[[#This Row],[Order Date]])/3, 0)</f>
        <v>1</v>
      </c>
    </row>
    <row r="1048" spans="1:14">
      <c r="A1048" s="1" t="s">
        <v>837</v>
      </c>
      <c r="B1048" s="1">
        <v>87</v>
      </c>
      <c r="C1048" s="1">
        <v>36</v>
      </c>
      <c r="D1048" s="1">
        <v>5</v>
      </c>
      <c r="E1048" s="1" t="s">
        <v>1076</v>
      </c>
      <c r="F1048" s="1" t="s">
        <v>1102</v>
      </c>
      <c r="G1048" s="7" t="str">
        <f>_xlfn.XLOOKUP(Order_Details[[#This Row],[Order ID]], List_of_orders[Order ID], List_of_orders[State])</f>
        <v>Andhra Pradesh</v>
      </c>
      <c r="H1048" s="10">
        <f>_xlfn.XLOOKUP(Order_Details[[#This Row],[Order ID]], List_of_orders[Order ID], List_of_orders[Order Date (Clean)])</f>
        <v>43479</v>
      </c>
      <c r="I1048" s="7" t="str">
        <f>_xlfn.XLOOKUP(Order_Details[[#This Row],[Order ID]], List_of_orders[Order ID], List_of_orders[CustomerName])</f>
        <v>Krutika</v>
      </c>
      <c r="J1048" s="7" t="str">
        <f>_xlfn.XLOOKUP(Order_Details[[#This Row],[Order ID]], List_of_orders[Order ID], List_of_orders[City])</f>
        <v>Hyderabad</v>
      </c>
      <c r="K1048" s="8" t="str">
        <f>TEXT(Order_Details[[#This Row],[Order Date]], "YY-MMM")</f>
        <v>19-Jan</v>
      </c>
      <c r="L1048" s="11">
        <f>Order_Details[[#This Row],[Profit]]/Order_Details[[#This Row],[Amount]]</f>
        <v>0.41379310344827586</v>
      </c>
      <c r="M1048" s="8">
        <f>YEAR(Order_Details[[#This Row],[Order Date]])</f>
        <v>2019</v>
      </c>
      <c r="N1048" s="8">
        <f>ROUNDUP(MONTH(Order_Details[[#This Row],[Order Date]])/3, 0)</f>
        <v>1</v>
      </c>
    </row>
    <row r="1049" spans="1:14">
      <c r="A1049" s="1" t="s">
        <v>839</v>
      </c>
      <c r="B1049" s="1">
        <v>891</v>
      </c>
      <c r="C1049" s="1">
        <v>0</v>
      </c>
      <c r="D1049" s="1">
        <v>5</v>
      </c>
      <c r="E1049" s="1" t="s">
        <v>1076</v>
      </c>
      <c r="F1049" s="1" t="s">
        <v>1106</v>
      </c>
      <c r="G1049" s="7" t="str">
        <f>_xlfn.XLOOKUP(Order_Details[[#This Row],[Order ID]], List_of_orders[Order ID], List_of_orders[State])</f>
        <v>Gujarat</v>
      </c>
      <c r="H1049" s="10">
        <f>_xlfn.XLOOKUP(Order_Details[[#This Row],[Order ID]], List_of_orders[Order ID], List_of_orders[Order Date (Clean)])</f>
        <v>43479</v>
      </c>
      <c r="I1049" s="7" t="str">
        <f>_xlfn.XLOOKUP(Order_Details[[#This Row],[Order ID]], List_of_orders[Order ID], List_of_orders[CustomerName])</f>
        <v>Trupti</v>
      </c>
      <c r="J1049" s="7" t="str">
        <f>_xlfn.XLOOKUP(Order_Details[[#This Row],[Order ID]], List_of_orders[Order ID], List_of_orders[City])</f>
        <v>Ahmedabad</v>
      </c>
      <c r="K1049" s="8" t="str">
        <f>TEXT(Order_Details[[#This Row],[Order Date]], "YY-MMM")</f>
        <v>19-Jan</v>
      </c>
      <c r="L1049" s="11">
        <f>Order_Details[[#This Row],[Profit]]/Order_Details[[#This Row],[Amount]]</f>
        <v>0</v>
      </c>
      <c r="M1049" s="8">
        <f>YEAR(Order_Details[[#This Row],[Order Date]])</f>
        <v>2019</v>
      </c>
      <c r="N1049" s="8">
        <f>ROUNDUP(MONTH(Order_Details[[#This Row],[Order Date]])/3, 0)</f>
        <v>1</v>
      </c>
    </row>
    <row r="1050" spans="1:14">
      <c r="A1050" s="1" t="s">
        <v>839</v>
      </c>
      <c r="B1050" s="1">
        <v>146</v>
      </c>
      <c r="C1050" s="1">
        <v>66</v>
      </c>
      <c r="D1050" s="1">
        <v>1</v>
      </c>
      <c r="E1050" s="1" t="s">
        <v>1077</v>
      </c>
      <c r="F1050" s="1" t="s">
        <v>1105</v>
      </c>
      <c r="G1050" s="7" t="str">
        <f>_xlfn.XLOOKUP(Order_Details[[#This Row],[Order ID]], List_of_orders[Order ID], List_of_orders[State])</f>
        <v>Gujarat</v>
      </c>
      <c r="H1050" s="10">
        <f>_xlfn.XLOOKUP(Order_Details[[#This Row],[Order ID]], List_of_orders[Order ID], List_of_orders[Order Date (Clean)])</f>
        <v>43479</v>
      </c>
      <c r="I1050" s="7" t="str">
        <f>_xlfn.XLOOKUP(Order_Details[[#This Row],[Order ID]], List_of_orders[Order ID], List_of_orders[CustomerName])</f>
        <v>Trupti</v>
      </c>
      <c r="J1050" s="7" t="str">
        <f>_xlfn.XLOOKUP(Order_Details[[#This Row],[Order ID]], List_of_orders[Order ID], List_of_orders[City])</f>
        <v>Ahmedabad</v>
      </c>
      <c r="K1050" s="8" t="str">
        <f>TEXT(Order_Details[[#This Row],[Order Date]], "YY-MMM")</f>
        <v>19-Jan</v>
      </c>
      <c r="L1050" s="11">
        <f>Order_Details[[#This Row],[Profit]]/Order_Details[[#This Row],[Amount]]</f>
        <v>0.45205479452054792</v>
      </c>
      <c r="M1050" s="8">
        <f>YEAR(Order_Details[[#This Row],[Order Date]])</f>
        <v>2019</v>
      </c>
      <c r="N1050" s="8">
        <f>ROUNDUP(MONTH(Order_Details[[#This Row],[Order Date]])/3, 0)</f>
        <v>1</v>
      </c>
    </row>
    <row r="1051" spans="1:14">
      <c r="A1051" s="1" t="s">
        <v>839</v>
      </c>
      <c r="B1051" s="1">
        <v>44</v>
      </c>
      <c r="C1051" s="1">
        <v>10</v>
      </c>
      <c r="D1051" s="1">
        <v>3</v>
      </c>
      <c r="E1051" s="1" t="s">
        <v>1076</v>
      </c>
      <c r="F1051" s="1" t="s">
        <v>1102</v>
      </c>
      <c r="G1051" s="7" t="str">
        <f>_xlfn.XLOOKUP(Order_Details[[#This Row],[Order ID]], List_of_orders[Order ID], List_of_orders[State])</f>
        <v>Gujarat</v>
      </c>
      <c r="H1051" s="10">
        <f>_xlfn.XLOOKUP(Order_Details[[#This Row],[Order ID]], List_of_orders[Order ID], List_of_orders[Order Date (Clean)])</f>
        <v>43479</v>
      </c>
      <c r="I1051" s="7" t="str">
        <f>_xlfn.XLOOKUP(Order_Details[[#This Row],[Order ID]], List_of_orders[Order ID], List_of_orders[CustomerName])</f>
        <v>Trupti</v>
      </c>
      <c r="J1051" s="7" t="str">
        <f>_xlfn.XLOOKUP(Order_Details[[#This Row],[Order ID]], List_of_orders[Order ID], List_of_orders[City])</f>
        <v>Ahmedabad</v>
      </c>
      <c r="K1051" s="8" t="str">
        <f>TEXT(Order_Details[[#This Row],[Order Date]], "YY-MMM")</f>
        <v>19-Jan</v>
      </c>
      <c r="L1051" s="11">
        <f>Order_Details[[#This Row],[Profit]]/Order_Details[[#This Row],[Amount]]</f>
        <v>0.22727272727272727</v>
      </c>
      <c r="M1051" s="8">
        <f>YEAR(Order_Details[[#This Row],[Order Date]])</f>
        <v>2019</v>
      </c>
      <c r="N1051" s="8">
        <f>ROUNDUP(MONTH(Order_Details[[#This Row],[Order Date]])/3, 0)</f>
        <v>1</v>
      </c>
    </row>
    <row r="1052" spans="1:14">
      <c r="A1052" s="1" t="s">
        <v>839</v>
      </c>
      <c r="B1052" s="1">
        <v>27</v>
      </c>
      <c r="C1052" s="1">
        <v>0</v>
      </c>
      <c r="D1052" s="1">
        <v>2</v>
      </c>
      <c r="E1052" s="1" t="s">
        <v>1076</v>
      </c>
      <c r="F1052" s="1" t="s">
        <v>1112</v>
      </c>
      <c r="G1052" s="7" t="str">
        <f>_xlfn.XLOOKUP(Order_Details[[#This Row],[Order ID]], List_of_orders[Order ID], List_of_orders[State])</f>
        <v>Gujarat</v>
      </c>
      <c r="H1052" s="10">
        <f>_xlfn.XLOOKUP(Order_Details[[#This Row],[Order ID]], List_of_orders[Order ID], List_of_orders[Order Date (Clean)])</f>
        <v>43479</v>
      </c>
      <c r="I1052" s="7" t="str">
        <f>_xlfn.XLOOKUP(Order_Details[[#This Row],[Order ID]], List_of_orders[Order ID], List_of_orders[CustomerName])</f>
        <v>Trupti</v>
      </c>
      <c r="J1052" s="7" t="str">
        <f>_xlfn.XLOOKUP(Order_Details[[#This Row],[Order ID]], List_of_orders[Order ID], List_of_orders[City])</f>
        <v>Ahmedabad</v>
      </c>
      <c r="K1052" s="8" t="str">
        <f>TEXT(Order_Details[[#This Row],[Order Date]], "YY-MMM")</f>
        <v>19-Jan</v>
      </c>
      <c r="L1052" s="11">
        <f>Order_Details[[#This Row],[Profit]]/Order_Details[[#This Row],[Amount]]</f>
        <v>0</v>
      </c>
      <c r="M1052" s="8">
        <f>YEAR(Order_Details[[#This Row],[Order Date]])</f>
        <v>2019</v>
      </c>
      <c r="N1052" s="8">
        <f>ROUNDUP(MONTH(Order_Details[[#This Row],[Order Date]])/3, 0)</f>
        <v>1</v>
      </c>
    </row>
    <row r="1053" spans="1:14">
      <c r="A1053" s="1" t="s">
        <v>839</v>
      </c>
      <c r="B1053" s="1">
        <v>48</v>
      </c>
      <c r="C1053" s="1">
        <v>11</v>
      </c>
      <c r="D1053" s="1">
        <v>2</v>
      </c>
      <c r="E1053" s="1" t="s">
        <v>1076</v>
      </c>
      <c r="F1053" s="1" t="s">
        <v>1111</v>
      </c>
      <c r="G1053" s="7" t="str">
        <f>_xlfn.XLOOKUP(Order_Details[[#This Row],[Order ID]], List_of_orders[Order ID], List_of_orders[State])</f>
        <v>Gujarat</v>
      </c>
      <c r="H1053" s="10">
        <f>_xlfn.XLOOKUP(Order_Details[[#This Row],[Order ID]], List_of_orders[Order ID], List_of_orders[Order Date (Clean)])</f>
        <v>43479</v>
      </c>
      <c r="I1053" s="7" t="str">
        <f>_xlfn.XLOOKUP(Order_Details[[#This Row],[Order ID]], List_of_orders[Order ID], List_of_orders[CustomerName])</f>
        <v>Trupti</v>
      </c>
      <c r="J1053" s="7" t="str">
        <f>_xlfn.XLOOKUP(Order_Details[[#This Row],[Order ID]], List_of_orders[Order ID], List_of_orders[City])</f>
        <v>Ahmedabad</v>
      </c>
      <c r="K1053" s="8" t="str">
        <f>TEXT(Order_Details[[#This Row],[Order Date]], "YY-MMM")</f>
        <v>19-Jan</v>
      </c>
      <c r="L1053" s="11">
        <f>Order_Details[[#This Row],[Profit]]/Order_Details[[#This Row],[Amount]]</f>
        <v>0.22916666666666666</v>
      </c>
      <c r="M1053" s="8">
        <f>YEAR(Order_Details[[#This Row],[Order Date]])</f>
        <v>2019</v>
      </c>
      <c r="N1053" s="8">
        <f>ROUNDUP(MONTH(Order_Details[[#This Row],[Order Date]])/3, 0)</f>
        <v>1</v>
      </c>
    </row>
    <row r="1054" spans="1:14">
      <c r="A1054" s="1" t="s">
        <v>839</v>
      </c>
      <c r="B1054" s="1">
        <v>189</v>
      </c>
      <c r="C1054" s="1">
        <v>60</v>
      </c>
      <c r="D1054" s="1">
        <v>4</v>
      </c>
      <c r="E1054" s="1" t="s">
        <v>1075</v>
      </c>
      <c r="F1054" s="1" t="s">
        <v>1116</v>
      </c>
      <c r="G1054" s="7" t="str">
        <f>_xlfn.XLOOKUP(Order_Details[[#This Row],[Order ID]], List_of_orders[Order ID], List_of_orders[State])</f>
        <v>Gujarat</v>
      </c>
      <c r="H1054" s="10">
        <f>_xlfn.XLOOKUP(Order_Details[[#This Row],[Order ID]], List_of_orders[Order ID], List_of_orders[Order Date (Clean)])</f>
        <v>43479</v>
      </c>
      <c r="I1054" s="7" t="str">
        <f>_xlfn.XLOOKUP(Order_Details[[#This Row],[Order ID]], List_of_orders[Order ID], List_of_orders[CustomerName])</f>
        <v>Trupti</v>
      </c>
      <c r="J1054" s="7" t="str">
        <f>_xlfn.XLOOKUP(Order_Details[[#This Row],[Order ID]], List_of_orders[Order ID], List_of_orders[City])</f>
        <v>Ahmedabad</v>
      </c>
      <c r="K1054" s="8" t="str">
        <f>TEXT(Order_Details[[#This Row],[Order Date]], "YY-MMM")</f>
        <v>19-Jan</v>
      </c>
      <c r="L1054" s="11">
        <f>Order_Details[[#This Row],[Profit]]/Order_Details[[#This Row],[Amount]]</f>
        <v>0.31746031746031744</v>
      </c>
      <c r="M1054" s="8">
        <f>YEAR(Order_Details[[#This Row],[Order Date]])</f>
        <v>2019</v>
      </c>
      <c r="N1054" s="8">
        <f>ROUNDUP(MONTH(Order_Details[[#This Row],[Order Date]])/3, 0)</f>
        <v>1</v>
      </c>
    </row>
    <row r="1055" spans="1:14">
      <c r="A1055" s="1" t="s">
        <v>839</v>
      </c>
      <c r="B1055" s="1">
        <v>524</v>
      </c>
      <c r="C1055" s="1">
        <v>-25</v>
      </c>
      <c r="D1055" s="1">
        <v>2</v>
      </c>
      <c r="E1055" s="1" t="s">
        <v>1077</v>
      </c>
      <c r="F1055" s="1" t="s">
        <v>1104</v>
      </c>
      <c r="G1055" s="7" t="str">
        <f>_xlfn.XLOOKUP(Order_Details[[#This Row],[Order ID]], List_of_orders[Order ID], List_of_orders[State])</f>
        <v>Gujarat</v>
      </c>
      <c r="H1055" s="10">
        <f>_xlfn.XLOOKUP(Order_Details[[#This Row],[Order ID]], List_of_orders[Order ID], List_of_orders[Order Date (Clean)])</f>
        <v>43479</v>
      </c>
      <c r="I1055" s="7" t="str">
        <f>_xlfn.XLOOKUP(Order_Details[[#This Row],[Order ID]], List_of_orders[Order ID], List_of_orders[CustomerName])</f>
        <v>Trupti</v>
      </c>
      <c r="J1055" s="7" t="str">
        <f>_xlfn.XLOOKUP(Order_Details[[#This Row],[Order ID]], List_of_orders[Order ID], List_of_orders[City])</f>
        <v>Ahmedabad</v>
      </c>
      <c r="K1055" s="8" t="str">
        <f>TEXT(Order_Details[[#This Row],[Order Date]], "YY-MMM")</f>
        <v>19-Jan</v>
      </c>
      <c r="L1055" s="11">
        <f>Order_Details[[#This Row],[Profit]]/Order_Details[[#This Row],[Amount]]</f>
        <v>-4.7709923664122141E-2</v>
      </c>
      <c r="M1055" s="8">
        <f>YEAR(Order_Details[[#This Row],[Order Date]])</f>
        <v>2019</v>
      </c>
      <c r="N1055" s="8">
        <f>ROUNDUP(MONTH(Order_Details[[#This Row],[Order Date]])/3, 0)</f>
        <v>1</v>
      </c>
    </row>
    <row r="1056" spans="1:14">
      <c r="A1056" s="1" t="s">
        <v>839</v>
      </c>
      <c r="B1056" s="1">
        <v>148</v>
      </c>
      <c r="C1056" s="1">
        <v>9</v>
      </c>
      <c r="D1056" s="1">
        <v>1</v>
      </c>
      <c r="E1056" s="1" t="s">
        <v>1077</v>
      </c>
      <c r="F1056" s="1" t="s">
        <v>1104</v>
      </c>
      <c r="G1056" s="7" t="str">
        <f>_xlfn.XLOOKUP(Order_Details[[#This Row],[Order ID]], List_of_orders[Order ID], List_of_orders[State])</f>
        <v>Gujarat</v>
      </c>
      <c r="H1056" s="10">
        <f>_xlfn.XLOOKUP(Order_Details[[#This Row],[Order ID]], List_of_orders[Order ID], List_of_orders[Order Date (Clean)])</f>
        <v>43479</v>
      </c>
      <c r="I1056" s="7" t="str">
        <f>_xlfn.XLOOKUP(Order_Details[[#This Row],[Order ID]], List_of_orders[Order ID], List_of_orders[CustomerName])</f>
        <v>Trupti</v>
      </c>
      <c r="J1056" s="7" t="str">
        <f>_xlfn.XLOOKUP(Order_Details[[#This Row],[Order ID]], List_of_orders[Order ID], List_of_orders[City])</f>
        <v>Ahmedabad</v>
      </c>
      <c r="K1056" s="8" t="str">
        <f>TEXT(Order_Details[[#This Row],[Order Date]], "YY-MMM")</f>
        <v>19-Jan</v>
      </c>
      <c r="L1056" s="11">
        <f>Order_Details[[#This Row],[Profit]]/Order_Details[[#This Row],[Amount]]</f>
        <v>6.0810810810810814E-2</v>
      </c>
      <c r="M1056" s="8">
        <f>YEAR(Order_Details[[#This Row],[Order Date]])</f>
        <v>2019</v>
      </c>
      <c r="N1056" s="8">
        <f>ROUNDUP(MONTH(Order_Details[[#This Row],[Order Date]])/3, 0)</f>
        <v>1</v>
      </c>
    </row>
    <row r="1057" spans="1:14">
      <c r="A1057" s="1" t="s">
        <v>841</v>
      </c>
      <c r="B1057" s="1">
        <v>1716</v>
      </c>
      <c r="C1057" s="1">
        <v>309</v>
      </c>
      <c r="D1057" s="1">
        <v>7</v>
      </c>
      <c r="E1057" s="1" t="s">
        <v>1077</v>
      </c>
      <c r="F1057" s="1" t="s">
        <v>1115</v>
      </c>
      <c r="G1057" s="7" t="str">
        <f>_xlfn.XLOOKUP(Order_Details[[#This Row],[Order ID]], List_of_orders[Order ID], List_of_orders[State])</f>
        <v>Maharashtra</v>
      </c>
      <c r="H1057" s="10">
        <f>_xlfn.XLOOKUP(Order_Details[[#This Row],[Order ID]], List_of_orders[Order ID], List_of_orders[Order Date (Clean)])</f>
        <v>43481</v>
      </c>
      <c r="I1057" s="7" t="str">
        <f>_xlfn.XLOOKUP(Order_Details[[#This Row],[Order ID]], List_of_orders[Order ID], List_of_orders[CustomerName])</f>
        <v>Soumya</v>
      </c>
      <c r="J1057" s="7" t="str">
        <f>_xlfn.XLOOKUP(Order_Details[[#This Row],[Order ID]], List_of_orders[Order ID], List_of_orders[City])</f>
        <v>Pune</v>
      </c>
      <c r="K1057" s="8" t="str">
        <f>TEXT(Order_Details[[#This Row],[Order Date]], "YY-MMM")</f>
        <v>19-Jan</v>
      </c>
      <c r="L1057" s="11">
        <f>Order_Details[[#This Row],[Profit]]/Order_Details[[#This Row],[Amount]]</f>
        <v>0.18006993006993008</v>
      </c>
      <c r="M1057" s="8">
        <f>YEAR(Order_Details[[#This Row],[Order Date]])</f>
        <v>2019</v>
      </c>
      <c r="N1057" s="8">
        <f>ROUNDUP(MONTH(Order_Details[[#This Row],[Order Date]])/3, 0)</f>
        <v>1</v>
      </c>
    </row>
    <row r="1058" spans="1:14">
      <c r="A1058" s="1" t="s">
        <v>841</v>
      </c>
      <c r="B1058" s="1">
        <v>45</v>
      </c>
      <c r="C1058" s="1">
        <v>8</v>
      </c>
      <c r="D1058" s="1">
        <v>4</v>
      </c>
      <c r="E1058" s="1" t="s">
        <v>1076</v>
      </c>
      <c r="F1058" s="1" t="s">
        <v>1117</v>
      </c>
      <c r="G1058" s="7" t="str">
        <f>_xlfn.XLOOKUP(Order_Details[[#This Row],[Order ID]], List_of_orders[Order ID], List_of_orders[State])</f>
        <v>Maharashtra</v>
      </c>
      <c r="H1058" s="10">
        <f>_xlfn.XLOOKUP(Order_Details[[#This Row],[Order ID]], List_of_orders[Order ID], List_of_orders[Order Date (Clean)])</f>
        <v>43481</v>
      </c>
      <c r="I1058" s="7" t="str">
        <f>_xlfn.XLOOKUP(Order_Details[[#This Row],[Order ID]], List_of_orders[Order ID], List_of_orders[CustomerName])</f>
        <v>Soumya</v>
      </c>
      <c r="J1058" s="7" t="str">
        <f>_xlfn.XLOOKUP(Order_Details[[#This Row],[Order ID]], List_of_orders[Order ID], List_of_orders[City])</f>
        <v>Pune</v>
      </c>
      <c r="K1058" s="8" t="str">
        <f>TEXT(Order_Details[[#This Row],[Order Date]], "YY-MMM")</f>
        <v>19-Jan</v>
      </c>
      <c r="L1058" s="11">
        <f>Order_Details[[#This Row],[Profit]]/Order_Details[[#This Row],[Amount]]</f>
        <v>0.17777777777777778</v>
      </c>
      <c r="M1058" s="8">
        <f>YEAR(Order_Details[[#This Row],[Order Date]])</f>
        <v>2019</v>
      </c>
      <c r="N1058" s="8">
        <f>ROUNDUP(MONTH(Order_Details[[#This Row],[Order Date]])/3, 0)</f>
        <v>1</v>
      </c>
    </row>
    <row r="1059" spans="1:14">
      <c r="A1059" s="1" t="s">
        <v>841</v>
      </c>
      <c r="B1059" s="1">
        <v>39</v>
      </c>
      <c r="C1059" s="1">
        <v>2</v>
      </c>
      <c r="D1059" s="1">
        <v>2</v>
      </c>
      <c r="E1059" s="1" t="s">
        <v>1076</v>
      </c>
      <c r="F1059" s="1" t="s">
        <v>1106</v>
      </c>
      <c r="G1059" s="7" t="str">
        <f>_xlfn.XLOOKUP(Order_Details[[#This Row],[Order ID]], List_of_orders[Order ID], List_of_orders[State])</f>
        <v>Maharashtra</v>
      </c>
      <c r="H1059" s="10">
        <f>_xlfn.XLOOKUP(Order_Details[[#This Row],[Order ID]], List_of_orders[Order ID], List_of_orders[Order Date (Clean)])</f>
        <v>43481</v>
      </c>
      <c r="I1059" s="7" t="str">
        <f>_xlfn.XLOOKUP(Order_Details[[#This Row],[Order ID]], List_of_orders[Order ID], List_of_orders[CustomerName])</f>
        <v>Soumya</v>
      </c>
      <c r="J1059" s="7" t="str">
        <f>_xlfn.XLOOKUP(Order_Details[[#This Row],[Order ID]], List_of_orders[Order ID], List_of_orders[City])</f>
        <v>Pune</v>
      </c>
      <c r="K1059" s="8" t="str">
        <f>TEXT(Order_Details[[#This Row],[Order Date]], "YY-MMM")</f>
        <v>19-Jan</v>
      </c>
      <c r="L1059" s="11">
        <f>Order_Details[[#This Row],[Profit]]/Order_Details[[#This Row],[Amount]]</f>
        <v>5.128205128205128E-2</v>
      </c>
      <c r="M1059" s="8">
        <f>YEAR(Order_Details[[#This Row],[Order Date]])</f>
        <v>2019</v>
      </c>
      <c r="N1059" s="8">
        <f>ROUNDUP(MONTH(Order_Details[[#This Row],[Order Date]])/3, 0)</f>
        <v>1</v>
      </c>
    </row>
    <row r="1060" spans="1:14">
      <c r="A1060" s="1" t="s">
        <v>841</v>
      </c>
      <c r="B1060" s="1">
        <v>110</v>
      </c>
      <c r="C1060" s="1">
        <v>20</v>
      </c>
      <c r="D1060" s="1">
        <v>5</v>
      </c>
      <c r="E1060" s="1" t="s">
        <v>1076</v>
      </c>
      <c r="F1060" s="1" t="s">
        <v>1102</v>
      </c>
      <c r="G1060" s="7" t="str">
        <f>_xlfn.XLOOKUP(Order_Details[[#This Row],[Order ID]], List_of_orders[Order ID], List_of_orders[State])</f>
        <v>Maharashtra</v>
      </c>
      <c r="H1060" s="10">
        <f>_xlfn.XLOOKUP(Order_Details[[#This Row],[Order ID]], List_of_orders[Order ID], List_of_orders[Order Date (Clean)])</f>
        <v>43481</v>
      </c>
      <c r="I1060" s="7" t="str">
        <f>_xlfn.XLOOKUP(Order_Details[[#This Row],[Order ID]], List_of_orders[Order ID], List_of_orders[CustomerName])</f>
        <v>Soumya</v>
      </c>
      <c r="J1060" s="7" t="str">
        <f>_xlfn.XLOOKUP(Order_Details[[#This Row],[Order ID]], List_of_orders[Order ID], List_of_orders[City])</f>
        <v>Pune</v>
      </c>
      <c r="K1060" s="8" t="str">
        <f>TEXT(Order_Details[[#This Row],[Order Date]], "YY-MMM")</f>
        <v>19-Jan</v>
      </c>
      <c r="L1060" s="11">
        <f>Order_Details[[#This Row],[Profit]]/Order_Details[[#This Row],[Amount]]</f>
        <v>0.18181818181818182</v>
      </c>
      <c r="M1060" s="8">
        <f>YEAR(Order_Details[[#This Row],[Order Date]])</f>
        <v>2019</v>
      </c>
      <c r="N1060" s="8">
        <f>ROUNDUP(MONTH(Order_Details[[#This Row],[Order Date]])/3, 0)</f>
        <v>1</v>
      </c>
    </row>
    <row r="1061" spans="1:14">
      <c r="A1061" s="1" t="s">
        <v>841</v>
      </c>
      <c r="B1061" s="1">
        <v>54</v>
      </c>
      <c r="C1061" s="1">
        <v>14</v>
      </c>
      <c r="D1061" s="1">
        <v>3</v>
      </c>
      <c r="E1061" s="1" t="s">
        <v>1076</v>
      </c>
      <c r="F1061" s="1" t="s">
        <v>1110</v>
      </c>
      <c r="G1061" s="7" t="str">
        <f>_xlfn.XLOOKUP(Order_Details[[#This Row],[Order ID]], List_of_orders[Order ID], List_of_orders[State])</f>
        <v>Maharashtra</v>
      </c>
      <c r="H1061" s="10">
        <f>_xlfn.XLOOKUP(Order_Details[[#This Row],[Order ID]], List_of_orders[Order ID], List_of_orders[Order Date (Clean)])</f>
        <v>43481</v>
      </c>
      <c r="I1061" s="7" t="str">
        <f>_xlfn.XLOOKUP(Order_Details[[#This Row],[Order ID]], List_of_orders[Order ID], List_of_orders[CustomerName])</f>
        <v>Soumya</v>
      </c>
      <c r="J1061" s="7" t="str">
        <f>_xlfn.XLOOKUP(Order_Details[[#This Row],[Order ID]], List_of_orders[Order ID], List_of_orders[City])</f>
        <v>Pune</v>
      </c>
      <c r="K1061" s="8" t="str">
        <f>TEXT(Order_Details[[#This Row],[Order Date]], "YY-MMM")</f>
        <v>19-Jan</v>
      </c>
      <c r="L1061" s="11">
        <f>Order_Details[[#This Row],[Profit]]/Order_Details[[#This Row],[Amount]]</f>
        <v>0.25925925925925924</v>
      </c>
      <c r="M1061" s="8">
        <f>YEAR(Order_Details[[#This Row],[Order Date]])</f>
        <v>2019</v>
      </c>
      <c r="N1061" s="8">
        <f>ROUNDUP(MONTH(Order_Details[[#This Row],[Order Date]])/3, 0)</f>
        <v>1</v>
      </c>
    </row>
    <row r="1062" spans="1:14">
      <c r="A1062" s="1" t="s">
        <v>841</v>
      </c>
      <c r="B1062" s="1">
        <v>954</v>
      </c>
      <c r="C1062" s="1">
        <v>95</v>
      </c>
      <c r="D1062" s="1">
        <v>3</v>
      </c>
      <c r="E1062" s="1" t="s">
        <v>1077</v>
      </c>
      <c r="F1062" s="1" t="s">
        <v>1114</v>
      </c>
      <c r="G1062" s="7" t="str">
        <f>_xlfn.XLOOKUP(Order_Details[[#This Row],[Order ID]], List_of_orders[Order ID], List_of_orders[State])</f>
        <v>Maharashtra</v>
      </c>
      <c r="H1062" s="10">
        <f>_xlfn.XLOOKUP(Order_Details[[#This Row],[Order ID]], List_of_orders[Order ID], List_of_orders[Order Date (Clean)])</f>
        <v>43481</v>
      </c>
      <c r="I1062" s="7" t="str">
        <f>_xlfn.XLOOKUP(Order_Details[[#This Row],[Order ID]], List_of_orders[Order ID], List_of_orders[CustomerName])</f>
        <v>Soumya</v>
      </c>
      <c r="J1062" s="7" t="str">
        <f>_xlfn.XLOOKUP(Order_Details[[#This Row],[Order ID]], List_of_orders[Order ID], List_of_orders[City])</f>
        <v>Pune</v>
      </c>
      <c r="K1062" s="8" t="str">
        <f>TEXT(Order_Details[[#This Row],[Order Date]], "YY-MMM")</f>
        <v>19-Jan</v>
      </c>
      <c r="L1062" s="11">
        <f>Order_Details[[#This Row],[Profit]]/Order_Details[[#This Row],[Amount]]</f>
        <v>9.9580712788259959E-2</v>
      </c>
      <c r="M1062" s="8">
        <f>YEAR(Order_Details[[#This Row],[Order Date]])</f>
        <v>2019</v>
      </c>
      <c r="N1062" s="8">
        <f>ROUNDUP(MONTH(Order_Details[[#This Row],[Order Date]])/3, 0)</f>
        <v>1</v>
      </c>
    </row>
    <row r="1063" spans="1:14">
      <c r="A1063" s="1" t="s">
        <v>841</v>
      </c>
      <c r="B1063" s="1">
        <v>2927</v>
      </c>
      <c r="C1063" s="1">
        <v>146</v>
      </c>
      <c r="D1063" s="1">
        <v>8</v>
      </c>
      <c r="E1063" s="1" t="s">
        <v>1075</v>
      </c>
      <c r="F1063" s="1" t="s">
        <v>1101</v>
      </c>
      <c r="G1063" s="7" t="str">
        <f>_xlfn.XLOOKUP(Order_Details[[#This Row],[Order ID]], List_of_orders[Order ID], List_of_orders[State])</f>
        <v>Maharashtra</v>
      </c>
      <c r="H1063" s="10">
        <f>_xlfn.XLOOKUP(Order_Details[[#This Row],[Order ID]], List_of_orders[Order ID], List_of_orders[Order Date (Clean)])</f>
        <v>43481</v>
      </c>
      <c r="I1063" s="7" t="str">
        <f>_xlfn.XLOOKUP(Order_Details[[#This Row],[Order ID]], List_of_orders[Order ID], List_of_orders[CustomerName])</f>
        <v>Soumya</v>
      </c>
      <c r="J1063" s="7" t="str">
        <f>_xlfn.XLOOKUP(Order_Details[[#This Row],[Order ID]], List_of_orders[Order ID], List_of_orders[City])</f>
        <v>Pune</v>
      </c>
      <c r="K1063" s="8" t="str">
        <f>TEXT(Order_Details[[#This Row],[Order Date]], "YY-MMM")</f>
        <v>19-Jan</v>
      </c>
      <c r="L1063" s="11">
        <f>Order_Details[[#This Row],[Profit]]/Order_Details[[#This Row],[Amount]]</f>
        <v>4.9880423641954219E-2</v>
      </c>
      <c r="M1063" s="8">
        <f>YEAR(Order_Details[[#This Row],[Order Date]])</f>
        <v>2019</v>
      </c>
      <c r="N1063" s="8">
        <f>ROUNDUP(MONTH(Order_Details[[#This Row],[Order Date]])/3, 0)</f>
        <v>1</v>
      </c>
    </row>
    <row r="1064" spans="1:14">
      <c r="A1064" s="1" t="s">
        <v>841</v>
      </c>
      <c r="B1064" s="1">
        <v>294</v>
      </c>
      <c r="C1064" s="1">
        <v>62</v>
      </c>
      <c r="D1064" s="1">
        <v>9</v>
      </c>
      <c r="E1064" s="1" t="s">
        <v>1076</v>
      </c>
      <c r="F1064" s="1" t="s">
        <v>1110</v>
      </c>
      <c r="G1064" s="7" t="str">
        <f>_xlfn.XLOOKUP(Order_Details[[#This Row],[Order ID]], List_of_orders[Order ID], List_of_orders[State])</f>
        <v>Maharashtra</v>
      </c>
      <c r="H1064" s="10">
        <f>_xlfn.XLOOKUP(Order_Details[[#This Row],[Order ID]], List_of_orders[Order ID], List_of_orders[Order Date (Clean)])</f>
        <v>43481</v>
      </c>
      <c r="I1064" s="7" t="str">
        <f>_xlfn.XLOOKUP(Order_Details[[#This Row],[Order ID]], List_of_orders[Order ID], List_of_orders[CustomerName])</f>
        <v>Soumya</v>
      </c>
      <c r="J1064" s="7" t="str">
        <f>_xlfn.XLOOKUP(Order_Details[[#This Row],[Order ID]], List_of_orders[Order ID], List_of_orders[City])</f>
        <v>Pune</v>
      </c>
      <c r="K1064" s="8" t="str">
        <f>TEXT(Order_Details[[#This Row],[Order Date]], "YY-MMM")</f>
        <v>19-Jan</v>
      </c>
      <c r="L1064" s="11">
        <f>Order_Details[[#This Row],[Profit]]/Order_Details[[#This Row],[Amount]]</f>
        <v>0.21088435374149661</v>
      </c>
      <c r="M1064" s="8">
        <f>YEAR(Order_Details[[#This Row],[Order Date]])</f>
        <v>2019</v>
      </c>
      <c r="N1064" s="8">
        <f>ROUNDUP(MONTH(Order_Details[[#This Row],[Order Date]])/3, 0)</f>
        <v>1</v>
      </c>
    </row>
    <row r="1065" spans="1:14">
      <c r="A1065" s="1" t="s">
        <v>841</v>
      </c>
      <c r="B1065" s="1">
        <v>200</v>
      </c>
      <c r="C1065" s="1">
        <v>13</v>
      </c>
      <c r="D1065" s="1">
        <v>5</v>
      </c>
      <c r="E1065" s="1" t="s">
        <v>1077</v>
      </c>
      <c r="F1065" s="1" t="s">
        <v>1105</v>
      </c>
      <c r="G1065" s="7" t="str">
        <f>_xlfn.XLOOKUP(Order_Details[[#This Row],[Order ID]], List_of_orders[Order ID], List_of_orders[State])</f>
        <v>Maharashtra</v>
      </c>
      <c r="H1065" s="10">
        <f>_xlfn.XLOOKUP(Order_Details[[#This Row],[Order ID]], List_of_orders[Order ID], List_of_orders[Order Date (Clean)])</f>
        <v>43481</v>
      </c>
      <c r="I1065" s="7" t="str">
        <f>_xlfn.XLOOKUP(Order_Details[[#This Row],[Order ID]], List_of_orders[Order ID], List_of_orders[CustomerName])</f>
        <v>Soumya</v>
      </c>
      <c r="J1065" s="7" t="str">
        <f>_xlfn.XLOOKUP(Order_Details[[#This Row],[Order ID]], List_of_orders[Order ID], List_of_orders[City])</f>
        <v>Pune</v>
      </c>
      <c r="K1065" s="8" t="str">
        <f>TEXT(Order_Details[[#This Row],[Order Date]], "YY-MMM")</f>
        <v>19-Jan</v>
      </c>
      <c r="L1065" s="11">
        <f>Order_Details[[#This Row],[Profit]]/Order_Details[[#This Row],[Amount]]</f>
        <v>6.5000000000000002E-2</v>
      </c>
      <c r="M1065" s="8">
        <f>YEAR(Order_Details[[#This Row],[Order Date]])</f>
        <v>2019</v>
      </c>
      <c r="N1065" s="8">
        <f>ROUNDUP(MONTH(Order_Details[[#This Row],[Order Date]])/3, 0)</f>
        <v>1</v>
      </c>
    </row>
    <row r="1066" spans="1:14">
      <c r="A1066" s="1" t="s">
        <v>843</v>
      </c>
      <c r="B1066" s="1">
        <v>89</v>
      </c>
      <c r="C1066" s="1">
        <v>-37</v>
      </c>
      <c r="D1066" s="1">
        <v>4</v>
      </c>
      <c r="E1066" s="1" t="s">
        <v>1076</v>
      </c>
      <c r="F1066" s="1" t="s">
        <v>1111</v>
      </c>
      <c r="G1066" s="7" t="str">
        <f>_xlfn.XLOOKUP(Order_Details[[#This Row],[Order ID]], List_of_orders[Order ID], List_of_orders[State])</f>
        <v>Maharashtra</v>
      </c>
      <c r="H1066" s="10">
        <f>_xlfn.XLOOKUP(Order_Details[[#This Row],[Order ID]], List_of_orders[Order ID], List_of_orders[Order Date (Clean)])</f>
        <v>43482</v>
      </c>
      <c r="I1066" s="7" t="str">
        <f>_xlfn.XLOOKUP(Order_Details[[#This Row],[Order ID]], List_of_orders[Order ID], List_of_orders[CustomerName])</f>
        <v>Shreya</v>
      </c>
      <c r="J1066" s="7" t="str">
        <f>_xlfn.XLOOKUP(Order_Details[[#This Row],[Order ID]], List_of_orders[Order ID], List_of_orders[City])</f>
        <v>Mumbai</v>
      </c>
      <c r="K1066" s="8" t="str">
        <f>TEXT(Order_Details[[#This Row],[Order Date]], "YY-MMM")</f>
        <v>19-Jan</v>
      </c>
      <c r="L1066" s="11">
        <f>Order_Details[[#This Row],[Profit]]/Order_Details[[#This Row],[Amount]]</f>
        <v>-0.4157303370786517</v>
      </c>
      <c r="M1066" s="8">
        <f>YEAR(Order_Details[[#This Row],[Order Date]])</f>
        <v>2019</v>
      </c>
      <c r="N1066" s="8">
        <f>ROUNDUP(MONTH(Order_Details[[#This Row],[Order Date]])/3, 0)</f>
        <v>1</v>
      </c>
    </row>
    <row r="1067" spans="1:14">
      <c r="A1067" s="1" t="s">
        <v>843</v>
      </c>
      <c r="B1067" s="1">
        <v>59</v>
      </c>
      <c r="C1067" s="1">
        <v>10</v>
      </c>
      <c r="D1067" s="1">
        <v>2</v>
      </c>
      <c r="E1067" s="1" t="s">
        <v>1076</v>
      </c>
      <c r="F1067" s="1" t="s">
        <v>1103</v>
      </c>
      <c r="G1067" s="7" t="str">
        <f>_xlfn.XLOOKUP(Order_Details[[#This Row],[Order ID]], List_of_orders[Order ID], List_of_orders[State])</f>
        <v>Maharashtra</v>
      </c>
      <c r="H1067" s="10">
        <f>_xlfn.XLOOKUP(Order_Details[[#This Row],[Order ID]], List_of_orders[Order ID], List_of_orders[Order Date (Clean)])</f>
        <v>43482</v>
      </c>
      <c r="I1067" s="7" t="str">
        <f>_xlfn.XLOOKUP(Order_Details[[#This Row],[Order ID]], List_of_orders[Order ID], List_of_orders[CustomerName])</f>
        <v>Shreya</v>
      </c>
      <c r="J1067" s="7" t="str">
        <f>_xlfn.XLOOKUP(Order_Details[[#This Row],[Order ID]], List_of_orders[Order ID], List_of_orders[City])</f>
        <v>Mumbai</v>
      </c>
      <c r="K1067" s="8" t="str">
        <f>TEXT(Order_Details[[#This Row],[Order Date]], "YY-MMM")</f>
        <v>19-Jan</v>
      </c>
      <c r="L1067" s="11">
        <f>Order_Details[[#This Row],[Profit]]/Order_Details[[#This Row],[Amount]]</f>
        <v>0.16949152542372881</v>
      </c>
      <c r="M1067" s="8">
        <f>YEAR(Order_Details[[#This Row],[Order Date]])</f>
        <v>2019</v>
      </c>
      <c r="N1067" s="8">
        <f>ROUNDUP(MONTH(Order_Details[[#This Row],[Order Date]])/3, 0)</f>
        <v>1</v>
      </c>
    </row>
    <row r="1068" spans="1:14">
      <c r="A1068" s="1" t="s">
        <v>843</v>
      </c>
      <c r="B1068" s="1">
        <v>33</v>
      </c>
      <c r="C1068" s="1">
        <v>10</v>
      </c>
      <c r="D1068" s="1">
        <v>3</v>
      </c>
      <c r="E1068" s="1" t="s">
        <v>1076</v>
      </c>
      <c r="F1068" s="1" t="s">
        <v>1103</v>
      </c>
      <c r="G1068" s="7" t="str">
        <f>_xlfn.XLOOKUP(Order_Details[[#This Row],[Order ID]], List_of_orders[Order ID], List_of_orders[State])</f>
        <v>Maharashtra</v>
      </c>
      <c r="H1068" s="10">
        <f>_xlfn.XLOOKUP(Order_Details[[#This Row],[Order ID]], List_of_orders[Order ID], List_of_orders[Order Date (Clean)])</f>
        <v>43482</v>
      </c>
      <c r="I1068" s="7" t="str">
        <f>_xlfn.XLOOKUP(Order_Details[[#This Row],[Order ID]], List_of_orders[Order ID], List_of_orders[CustomerName])</f>
        <v>Shreya</v>
      </c>
      <c r="J1068" s="7" t="str">
        <f>_xlfn.XLOOKUP(Order_Details[[#This Row],[Order ID]], List_of_orders[Order ID], List_of_orders[City])</f>
        <v>Mumbai</v>
      </c>
      <c r="K1068" s="8" t="str">
        <f>TEXT(Order_Details[[#This Row],[Order Date]], "YY-MMM")</f>
        <v>19-Jan</v>
      </c>
      <c r="L1068" s="11">
        <f>Order_Details[[#This Row],[Profit]]/Order_Details[[#This Row],[Amount]]</f>
        <v>0.30303030303030304</v>
      </c>
      <c r="M1068" s="8">
        <f>YEAR(Order_Details[[#This Row],[Order Date]])</f>
        <v>2019</v>
      </c>
      <c r="N1068" s="8">
        <f>ROUNDUP(MONTH(Order_Details[[#This Row],[Order Date]])/3, 0)</f>
        <v>1</v>
      </c>
    </row>
    <row r="1069" spans="1:14">
      <c r="A1069" s="1" t="s">
        <v>843</v>
      </c>
      <c r="B1069" s="1">
        <v>474</v>
      </c>
      <c r="C1069" s="1">
        <v>56</v>
      </c>
      <c r="D1069" s="1">
        <v>4</v>
      </c>
      <c r="E1069" s="1" t="s">
        <v>1077</v>
      </c>
      <c r="F1069" s="1" t="s">
        <v>1105</v>
      </c>
      <c r="G1069" s="7" t="str">
        <f>_xlfn.XLOOKUP(Order_Details[[#This Row],[Order ID]], List_of_orders[Order ID], List_of_orders[State])</f>
        <v>Maharashtra</v>
      </c>
      <c r="H1069" s="10">
        <f>_xlfn.XLOOKUP(Order_Details[[#This Row],[Order ID]], List_of_orders[Order ID], List_of_orders[Order Date (Clean)])</f>
        <v>43482</v>
      </c>
      <c r="I1069" s="7" t="str">
        <f>_xlfn.XLOOKUP(Order_Details[[#This Row],[Order ID]], List_of_orders[Order ID], List_of_orders[CustomerName])</f>
        <v>Shreya</v>
      </c>
      <c r="J1069" s="7" t="str">
        <f>_xlfn.XLOOKUP(Order_Details[[#This Row],[Order ID]], List_of_orders[Order ID], List_of_orders[City])</f>
        <v>Mumbai</v>
      </c>
      <c r="K1069" s="8" t="str">
        <f>TEXT(Order_Details[[#This Row],[Order Date]], "YY-MMM")</f>
        <v>19-Jan</v>
      </c>
      <c r="L1069" s="11">
        <f>Order_Details[[#This Row],[Profit]]/Order_Details[[#This Row],[Amount]]</f>
        <v>0.11814345991561181</v>
      </c>
      <c r="M1069" s="8">
        <f>YEAR(Order_Details[[#This Row],[Order Date]])</f>
        <v>2019</v>
      </c>
      <c r="N1069" s="8">
        <f>ROUNDUP(MONTH(Order_Details[[#This Row],[Order Date]])/3, 0)</f>
        <v>1</v>
      </c>
    </row>
    <row r="1070" spans="1:14">
      <c r="A1070" s="1" t="s">
        <v>843</v>
      </c>
      <c r="B1070" s="1">
        <v>140</v>
      </c>
      <c r="C1070" s="1">
        <v>28</v>
      </c>
      <c r="D1070" s="1">
        <v>2</v>
      </c>
      <c r="E1070" s="1" t="s">
        <v>1077</v>
      </c>
      <c r="F1070" s="1" t="s">
        <v>1105</v>
      </c>
      <c r="G1070" s="7" t="str">
        <f>_xlfn.XLOOKUP(Order_Details[[#This Row],[Order ID]], List_of_orders[Order ID], List_of_orders[State])</f>
        <v>Maharashtra</v>
      </c>
      <c r="H1070" s="10">
        <f>_xlfn.XLOOKUP(Order_Details[[#This Row],[Order ID]], List_of_orders[Order ID], List_of_orders[Order Date (Clean)])</f>
        <v>43482</v>
      </c>
      <c r="I1070" s="7" t="str">
        <f>_xlfn.XLOOKUP(Order_Details[[#This Row],[Order ID]], List_of_orders[Order ID], List_of_orders[CustomerName])</f>
        <v>Shreya</v>
      </c>
      <c r="J1070" s="7" t="str">
        <f>_xlfn.XLOOKUP(Order_Details[[#This Row],[Order ID]], List_of_orders[Order ID], List_of_orders[City])</f>
        <v>Mumbai</v>
      </c>
      <c r="K1070" s="8" t="str">
        <f>TEXT(Order_Details[[#This Row],[Order Date]], "YY-MMM")</f>
        <v>19-Jan</v>
      </c>
      <c r="L1070" s="11">
        <f>Order_Details[[#This Row],[Profit]]/Order_Details[[#This Row],[Amount]]</f>
        <v>0.2</v>
      </c>
      <c r="M1070" s="8">
        <f>YEAR(Order_Details[[#This Row],[Order Date]])</f>
        <v>2019</v>
      </c>
      <c r="N1070" s="8">
        <f>ROUNDUP(MONTH(Order_Details[[#This Row],[Order Date]])/3, 0)</f>
        <v>1</v>
      </c>
    </row>
    <row r="1071" spans="1:14">
      <c r="A1071" s="1" t="s">
        <v>845</v>
      </c>
      <c r="B1071" s="1">
        <v>147</v>
      </c>
      <c r="C1071" s="1">
        <v>73</v>
      </c>
      <c r="D1071" s="1">
        <v>3</v>
      </c>
      <c r="E1071" s="1" t="s">
        <v>1076</v>
      </c>
      <c r="F1071" s="1" t="s">
        <v>1102</v>
      </c>
      <c r="G1071" s="7" t="str">
        <f>_xlfn.XLOOKUP(Order_Details[[#This Row],[Order ID]], List_of_orders[Order ID], List_of_orders[State])</f>
        <v>Madhya Pradesh</v>
      </c>
      <c r="H1071" s="10">
        <f>_xlfn.XLOOKUP(Order_Details[[#This Row],[Order ID]], List_of_orders[Order ID], List_of_orders[Order Date (Clean)])</f>
        <v>43483</v>
      </c>
      <c r="I1071" s="7" t="str">
        <f>_xlfn.XLOOKUP(Order_Details[[#This Row],[Order ID]], List_of_orders[Order ID], List_of_orders[CustomerName])</f>
        <v>Mahima</v>
      </c>
      <c r="J1071" s="7" t="str">
        <f>_xlfn.XLOOKUP(Order_Details[[#This Row],[Order ID]], List_of_orders[Order ID], List_of_orders[City])</f>
        <v>Indore</v>
      </c>
      <c r="K1071" s="8" t="str">
        <f>TEXT(Order_Details[[#This Row],[Order Date]], "YY-MMM")</f>
        <v>19-Jan</v>
      </c>
      <c r="L1071" s="11">
        <f>Order_Details[[#This Row],[Profit]]/Order_Details[[#This Row],[Amount]]</f>
        <v>0.49659863945578231</v>
      </c>
      <c r="M1071" s="8">
        <f>YEAR(Order_Details[[#This Row],[Order Date]])</f>
        <v>2019</v>
      </c>
      <c r="N1071" s="8">
        <f>ROUNDUP(MONTH(Order_Details[[#This Row],[Order Date]])/3, 0)</f>
        <v>1</v>
      </c>
    </row>
    <row r="1072" spans="1:14">
      <c r="A1072" s="1" t="s">
        <v>845</v>
      </c>
      <c r="B1072" s="1">
        <v>16</v>
      </c>
      <c r="C1072" s="1">
        <v>2</v>
      </c>
      <c r="D1072" s="1">
        <v>1</v>
      </c>
      <c r="E1072" s="1" t="s">
        <v>1076</v>
      </c>
      <c r="F1072" s="1" t="s">
        <v>1106</v>
      </c>
      <c r="G1072" s="7" t="str">
        <f>_xlfn.XLOOKUP(Order_Details[[#This Row],[Order ID]], List_of_orders[Order ID], List_of_orders[State])</f>
        <v>Madhya Pradesh</v>
      </c>
      <c r="H1072" s="10">
        <f>_xlfn.XLOOKUP(Order_Details[[#This Row],[Order ID]], List_of_orders[Order ID], List_of_orders[Order Date (Clean)])</f>
        <v>43483</v>
      </c>
      <c r="I1072" s="7" t="str">
        <f>_xlfn.XLOOKUP(Order_Details[[#This Row],[Order ID]], List_of_orders[Order ID], List_of_orders[CustomerName])</f>
        <v>Mahima</v>
      </c>
      <c r="J1072" s="7" t="str">
        <f>_xlfn.XLOOKUP(Order_Details[[#This Row],[Order ID]], List_of_orders[Order ID], List_of_orders[City])</f>
        <v>Indore</v>
      </c>
      <c r="K1072" s="8" t="str">
        <f>TEXT(Order_Details[[#This Row],[Order Date]], "YY-MMM")</f>
        <v>19-Jan</v>
      </c>
      <c r="L1072" s="11">
        <f>Order_Details[[#This Row],[Profit]]/Order_Details[[#This Row],[Amount]]</f>
        <v>0.125</v>
      </c>
      <c r="M1072" s="8">
        <f>YEAR(Order_Details[[#This Row],[Order Date]])</f>
        <v>2019</v>
      </c>
      <c r="N1072" s="8">
        <f>ROUNDUP(MONTH(Order_Details[[#This Row],[Order Date]])/3, 0)</f>
        <v>1</v>
      </c>
    </row>
    <row r="1073" spans="1:14">
      <c r="A1073" s="1" t="s">
        <v>845</v>
      </c>
      <c r="B1073" s="1">
        <v>1157</v>
      </c>
      <c r="C1073" s="1">
        <v>-13</v>
      </c>
      <c r="D1073" s="1">
        <v>9</v>
      </c>
      <c r="E1073" s="1" t="s">
        <v>1075</v>
      </c>
      <c r="F1073" s="1" t="s">
        <v>1101</v>
      </c>
      <c r="G1073" s="7" t="str">
        <f>_xlfn.XLOOKUP(Order_Details[[#This Row],[Order ID]], List_of_orders[Order ID], List_of_orders[State])</f>
        <v>Madhya Pradesh</v>
      </c>
      <c r="H1073" s="10">
        <f>_xlfn.XLOOKUP(Order_Details[[#This Row],[Order ID]], List_of_orders[Order ID], List_of_orders[Order Date (Clean)])</f>
        <v>43483</v>
      </c>
      <c r="I1073" s="7" t="str">
        <f>_xlfn.XLOOKUP(Order_Details[[#This Row],[Order ID]], List_of_orders[Order ID], List_of_orders[CustomerName])</f>
        <v>Mahima</v>
      </c>
      <c r="J1073" s="7" t="str">
        <f>_xlfn.XLOOKUP(Order_Details[[#This Row],[Order ID]], List_of_orders[Order ID], List_of_orders[City])</f>
        <v>Indore</v>
      </c>
      <c r="K1073" s="8" t="str">
        <f>TEXT(Order_Details[[#This Row],[Order Date]], "YY-MMM")</f>
        <v>19-Jan</v>
      </c>
      <c r="L1073" s="11">
        <f>Order_Details[[#This Row],[Profit]]/Order_Details[[#This Row],[Amount]]</f>
        <v>-1.1235955056179775E-2</v>
      </c>
      <c r="M1073" s="8">
        <f>YEAR(Order_Details[[#This Row],[Order Date]])</f>
        <v>2019</v>
      </c>
      <c r="N1073" s="8">
        <f>ROUNDUP(MONTH(Order_Details[[#This Row],[Order Date]])/3, 0)</f>
        <v>1</v>
      </c>
    </row>
    <row r="1074" spans="1:14">
      <c r="A1074" s="1" t="s">
        <v>847</v>
      </c>
      <c r="B1074" s="1">
        <v>105</v>
      </c>
      <c r="C1074" s="1">
        <v>25</v>
      </c>
      <c r="D1074" s="1">
        <v>2</v>
      </c>
      <c r="E1074" s="1" t="s">
        <v>1076</v>
      </c>
      <c r="F1074" s="1" t="s">
        <v>1103</v>
      </c>
      <c r="G1074" s="7" t="str">
        <f>_xlfn.XLOOKUP(Order_Details[[#This Row],[Order ID]], List_of_orders[Order ID], List_of_orders[State])</f>
        <v>West Bengal</v>
      </c>
      <c r="H1074" s="10">
        <f>_xlfn.XLOOKUP(Order_Details[[#This Row],[Order ID]], List_of_orders[Order ID], List_of_orders[Order Date (Clean)])</f>
        <v>43483</v>
      </c>
      <c r="I1074" s="7" t="str">
        <f>_xlfn.XLOOKUP(Order_Details[[#This Row],[Order ID]], List_of_orders[Order ID], List_of_orders[CustomerName])</f>
        <v>Aparajita</v>
      </c>
      <c r="J1074" s="7" t="str">
        <f>_xlfn.XLOOKUP(Order_Details[[#This Row],[Order ID]], List_of_orders[Order ID], List_of_orders[City])</f>
        <v>Kolkata</v>
      </c>
      <c r="K1074" s="8" t="str">
        <f>TEXT(Order_Details[[#This Row],[Order Date]], "YY-MMM")</f>
        <v>19-Jan</v>
      </c>
      <c r="L1074" s="11">
        <f>Order_Details[[#This Row],[Profit]]/Order_Details[[#This Row],[Amount]]</f>
        <v>0.23809523809523808</v>
      </c>
      <c r="M1074" s="8">
        <f>YEAR(Order_Details[[#This Row],[Order Date]])</f>
        <v>2019</v>
      </c>
      <c r="N1074" s="8">
        <f>ROUNDUP(MONTH(Order_Details[[#This Row],[Order Date]])/3, 0)</f>
        <v>1</v>
      </c>
    </row>
    <row r="1075" spans="1:14">
      <c r="A1075" s="1" t="s">
        <v>847</v>
      </c>
      <c r="B1075" s="1">
        <v>360</v>
      </c>
      <c r="C1075" s="1">
        <v>32</v>
      </c>
      <c r="D1075" s="1">
        <v>3</v>
      </c>
      <c r="E1075" s="1" t="s">
        <v>1076</v>
      </c>
      <c r="F1075" s="1" t="s">
        <v>1106</v>
      </c>
      <c r="G1075" s="7" t="str">
        <f>_xlfn.XLOOKUP(Order_Details[[#This Row],[Order ID]], List_of_orders[Order ID], List_of_orders[State])</f>
        <v>West Bengal</v>
      </c>
      <c r="H1075" s="10">
        <f>_xlfn.XLOOKUP(Order_Details[[#This Row],[Order ID]], List_of_orders[Order ID], List_of_orders[Order Date (Clean)])</f>
        <v>43483</v>
      </c>
      <c r="I1075" s="7" t="str">
        <f>_xlfn.XLOOKUP(Order_Details[[#This Row],[Order ID]], List_of_orders[Order ID], List_of_orders[CustomerName])</f>
        <v>Aparajita</v>
      </c>
      <c r="J1075" s="7" t="str">
        <f>_xlfn.XLOOKUP(Order_Details[[#This Row],[Order ID]], List_of_orders[Order ID], List_of_orders[City])</f>
        <v>Kolkata</v>
      </c>
      <c r="K1075" s="8" t="str">
        <f>TEXT(Order_Details[[#This Row],[Order Date]], "YY-MMM")</f>
        <v>19-Jan</v>
      </c>
      <c r="L1075" s="11">
        <f>Order_Details[[#This Row],[Profit]]/Order_Details[[#This Row],[Amount]]</f>
        <v>8.8888888888888892E-2</v>
      </c>
      <c r="M1075" s="8">
        <f>YEAR(Order_Details[[#This Row],[Order Date]])</f>
        <v>2019</v>
      </c>
      <c r="N1075" s="8">
        <f>ROUNDUP(MONTH(Order_Details[[#This Row],[Order Date]])/3, 0)</f>
        <v>1</v>
      </c>
    </row>
    <row r="1076" spans="1:14">
      <c r="A1076" s="1" t="s">
        <v>849</v>
      </c>
      <c r="B1076" s="1">
        <v>252</v>
      </c>
      <c r="C1076" s="1">
        <v>56</v>
      </c>
      <c r="D1076" s="1">
        <v>2</v>
      </c>
      <c r="E1076" s="1" t="s">
        <v>1077</v>
      </c>
      <c r="F1076" s="1" t="s">
        <v>1105</v>
      </c>
      <c r="G1076" s="7" t="str">
        <f>_xlfn.XLOOKUP(Order_Details[[#This Row],[Order ID]], List_of_orders[Order ID], List_of_orders[State])</f>
        <v>Madhya Pradesh</v>
      </c>
      <c r="H1076" s="10">
        <f>_xlfn.XLOOKUP(Order_Details[[#This Row],[Order ID]], List_of_orders[Order ID], List_of_orders[Order Date (Clean)])</f>
        <v>43483</v>
      </c>
      <c r="I1076" s="7" t="str">
        <f>_xlfn.XLOOKUP(Order_Details[[#This Row],[Order ID]], List_of_orders[Order ID], List_of_orders[CustomerName])</f>
        <v>Muskan</v>
      </c>
      <c r="J1076" s="7" t="str">
        <f>_xlfn.XLOOKUP(Order_Details[[#This Row],[Order ID]], List_of_orders[Order ID], List_of_orders[City])</f>
        <v>Indore</v>
      </c>
      <c r="K1076" s="8" t="str">
        <f>TEXT(Order_Details[[#This Row],[Order Date]], "YY-MMM")</f>
        <v>19-Jan</v>
      </c>
      <c r="L1076" s="11">
        <f>Order_Details[[#This Row],[Profit]]/Order_Details[[#This Row],[Amount]]</f>
        <v>0.22222222222222221</v>
      </c>
      <c r="M1076" s="8">
        <f>YEAR(Order_Details[[#This Row],[Order Date]])</f>
        <v>2019</v>
      </c>
      <c r="N1076" s="8">
        <f>ROUNDUP(MONTH(Order_Details[[#This Row],[Order Date]])/3, 0)</f>
        <v>1</v>
      </c>
    </row>
    <row r="1077" spans="1:14">
      <c r="A1077" s="1" t="s">
        <v>849</v>
      </c>
      <c r="B1077" s="1">
        <v>681</v>
      </c>
      <c r="C1077" s="1">
        <v>259</v>
      </c>
      <c r="D1077" s="1">
        <v>4</v>
      </c>
      <c r="E1077" s="1" t="s">
        <v>1075</v>
      </c>
      <c r="F1077" s="1" t="s">
        <v>1108</v>
      </c>
      <c r="G1077" s="7" t="str">
        <f>_xlfn.XLOOKUP(Order_Details[[#This Row],[Order ID]], List_of_orders[Order ID], List_of_orders[State])</f>
        <v>Madhya Pradesh</v>
      </c>
      <c r="H1077" s="10">
        <f>_xlfn.XLOOKUP(Order_Details[[#This Row],[Order ID]], List_of_orders[Order ID], List_of_orders[Order Date (Clean)])</f>
        <v>43483</v>
      </c>
      <c r="I1077" s="7" t="str">
        <f>_xlfn.XLOOKUP(Order_Details[[#This Row],[Order ID]], List_of_orders[Order ID], List_of_orders[CustomerName])</f>
        <v>Muskan</v>
      </c>
      <c r="J1077" s="7" t="str">
        <f>_xlfn.XLOOKUP(Order_Details[[#This Row],[Order ID]], List_of_orders[Order ID], List_of_orders[City])</f>
        <v>Indore</v>
      </c>
      <c r="K1077" s="8" t="str">
        <f>TEXT(Order_Details[[#This Row],[Order Date]], "YY-MMM")</f>
        <v>19-Jan</v>
      </c>
      <c r="L1077" s="11">
        <f>Order_Details[[#This Row],[Profit]]/Order_Details[[#This Row],[Amount]]</f>
        <v>0.38032305433186492</v>
      </c>
      <c r="M1077" s="8">
        <f>YEAR(Order_Details[[#This Row],[Order Date]])</f>
        <v>2019</v>
      </c>
      <c r="N1077" s="8">
        <f>ROUNDUP(MONTH(Order_Details[[#This Row],[Order Date]])/3, 0)</f>
        <v>1</v>
      </c>
    </row>
    <row r="1078" spans="1:14">
      <c r="A1078" s="1" t="s">
        <v>849</v>
      </c>
      <c r="B1078" s="1">
        <v>32</v>
      </c>
      <c r="C1078" s="1">
        <v>2</v>
      </c>
      <c r="D1078" s="1">
        <v>2</v>
      </c>
      <c r="E1078" s="1" t="s">
        <v>1076</v>
      </c>
      <c r="F1078" s="1" t="s">
        <v>1109</v>
      </c>
      <c r="G1078" s="7" t="str">
        <f>_xlfn.XLOOKUP(Order_Details[[#This Row],[Order ID]], List_of_orders[Order ID], List_of_orders[State])</f>
        <v>Madhya Pradesh</v>
      </c>
      <c r="H1078" s="10">
        <f>_xlfn.XLOOKUP(Order_Details[[#This Row],[Order ID]], List_of_orders[Order ID], List_of_orders[Order Date (Clean)])</f>
        <v>43483</v>
      </c>
      <c r="I1078" s="7" t="str">
        <f>_xlfn.XLOOKUP(Order_Details[[#This Row],[Order ID]], List_of_orders[Order ID], List_of_orders[CustomerName])</f>
        <v>Muskan</v>
      </c>
      <c r="J1078" s="7" t="str">
        <f>_xlfn.XLOOKUP(Order_Details[[#This Row],[Order ID]], List_of_orders[Order ID], List_of_orders[City])</f>
        <v>Indore</v>
      </c>
      <c r="K1078" s="8" t="str">
        <f>TEXT(Order_Details[[#This Row],[Order Date]], "YY-MMM")</f>
        <v>19-Jan</v>
      </c>
      <c r="L1078" s="11">
        <f>Order_Details[[#This Row],[Profit]]/Order_Details[[#This Row],[Amount]]</f>
        <v>6.25E-2</v>
      </c>
      <c r="M1078" s="8">
        <f>YEAR(Order_Details[[#This Row],[Order Date]])</f>
        <v>2019</v>
      </c>
      <c r="N1078" s="8">
        <f>ROUNDUP(MONTH(Order_Details[[#This Row],[Order Date]])/3, 0)</f>
        <v>1</v>
      </c>
    </row>
    <row r="1079" spans="1:14">
      <c r="A1079" s="1" t="s">
        <v>849</v>
      </c>
      <c r="B1079" s="1">
        <v>132</v>
      </c>
      <c r="C1079" s="1">
        <v>49</v>
      </c>
      <c r="D1079" s="1">
        <v>3</v>
      </c>
      <c r="E1079" s="1" t="s">
        <v>1076</v>
      </c>
      <c r="F1079" s="1" t="s">
        <v>1111</v>
      </c>
      <c r="G1079" s="7" t="str">
        <f>_xlfn.XLOOKUP(Order_Details[[#This Row],[Order ID]], List_of_orders[Order ID], List_of_orders[State])</f>
        <v>Madhya Pradesh</v>
      </c>
      <c r="H1079" s="10">
        <f>_xlfn.XLOOKUP(Order_Details[[#This Row],[Order ID]], List_of_orders[Order ID], List_of_orders[Order Date (Clean)])</f>
        <v>43483</v>
      </c>
      <c r="I1079" s="7" t="str">
        <f>_xlfn.XLOOKUP(Order_Details[[#This Row],[Order ID]], List_of_orders[Order ID], List_of_orders[CustomerName])</f>
        <v>Muskan</v>
      </c>
      <c r="J1079" s="7" t="str">
        <f>_xlfn.XLOOKUP(Order_Details[[#This Row],[Order ID]], List_of_orders[Order ID], List_of_orders[City])</f>
        <v>Indore</v>
      </c>
      <c r="K1079" s="8" t="str">
        <f>TEXT(Order_Details[[#This Row],[Order Date]], "YY-MMM")</f>
        <v>19-Jan</v>
      </c>
      <c r="L1079" s="11">
        <f>Order_Details[[#This Row],[Profit]]/Order_Details[[#This Row],[Amount]]</f>
        <v>0.37121212121212122</v>
      </c>
      <c r="M1079" s="8">
        <f>YEAR(Order_Details[[#This Row],[Order Date]])</f>
        <v>2019</v>
      </c>
      <c r="N1079" s="8">
        <f>ROUNDUP(MONTH(Order_Details[[#This Row],[Order Date]])/3, 0)</f>
        <v>1</v>
      </c>
    </row>
    <row r="1080" spans="1:14">
      <c r="A1080" s="1" t="s">
        <v>849</v>
      </c>
      <c r="B1080" s="1">
        <v>637</v>
      </c>
      <c r="C1080" s="1">
        <v>212</v>
      </c>
      <c r="D1080" s="1">
        <v>8</v>
      </c>
      <c r="E1080" s="1" t="s">
        <v>1077</v>
      </c>
      <c r="F1080" s="1" t="s">
        <v>1105</v>
      </c>
      <c r="G1080" s="7" t="str">
        <f>_xlfn.XLOOKUP(Order_Details[[#This Row],[Order ID]], List_of_orders[Order ID], List_of_orders[State])</f>
        <v>Madhya Pradesh</v>
      </c>
      <c r="H1080" s="10">
        <f>_xlfn.XLOOKUP(Order_Details[[#This Row],[Order ID]], List_of_orders[Order ID], List_of_orders[Order Date (Clean)])</f>
        <v>43483</v>
      </c>
      <c r="I1080" s="7" t="str">
        <f>_xlfn.XLOOKUP(Order_Details[[#This Row],[Order ID]], List_of_orders[Order ID], List_of_orders[CustomerName])</f>
        <v>Muskan</v>
      </c>
      <c r="J1080" s="7" t="str">
        <f>_xlfn.XLOOKUP(Order_Details[[#This Row],[Order ID]], List_of_orders[Order ID], List_of_orders[City])</f>
        <v>Indore</v>
      </c>
      <c r="K1080" s="8" t="str">
        <f>TEXT(Order_Details[[#This Row],[Order Date]], "YY-MMM")</f>
        <v>19-Jan</v>
      </c>
      <c r="L1080" s="11">
        <f>Order_Details[[#This Row],[Profit]]/Order_Details[[#This Row],[Amount]]</f>
        <v>0.3328100470957614</v>
      </c>
      <c r="M1080" s="8">
        <f>YEAR(Order_Details[[#This Row],[Order Date]])</f>
        <v>2019</v>
      </c>
      <c r="N1080" s="8">
        <f>ROUNDUP(MONTH(Order_Details[[#This Row],[Order Date]])/3, 0)</f>
        <v>1</v>
      </c>
    </row>
    <row r="1081" spans="1:14">
      <c r="A1081" s="1" t="s">
        <v>849</v>
      </c>
      <c r="B1081" s="1">
        <v>429</v>
      </c>
      <c r="C1081" s="1">
        <v>17</v>
      </c>
      <c r="D1081" s="1">
        <v>3</v>
      </c>
      <c r="E1081" s="1" t="s">
        <v>1075</v>
      </c>
      <c r="F1081" s="1" t="s">
        <v>1108</v>
      </c>
      <c r="G1081" s="7" t="str">
        <f>_xlfn.XLOOKUP(Order_Details[[#This Row],[Order ID]], List_of_orders[Order ID], List_of_orders[State])</f>
        <v>Madhya Pradesh</v>
      </c>
      <c r="H1081" s="10">
        <f>_xlfn.XLOOKUP(Order_Details[[#This Row],[Order ID]], List_of_orders[Order ID], List_of_orders[Order Date (Clean)])</f>
        <v>43483</v>
      </c>
      <c r="I1081" s="7" t="str">
        <f>_xlfn.XLOOKUP(Order_Details[[#This Row],[Order ID]], List_of_orders[Order ID], List_of_orders[CustomerName])</f>
        <v>Muskan</v>
      </c>
      <c r="J1081" s="7" t="str">
        <f>_xlfn.XLOOKUP(Order_Details[[#This Row],[Order ID]], List_of_orders[Order ID], List_of_orders[City])</f>
        <v>Indore</v>
      </c>
      <c r="K1081" s="8" t="str">
        <f>TEXT(Order_Details[[#This Row],[Order Date]], "YY-MMM")</f>
        <v>19-Jan</v>
      </c>
      <c r="L1081" s="11">
        <f>Order_Details[[#This Row],[Profit]]/Order_Details[[#This Row],[Amount]]</f>
        <v>3.9627039627039624E-2</v>
      </c>
      <c r="M1081" s="8">
        <f>YEAR(Order_Details[[#This Row],[Order Date]])</f>
        <v>2019</v>
      </c>
      <c r="N1081" s="8">
        <f>ROUNDUP(MONTH(Order_Details[[#This Row],[Order Date]])/3, 0)</f>
        <v>1</v>
      </c>
    </row>
    <row r="1082" spans="1:14">
      <c r="A1082" s="1" t="s">
        <v>849</v>
      </c>
      <c r="B1082" s="1">
        <v>82</v>
      </c>
      <c r="C1082" s="1">
        <v>24</v>
      </c>
      <c r="D1082" s="1">
        <v>6</v>
      </c>
      <c r="E1082" s="1" t="s">
        <v>1076</v>
      </c>
      <c r="F1082" s="1" t="s">
        <v>1103</v>
      </c>
      <c r="G1082" s="7" t="str">
        <f>_xlfn.XLOOKUP(Order_Details[[#This Row],[Order ID]], List_of_orders[Order ID], List_of_orders[State])</f>
        <v>Madhya Pradesh</v>
      </c>
      <c r="H1082" s="10">
        <f>_xlfn.XLOOKUP(Order_Details[[#This Row],[Order ID]], List_of_orders[Order ID], List_of_orders[Order Date (Clean)])</f>
        <v>43483</v>
      </c>
      <c r="I1082" s="7" t="str">
        <f>_xlfn.XLOOKUP(Order_Details[[#This Row],[Order ID]], List_of_orders[Order ID], List_of_orders[CustomerName])</f>
        <v>Muskan</v>
      </c>
      <c r="J1082" s="7" t="str">
        <f>_xlfn.XLOOKUP(Order_Details[[#This Row],[Order ID]], List_of_orders[Order ID], List_of_orders[City])</f>
        <v>Indore</v>
      </c>
      <c r="K1082" s="8" t="str">
        <f>TEXT(Order_Details[[#This Row],[Order Date]], "YY-MMM")</f>
        <v>19-Jan</v>
      </c>
      <c r="L1082" s="11">
        <f>Order_Details[[#This Row],[Profit]]/Order_Details[[#This Row],[Amount]]</f>
        <v>0.29268292682926828</v>
      </c>
      <c r="M1082" s="8">
        <f>YEAR(Order_Details[[#This Row],[Order Date]])</f>
        <v>2019</v>
      </c>
      <c r="N1082" s="8">
        <f>ROUNDUP(MONTH(Order_Details[[#This Row],[Order Date]])/3, 0)</f>
        <v>1</v>
      </c>
    </row>
    <row r="1083" spans="1:14">
      <c r="A1083" s="1" t="s">
        <v>849</v>
      </c>
      <c r="B1083" s="1">
        <v>23</v>
      </c>
      <c r="C1083" s="1">
        <v>8</v>
      </c>
      <c r="D1083" s="1">
        <v>2</v>
      </c>
      <c r="E1083" s="1" t="s">
        <v>1076</v>
      </c>
      <c r="F1083" s="1" t="s">
        <v>1103</v>
      </c>
      <c r="G1083" s="7" t="str">
        <f>_xlfn.XLOOKUP(Order_Details[[#This Row],[Order ID]], List_of_orders[Order ID], List_of_orders[State])</f>
        <v>Madhya Pradesh</v>
      </c>
      <c r="H1083" s="10">
        <f>_xlfn.XLOOKUP(Order_Details[[#This Row],[Order ID]], List_of_orders[Order ID], List_of_orders[Order Date (Clean)])</f>
        <v>43483</v>
      </c>
      <c r="I1083" s="7" t="str">
        <f>_xlfn.XLOOKUP(Order_Details[[#This Row],[Order ID]], List_of_orders[Order ID], List_of_orders[CustomerName])</f>
        <v>Muskan</v>
      </c>
      <c r="J1083" s="7" t="str">
        <f>_xlfn.XLOOKUP(Order_Details[[#This Row],[Order ID]], List_of_orders[Order ID], List_of_orders[City])</f>
        <v>Indore</v>
      </c>
      <c r="K1083" s="8" t="str">
        <f>TEXT(Order_Details[[#This Row],[Order Date]], "YY-MMM")</f>
        <v>19-Jan</v>
      </c>
      <c r="L1083" s="11">
        <f>Order_Details[[#This Row],[Profit]]/Order_Details[[#This Row],[Amount]]</f>
        <v>0.34782608695652173</v>
      </c>
      <c r="M1083" s="8">
        <f>YEAR(Order_Details[[#This Row],[Order Date]])</f>
        <v>2019</v>
      </c>
      <c r="N1083" s="8">
        <f>ROUNDUP(MONTH(Order_Details[[#This Row],[Order Date]])/3, 0)</f>
        <v>1</v>
      </c>
    </row>
    <row r="1084" spans="1:14">
      <c r="A1084" s="1" t="s">
        <v>851</v>
      </c>
      <c r="B1084" s="1">
        <v>171</v>
      </c>
      <c r="C1084" s="1">
        <v>-140</v>
      </c>
      <c r="D1084" s="1">
        <v>2</v>
      </c>
      <c r="E1084" s="1" t="s">
        <v>1075</v>
      </c>
      <c r="F1084" s="1" t="s">
        <v>1101</v>
      </c>
      <c r="G1084" s="7" t="str">
        <f>_xlfn.XLOOKUP(Order_Details[[#This Row],[Order ID]], List_of_orders[Order ID], List_of_orders[State])</f>
        <v>Andhra Pradesh</v>
      </c>
      <c r="H1084" s="10">
        <f>_xlfn.XLOOKUP(Order_Details[[#This Row],[Order ID]], List_of_orders[Order ID], List_of_orders[Order Date (Clean)])</f>
        <v>43483</v>
      </c>
      <c r="I1084" s="7" t="str">
        <f>_xlfn.XLOOKUP(Order_Details[[#This Row],[Order ID]], List_of_orders[Order ID], List_of_orders[CustomerName])</f>
        <v>Shreya</v>
      </c>
      <c r="J1084" s="7" t="str">
        <f>_xlfn.XLOOKUP(Order_Details[[#This Row],[Order ID]], List_of_orders[Order ID], List_of_orders[City])</f>
        <v>Hyderabad</v>
      </c>
      <c r="K1084" s="8" t="str">
        <f>TEXT(Order_Details[[#This Row],[Order Date]], "YY-MMM")</f>
        <v>19-Jan</v>
      </c>
      <c r="L1084" s="11">
        <f>Order_Details[[#This Row],[Profit]]/Order_Details[[#This Row],[Amount]]</f>
        <v>-0.81871345029239762</v>
      </c>
      <c r="M1084" s="8">
        <f>YEAR(Order_Details[[#This Row],[Order Date]])</f>
        <v>2019</v>
      </c>
      <c r="N1084" s="8">
        <f>ROUNDUP(MONTH(Order_Details[[#This Row],[Order Date]])/3, 0)</f>
        <v>1</v>
      </c>
    </row>
    <row r="1085" spans="1:14">
      <c r="A1085" s="1" t="s">
        <v>852</v>
      </c>
      <c r="B1085" s="1">
        <v>34</v>
      </c>
      <c r="C1085" s="1">
        <v>-12</v>
      </c>
      <c r="D1085" s="1">
        <v>5</v>
      </c>
      <c r="E1085" s="1" t="s">
        <v>1076</v>
      </c>
      <c r="F1085" s="1" t="s">
        <v>1112</v>
      </c>
      <c r="G1085" s="7" t="str">
        <f>_xlfn.XLOOKUP(Order_Details[[#This Row],[Order ID]], List_of_orders[Order ID], List_of_orders[State])</f>
        <v>Gujarat</v>
      </c>
      <c r="H1085" s="10">
        <f>_xlfn.XLOOKUP(Order_Details[[#This Row],[Order ID]], List_of_orders[Order ID], List_of_orders[Order Date (Clean)])</f>
        <v>43483</v>
      </c>
      <c r="I1085" s="7" t="str">
        <f>_xlfn.XLOOKUP(Order_Details[[#This Row],[Order ID]], List_of_orders[Order ID], List_of_orders[CustomerName])</f>
        <v>Surbhi</v>
      </c>
      <c r="J1085" s="7" t="str">
        <f>_xlfn.XLOOKUP(Order_Details[[#This Row],[Order ID]], List_of_orders[Order ID], List_of_orders[City])</f>
        <v>Ahmedabad</v>
      </c>
      <c r="K1085" s="8" t="str">
        <f>TEXT(Order_Details[[#This Row],[Order Date]], "YY-MMM")</f>
        <v>19-Jan</v>
      </c>
      <c r="L1085" s="11">
        <f>Order_Details[[#This Row],[Profit]]/Order_Details[[#This Row],[Amount]]</f>
        <v>-0.35294117647058826</v>
      </c>
      <c r="M1085" s="8">
        <f>YEAR(Order_Details[[#This Row],[Order Date]])</f>
        <v>2019</v>
      </c>
      <c r="N1085" s="8">
        <f>ROUNDUP(MONTH(Order_Details[[#This Row],[Order Date]])/3, 0)</f>
        <v>1</v>
      </c>
    </row>
    <row r="1086" spans="1:14">
      <c r="A1086" s="1" t="s">
        <v>852</v>
      </c>
      <c r="B1086" s="1">
        <v>366</v>
      </c>
      <c r="C1086" s="1">
        <v>84</v>
      </c>
      <c r="D1086" s="1">
        <v>3</v>
      </c>
      <c r="E1086" s="1" t="s">
        <v>1075</v>
      </c>
      <c r="F1086" s="1" t="s">
        <v>1101</v>
      </c>
      <c r="G1086" s="7" t="str">
        <f>_xlfn.XLOOKUP(Order_Details[[#This Row],[Order ID]], List_of_orders[Order ID], List_of_orders[State])</f>
        <v>Gujarat</v>
      </c>
      <c r="H1086" s="10">
        <f>_xlfn.XLOOKUP(Order_Details[[#This Row],[Order ID]], List_of_orders[Order ID], List_of_orders[Order Date (Clean)])</f>
        <v>43483</v>
      </c>
      <c r="I1086" s="7" t="str">
        <f>_xlfn.XLOOKUP(Order_Details[[#This Row],[Order ID]], List_of_orders[Order ID], List_of_orders[CustomerName])</f>
        <v>Surbhi</v>
      </c>
      <c r="J1086" s="7" t="str">
        <f>_xlfn.XLOOKUP(Order_Details[[#This Row],[Order ID]], List_of_orders[Order ID], List_of_orders[City])</f>
        <v>Ahmedabad</v>
      </c>
      <c r="K1086" s="8" t="str">
        <f>TEXT(Order_Details[[#This Row],[Order Date]], "YY-MMM")</f>
        <v>19-Jan</v>
      </c>
      <c r="L1086" s="11">
        <f>Order_Details[[#This Row],[Profit]]/Order_Details[[#This Row],[Amount]]</f>
        <v>0.22950819672131148</v>
      </c>
      <c r="M1086" s="8">
        <f>YEAR(Order_Details[[#This Row],[Order Date]])</f>
        <v>2019</v>
      </c>
      <c r="N1086" s="8">
        <f>ROUNDUP(MONTH(Order_Details[[#This Row],[Order Date]])/3, 0)</f>
        <v>1</v>
      </c>
    </row>
    <row r="1087" spans="1:14">
      <c r="A1087" s="1" t="s">
        <v>852</v>
      </c>
      <c r="B1087" s="1">
        <v>26</v>
      </c>
      <c r="C1087" s="1">
        <v>3</v>
      </c>
      <c r="D1087" s="1">
        <v>3</v>
      </c>
      <c r="E1087" s="1" t="s">
        <v>1076</v>
      </c>
      <c r="F1087" s="1" t="s">
        <v>1117</v>
      </c>
      <c r="G1087" s="7" t="str">
        <f>_xlfn.XLOOKUP(Order_Details[[#This Row],[Order ID]], List_of_orders[Order ID], List_of_orders[State])</f>
        <v>Gujarat</v>
      </c>
      <c r="H1087" s="10">
        <f>_xlfn.XLOOKUP(Order_Details[[#This Row],[Order ID]], List_of_orders[Order ID], List_of_orders[Order Date (Clean)])</f>
        <v>43483</v>
      </c>
      <c r="I1087" s="7" t="str">
        <f>_xlfn.XLOOKUP(Order_Details[[#This Row],[Order ID]], List_of_orders[Order ID], List_of_orders[CustomerName])</f>
        <v>Surbhi</v>
      </c>
      <c r="J1087" s="7" t="str">
        <f>_xlfn.XLOOKUP(Order_Details[[#This Row],[Order ID]], List_of_orders[Order ID], List_of_orders[City])</f>
        <v>Ahmedabad</v>
      </c>
      <c r="K1087" s="8" t="str">
        <f>TEXT(Order_Details[[#This Row],[Order Date]], "YY-MMM")</f>
        <v>19-Jan</v>
      </c>
      <c r="L1087" s="11">
        <f>Order_Details[[#This Row],[Profit]]/Order_Details[[#This Row],[Amount]]</f>
        <v>0.11538461538461539</v>
      </c>
      <c r="M1087" s="8">
        <f>YEAR(Order_Details[[#This Row],[Order Date]])</f>
        <v>2019</v>
      </c>
      <c r="N1087" s="8">
        <f>ROUNDUP(MONTH(Order_Details[[#This Row],[Order Date]])/3, 0)</f>
        <v>1</v>
      </c>
    </row>
    <row r="1088" spans="1:14">
      <c r="A1088" s="1" t="s">
        <v>852</v>
      </c>
      <c r="B1088" s="1">
        <v>446</v>
      </c>
      <c r="C1088" s="1">
        <v>53</v>
      </c>
      <c r="D1088" s="1">
        <v>3</v>
      </c>
      <c r="E1088" s="1" t="s">
        <v>1077</v>
      </c>
      <c r="F1088" s="1" t="s">
        <v>1114</v>
      </c>
      <c r="G1088" s="7" t="str">
        <f>_xlfn.XLOOKUP(Order_Details[[#This Row],[Order ID]], List_of_orders[Order ID], List_of_orders[State])</f>
        <v>Gujarat</v>
      </c>
      <c r="H1088" s="10">
        <f>_xlfn.XLOOKUP(Order_Details[[#This Row],[Order ID]], List_of_orders[Order ID], List_of_orders[Order Date (Clean)])</f>
        <v>43483</v>
      </c>
      <c r="I1088" s="7" t="str">
        <f>_xlfn.XLOOKUP(Order_Details[[#This Row],[Order ID]], List_of_orders[Order ID], List_of_orders[CustomerName])</f>
        <v>Surbhi</v>
      </c>
      <c r="J1088" s="7" t="str">
        <f>_xlfn.XLOOKUP(Order_Details[[#This Row],[Order ID]], List_of_orders[Order ID], List_of_orders[City])</f>
        <v>Ahmedabad</v>
      </c>
      <c r="K1088" s="8" t="str">
        <f>TEXT(Order_Details[[#This Row],[Order Date]], "YY-MMM")</f>
        <v>19-Jan</v>
      </c>
      <c r="L1088" s="11">
        <f>Order_Details[[#This Row],[Profit]]/Order_Details[[#This Row],[Amount]]</f>
        <v>0.11883408071748879</v>
      </c>
      <c r="M1088" s="8">
        <f>YEAR(Order_Details[[#This Row],[Order Date]])</f>
        <v>2019</v>
      </c>
      <c r="N1088" s="8">
        <f>ROUNDUP(MONTH(Order_Details[[#This Row],[Order Date]])/3, 0)</f>
        <v>1</v>
      </c>
    </row>
    <row r="1089" spans="1:14">
      <c r="A1089" s="1" t="s">
        <v>852</v>
      </c>
      <c r="B1089" s="1">
        <v>48</v>
      </c>
      <c r="C1089" s="1">
        <v>16</v>
      </c>
      <c r="D1089" s="1">
        <v>3</v>
      </c>
      <c r="E1089" s="1" t="s">
        <v>1076</v>
      </c>
      <c r="F1089" s="1" t="s">
        <v>1111</v>
      </c>
      <c r="G1089" s="7" t="str">
        <f>_xlfn.XLOOKUP(Order_Details[[#This Row],[Order ID]], List_of_orders[Order ID], List_of_orders[State])</f>
        <v>Gujarat</v>
      </c>
      <c r="H1089" s="10">
        <f>_xlfn.XLOOKUP(Order_Details[[#This Row],[Order ID]], List_of_orders[Order ID], List_of_orders[Order Date (Clean)])</f>
        <v>43483</v>
      </c>
      <c r="I1089" s="7" t="str">
        <f>_xlfn.XLOOKUP(Order_Details[[#This Row],[Order ID]], List_of_orders[Order ID], List_of_orders[CustomerName])</f>
        <v>Surbhi</v>
      </c>
      <c r="J1089" s="7" t="str">
        <f>_xlfn.XLOOKUP(Order_Details[[#This Row],[Order ID]], List_of_orders[Order ID], List_of_orders[City])</f>
        <v>Ahmedabad</v>
      </c>
      <c r="K1089" s="8" t="str">
        <f>TEXT(Order_Details[[#This Row],[Order Date]], "YY-MMM")</f>
        <v>19-Jan</v>
      </c>
      <c r="L1089" s="11">
        <f>Order_Details[[#This Row],[Profit]]/Order_Details[[#This Row],[Amount]]</f>
        <v>0.33333333333333331</v>
      </c>
      <c r="M1089" s="8">
        <f>YEAR(Order_Details[[#This Row],[Order Date]])</f>
        <v>2019</v>
      </c>
      <c r="N1089" s="8">
        <f>ROUNDUP(MONTH(Order_Details[[#This Row],[Order Date]])/3, 0)</f>
        <v>1</v>
      </c>
    </row>
    <row r="1090" spans="1:14">
      <c r="A1090" s="1" t="s">
        <v>852</v>
      </c>
      <c r="B1090" s="1">
        <v>34</v>
      </c>
      <c r="C1090" s="1">
        <v>10</v>
      </c>
      <c r="D1090" s="1">
        <v>3</v>
      </c>
      <c r="E1090" s="1" t="s">
        <v>1076</v>
      </c>
      <c r="F1090" s="1" t="s">
        <v>1117</v>
      </c>
      <c r="G1090" s="7" t="str">
        <f>_xlfn.XLOOKUP(Order_Details[[#This Row],[Order ID]], List_of_orders[Order ID], List_of_orders[State])</f>
        <v>Gujarat</v>
      </c>
      <c r="H1090" s="10">
        <f>_xlfn.XLOOKUP(Order_Details[[#This Row],[Order ID]], List_of_orders[Order ID], List_of_orders[Order Date (Clean)])</f>
        <v>43483</v>
      </c>
      <c r="I1090" s="7" t="str">
        <f>_xlfn.XLOOKUP(Order_Details[[#This Row],[Order ID]], List_of_orders[Order ID], List_of_orders[CustomerName])</f>
        <v>Surbhi</v>
      </c>
      <c r="J1090" s="7" t="str">
        <f>_xlfn.XLOOKUP(Order_Details[[#This Row],[Order ID]], List_of_orders[Order ID], List_of_orders[City])</f>
        <v>Ahmedabad</v>
      </c>
      <c r="K1090" s="8" t="str">
        <f>TEXT(Order_Details[[#This Row],[Order Date]], "YY-MMM")</f>
        <v>19-Jan</v>
      </c>
      <c r="L1090" s="11">
        <f>Order_Details[[#This Row],[Profit]]/Order_Details[[#This Row],[Amount]]</f>
        <v>0.29411764705882354</v>
      </c>
      <c r="M1090" s="8">
        <f>YEAR(Order_Details[[#This Row],[Order Date]])</f>
        <v>2019</v>
      </c>
      <c r="N1090" s="8">
        <f>ROUNDUP(MONTH(Order_Details[[#This Row],[Order Date]])/3, 0)</f>
        <v>1</v>
      </c>
    </row>
    <row r="1091" spans="1:14">
      <c r="A1091" s="1" t="s">
        <v>853</v>
      </c>
      <c r="B1091" s="1">
        <v>260</v>
      </c>
      <c r="C1091" s="1">
        <v>68</v>
      </c>
      <c r="D1091" s="1">
        <v>2</v>
      </c>
      <c r="E1091" s="1" t="s">
        <v>1077</v>
      </c>
      <c r="F1091" s="1" t="s">
        <v>1114</v>
      </c>
      <c r="G1091" s="7" t="str">
        <f>_xlfn.XLOOKUP(Order_Details[[#This Row],[Order ID]], List_of_orders[Order ID], List_of_orders[State])</f>
        <v>Maharashtra</v>
      </c>
      <c r="H1091" s="10">
        <f>_xlfn.XLOOKUP(Order_Details[[#This Row],[Order ID]], List_of_orders[Order ID], List_of_orders[Order Date (Clean)])</f>
        <v>43484</v>
      </c>
      <c r="I1091" s="7" t="str">
        <f>_xlfn.XLOOKUP(Order_Details[[#This Row],[Order ID]], List_of_orders[Order ID], List_of_orders[CustomerName])</f>
        <v>Tejeswini</v>
      </c>
      <c r="J1091" s="7" t="str">
        <f>_xlfn.XLOOKUP(Order_Details[[#This Row],[Order ID]], List_of_orders[Order ID], List_of_orders[City])</f>
        <v>Pune</v>
      </c>
      <c r="K1091" s="8" t="str">
        <f>TEXT(Order_Details[[#This Row],[Order Date]], "YY-MMM")</f>
        <v>19-Jan</v>
      </c>
      <c r="L1091" s="11">
        <f>Order_Details[[#This Row],[Profit]]/Order_Details[[#This Row],[Amount]]</f>
        <v>0.26153846153846155</v>
      </c>
      <c r="M1091" s="8">
        <f>YEAR(Order_Details[[#This Row],[Order Date]])</f>
        <v>2019</v>
      </c>
      <c r="N1091" s="8">
        <f>ROUNDUP(MONTH(Order_Details[[#This Row],[Order Date]])/3, 0)</f>
        <v>1</v>
      </c>
    </row>
    <row r="1092" spans="1:14">
      <c r="A1092" s="1" t="s">
        <v>853</v>
      </c>
      <c r="B1092" s="1">
        <v>312</v>
      </c>
      <c r="C1092" s="1">
        <v>62</v>
      </c>
      <c r="D1092" s="1">
        <v>1</v>
      </c>
      <c r="E1092" s="1" t="s">
        <v>1077</v>
      </c>
      <c r="F1092" s="1" t="s">
        <v>1104</v>
      </c>
      <c r="G1092" s="7" t="str">
        <f>_xlfn.XLOOKUP(Order_Details[[#This Row],[Order ID]], List_of_orders[Order ID], List_of_orders[State])</f>
        <v>Maharashtra</v>
      </c>
      <c r="H1092" s="10">
        <f>_xlfn.XLOOKUP(Order_Details[[#This Row],[Order ID]], List_of_orders[Order ID], List_of_orders[Order Date (Clean)])</f>
        <v>43484</v>
      </c>
      <c r="I1092" s="7" t="str">
        <f>_xlfn.XLOOKUP(Order_Details[[#This Row],[Order ID]], List_of_orders[Order ID], List_of_orders[CustomerName])</f>
        <v>Tejeswini</v>
      </c>
      <c r="J1092" s="7" t="str">
        <f>_xlfn.XLOOKUP(Order_Details[[#This Row],[Order ID]], List_of_orders[Order ID], List_of_orders[City])</f>
        <v>Pune</v>
      </c>
      <c r="K1092" s="8" t="str">
        <f>TEXT(Order_Details[[#This Row],[Order Date]], "YY-MMM")</f>
        <v>19-Jan</v>
      </c>
      <c r="L1092" s="11">
        <f>Order_Details[[#This Row],[Profit]]/Order_Details[[#This Row],[Amount]]</f>
        <v>0.19871794871794871</v>
      </c>
      <c r="M1092" s="8">
        <f>YEAR(Order_Details[[#This Row],[Order Date]])</f>
        <v>2019</v>
      </c>
      <c r="N1092" s="8">
        <f>ROUNDUP(MONTH(Order_Details[[#This Row],[Order Date]])/3, 0)</f>
        <v>1</v>
      </c>
    </row>
    <row r="1093" spans="1:14">
      <c r="A1093" s="1" t="s">
        <v>853</v>
      </c>
      <c r="B1093" s="1">
        <v>544</v>
      </c>
      <c r="C1093" s="1">
        <v>-152</v>
      </c>
      <c r="D1093" s="1">
        <v>3</v>
      </c>
      <c r="E1093" s="1" t="s">
        <v>1075</v>
      </c>
      <c r="F1093" s="1" t="s">
        <v>1101</v>
      </c>
      <c r="G1093" s="7" t="str">
        <f>_xlfn.XLOOKUP(Order_Details[[#This Row],[Order ID]], List_of_orders[Order ID], List_of_orders[State])</f>
        <v>Maharashtra</v>
      </c>
      <c r="H1093" s="10">
        <f>_xlfn.XLOOKUP(Order_Details[[#This Row],[Order ID]], List_of_orders[Order ID], List_of_orders[Order Date (Clean)])</f>
        <v>43484</v>
      </c>
      <c r="I1093" s="7" t="str">
        <f>_xlfn.XLOOKUP(Order_Details[[#This Row],[Order ID]], List_of_orders[Order ID], List_of_orders[CustomerName])</f>
        <v>Tejeswini</v>
      </c>
      <c r="J1093" s="7" t="str">
        <f>_xlfn.XLOOKUP(Order_Details[[#This Row],[Order ID]], List_of_orders[Order ID], List_of_orders[City])</f>
        <v>Pune</v>
      </c>
      <c r="K1093" s="8" t="str">
        <f>TEXT(Order_Details[[#This Row],[Order Date]], "YY-MMM")</f>
        <v>19-Jan</v>
      </c>
      <c r="L1093" s="11">
        <f>Order_Details[[#This Row],[Profit]]/Order_Details[[#This Row],[Amount]]</f>
        <v>-0.27941176470588236</v>
      </c>
      <c r="M1093" s="8">
        <f>YEAR(Order_Details[[#This Row],[Order Date]])</f>
        <v>2019</v>
      </c>
      <c r="N1093" s="8">
        <f>ROUNDUP(MONTH(Order_Details[[#This Row],[Order Date]])/3, 0)</f>
        <v>1</v>
      </c>
    </row>
    <row r="1094" spans="1:14">
      <c r="A1094" s="1" t="s">
        <v>856</v>
      </c>
      <c r="B1094" s="1">
        <v>53</v>
      </c>
      <c r="C1094" s="1">
        <v>8</v>
      </c>
      <c r="D1094" s="1">
        <v>3</v>
      </c>
      <c r="E1094" s="1" t="s">
        <v>1075</v>
      </c>
      <c r="F1094" s="1" t="s">
        <v>1116</v>
      </c>
      <c r="G1094" s="7" t="str">
        <f>_xlfn.XLOOKUP(Order_Details[[#This Row],[Order ID]], List_of_orders[Order ID], List_of_orders[State])</f>
        <v>Maharashtra</v>
      </c>
      <c r="H1094" s="10">
        <f>_xlfn.XLOOKUP(Order_Details[[#This Row],[Order ID]], List_of_orders[Order ID], List_of_orders[Order Date (Clean)])</f>
        <v>43484</v>
      </c>
      <c r="I1094" s="7" t="str">
        <f>_xlfn.XLOOKUP(Order_Details[[#This Row],[Order ID]], List_of_orders[Order ID], List_of_orders[CustomerName])</f>
        <v>Pratiksha</v>
      </c>
      <c r="J1094" s="7" t="str">
        <f>_xlfn.XLOOKUP(Order_Details[[#This Row],[Order ID]], List_of_orders[Order ID], List_of_orders[City])</f>
        <v>Mumbai</v>
      </c>
      <c r="K1094" s="8" t="str">
        <f>TEXT(Order_Details[[#This Row],[Order Date]], "YY-MMM")</f>
        <v>19-Jan</v>
      </c>
      <c r="L1094" s="11">
        <f>Order_Details[[#This Row],[Profit]]/Order_Details[[#This Row],[Amount]]</f>
        <v>0.15094339622641509</v>
      </c>
      <c r="M1094" s="8">
        <f>YEAR(Order_Details[[#This Row],[Order Date]])</f>
        <v>2019</v>
      </c>
      <c r="N1094" s="8">
        <f>ROUNDUP(MONTH(Order_Details[[#This Row],[Order Date]])/3, 0)</f>
        <v>1</v>
      </c>
    </row>
    <row r="1095" spans="1:14">
      <c r="A1095" s="1" t="s">
        <v>858</v>
      </c>
      <c r="B1095" s="1">
        <v>199</v>
      </c>
      <c r="C1095" s="1">
        <v>0</v>
      </c>
      <c r="D1095" s="1">
        <v>4</v>
      </c>
      <c r="E1095" s="1" t="s">
        <v>1076</v>
      </c>
      <c r="F1095" s="1" t="s">
        <v>1102</v>
      </c>
      <c r="G1095" s="7" t="str">
        <f>_xlfn.XLOOKUP(Order_Details[[#This Row],[Order ID]], List_of_orders[Order ID], List_of_orders[State])</f>
        <v>Madhya Pradesh</v>
      </c>
      <c r="H1095" s="10">
        <f>_xlfn.XLOOKUP(Order_Details[[#This Row],[Order ID]], List_of_orders[Order ID], List_of_orders[Order Date (Clean)])</f>
        <v>43485</v>
      </c>
      <c r="I1095" s="7" t="str">
        <f>_xlfn.XLOOKUP(Order_Details[[#This Row],[Order ID]], List_of_orders[Order ID], List_of_orders[CustomerName])</f>
        <v>Oshin</v>
      </c>
      <c r="J1095" s="7" t="str">
        <f>_xlfn.XLOOKUP(Order_Details[[#This Row],[Order ID]], List_of_orders[Order ID], List_of_orders[City])</f>
        <v>Indore</v>
      </c>
      <c r="K1095" s="8" t="str">
        <f>TEXT(Order_Details[[#This Row],[Order Date]], "YY-MMM")</f>
        <v>19-Jan</v>
      </c>
      <c r="L1095" s="11">
        <f>Order_Details[[#This Row],[Profit]]/Order_Details[[#This Row],[Amount]]</f>
        <v>0</v>
      </c>
      <c r="M1095" s="8">
        <f>YEAR(Order_Details[[#This Row],[Order Date]])</f>
        <v>2019</v>
      </c>
      <c r="N1095" s="8">
        <f>ROUNDUP(MONTH(Order_Details[[#This Row],[Order Date]])/3, 0)</f>
        <v>1</v>
      </c>
    </row>
    <row r="1096" spans="1:14">
      <c r="A1096" s="1" t="s">
        <v>858</v>
      </c>
      <c r="B1096" s="1">
        <v>89</v>
      </c>
      <c r="C1096" s="1">
        <v>6</v>
      </c>
      <c r="D1096" s="1">
        <v>5</v>
      </c>
      <c r="E1096" s="1" t="s">
        <v>1076</v>
      </c>
      <c r="F1096" s="1" t="s">
        <v>1106</v>
      </c>
      <c r="G1096" s="7" t="str">
        <f>_xlfn.XLOOKUP(Order_Details[[#This Row],[Order ID]], List_of_orders[Order ID], List_of_orders[State])</f>
        <v>Madhya Pradesh</v>
      </c>
      <c r="H1096" s="10">
        <f>_xlfn.XLOOKUP(Order_Details[[#This Row],[Order ID]], List_of_orders[Order ID], List_of_orders[Order Date (Clean)])</f>
        <v>43485</v>
      </c>
      <c r="I1096" s="7" t="str">
        <f>_xlfn.XLOOKUP(Order_Details[[#This Row],[Order ID]], List_of_orders[Order ID], List_of_orders[CustomerName])</f>
        <v>Oshin</v>
      </c>
      <c r="J1096" s="7" t="str">
        <f>_xlfn.XLOOKUP(Order_Details[[#This Row],[Order ID]], List_of_orders[Order ID], List_of_orders[City])</f>
        <v>Indore</v>
      </c>
      <c r="K1096" s="8" t="str">
        <f>TEXT(Order_Details[[#This Row],[Order Date]], "YY-MMM")</f>
        <v>19-Jan</v>
      </c>
      <c r="L1096" s="11">
        <f>Order_Details[[#This Row],[Profit]]/Order_Details[[#This Row],[Amount]]</f>
        <v>6.741573033707865E-2</v>
      </c>
      <c r="M1096" s="8">
        <f>YEAR(Order_Details[[#This Row],[Order Date]])</f>
        <v>2019</v>
      </c>
      <c r="N1096" s="8">
        <f>ROUNDUP(MONTH(Order_Details[[#This Row],[Order Date]])/3, 0)</f>
        <v>1</v>
      </c>
    </row>
    <row r="1097" spans="1:14">
      <c r="A1097" s="1" t="s">
        <v>858</v>
      </c>
      <c r="B1097" s="1">
        <v>1270</v>
      </c>
      <c r="C1097" s="1">
        <v>546</v>
      </c>
      <c r="D1097" s="1">
        <v>11</v>
      </c>
      <c r="E1097" s="1" t="s">
        <v>1077</v>
      </c>
      <c r="F1097" s="1" t="s">
        <v>1104</v>
      </c>
      <c r="G1097" s="7" t="str">
        <f>_xlfn.XLOOKUP(Order_Details[[#This Row],[Order ID]], List_of_orders[Order ID], List_of_orders[State])</f>
        <v>Madhya Pradesh</v>
      </c>
      <c r="H1097" s="10">
        <f>_xlfn.XLOOKUP(Order_Details[[#This Row],[Order ID]], List_of_orders[Order ID], List_of_orders[Order Date (Clean)])</f>
        <v>43485</v>
      </c>
      <c r="I1097" s="7" t="str">
        <f>_xlfn.XLOOKUP(Order_Details[[#This Row],[Order ID]], List_of_orders[Order ID], List_of_orders[CustomerName])</f>
        <v>Oshin</v>
      </c>
      <c r="J1097" s="7" t="str">
        <f>_xlfn.XLOOKUP(Order_Details[[#This Row],[Order ID]], List_of_orders[Order ID], List_of_orders[City])</f>
        <v>Indore</v>
      </c>
      <c r="K1097" s="8" t="str">
        <f>TEXT(Order_Details[[#This Row],[Order Date]], "YY-MMM")</f>
        <v>19-Jan</v>
      </c>
      <c r="L1097" s="11">
        <f>Order_Details[[#This Row],[Profit]]/Order_Details[[#This Row],[Amount]]</f>
        <v>0.42992125984251967</v>
      </c>
      <c r="M1097" s="8">
        <f>YEAR(Order_Details[[#This Row],[Order Date]])</f>
        <v>2019</v>
      </c>
      <c r="N1097" s="8">
        <f>ROUNDUP(MONTH(Order_Details[[#This Row],[Order Date]])/3, 0)</f>
        <v>1</v>
      </c>
    </row>
    <row r="1098" spans="1:14">
      <c r="A1098" s="1" t="s">
        <v>858</v>
      </c>
      <c r="B1098" s="1">
        <v>346</v>
      </c>
      <c r="C1098" s="1">
        <v>108</v>
      </c>
      <c r="D1098" s="1">
        <v>3</v>
      </c>
      <c r="E1098" s="1" t="s">
        <v>1075</v>
      </c>
      <c r="F1098" s="1" t="s">
        <v>1108</v>
      </c>
      <c r="G1098" s="7" t="str">
        <f>_xlfn.XLOOKUP(Order_Details[[#This Row],[Order ID]], List_of_orders[Order ID], List_of_orders[State])</f>
        <v>Madhya Pradesh</v>
      </c>
      <c r="H1098" s="10">
        <f>_xlfn.XLOOKUP(Order_Details[[#This Row],[Order ID]], List_of_orders[Order ID], List_of_orders[Order Date (Clean)])</f>
        <v>43485</v>
      </c>
      <c r="I1098" s="7" t="str">
        <f>_xlfn.XLOOKUP(Order_Details[[#This Row],[Order ID]], List_of_orders[Order ID], List_of_orders[CustomerName])</f>
        <v>Oshin</v>
      </c>
      <c r="J1098" s="7" t="str">
        <f>_xlfn.XLOOKUP(Order_Details[[#This Row],[Order ID]], List_of_orders[Order ID], List_of_orders[City])</f>
        <v>Indore</v>
      </c>
      <c r="K1098" s="8" t="str">
        <f>TEXT(Order_Details[[#This Row],[Order Date]], "YY-MMM")</f>
        <v>19-Jan</v>
      </c>
      <c r="L1098" s="11">
        <f>Order_Details[[#This Row],[Profit]]/Order_Details[[#This Row],[Amount]]</f>
        <v>0.31213872832369943</v>
      </c>
      <c r="M1098" s="8">
        <f>YEAR(Order_Details[[#This Row],[Order Date]])</f>
        <v>2019</v>
      </c>
      <c r="N1098" s="8">
        <f>ROUNDUP(MONTH(Order_Details[[#This Row],[Order Date]])/3, 0)</f>
        <v>1</v>
      </c>
    </row>
    <row r="1099" spans="1:14">
      <c r="A1099" s="1" t="s">
        <v>861</v>
      </c>
      <c r="B1099" s="1">
        <v>17</v>
      </c>
      <c r="C1099" s="1">
        <v>7</v>
      </c>
      <c r="D1099" s="1">
        <v>3</v>
      </c>
      <c r="E1099" s="1" t="s">
        <v>1076</v>
      </c>
      <c r="F1099" s="1" t="s">
        <v>1103</v>
      </c>
      <c r="G1099" s="7" t="str">
        <f>_xlfn.XLOOKUP(Order_Details[[#This Row],[Order ID]], List_of_orders[Order ID], List_of_orders[State])</f>
        <v>West Bengal</v>
      </c>
      <c r="H1099" s="10">
        <f>_xlfn.XLOOKUP(Order_Details[[#This Row],[Order ID]], List_of_orders[Order ID], List_of_orders[Order Date (Clean)])</f>
        <v>43486</v>
      </c>
      <c r="I1099" s="7" t="str">
        <f>_xlfn.XLOOKUP(Order_Details[[#This Row],[Order ID]], List_of_orders[Order ID], List_of_orders[CustomerName])</f>
        <v>Saloni</v>
      </c>
      <c r="J1099" s="7" t="str">
        <f>_xlfn.XLOOKUP(Order_Details[[#This Row],[Order ID]], List_of_orders[Order ID], List_of_orders[City])</f>
        <v>Kolkata</v>
      </c>
      <c r="K1099" s="8" t="str">
        <f>TEXT(Order_Details[[#This Row],[Order Date]], "YY-MMM")</f>
        <v>19-Jan</v>
      </c>
      <c r="L1099" s="11">
        <f>Order_Details[[#This Row],[Profit]]/Order_Details[[#This Row],[Amount]]</f>
        <v>0.41176470588235292</v>
      </c>
      <c r="M1099" s="8">
        <f>YEAR(Order_Details[[#This Row],[Order Date]])</f>
        <v>2019</v>
      </c>
      <c r="N1099" s="8">
        <f>ROUNDUP(MONTH(Order_Details[[#This Row],[Order Date]])/3, 0)</f>
        <v>1</v>
      </c>
    </row>
    <row r="1100" spans="1:14">
      <c r="A1100" s="1" t="s">
        <v>864</v>
      </c>
      <c r="B1100" s="1">
        <v>510</v>
      </c>
      <c r="C1100" s="1">
        <v>234</v>
      </c>
      <c r="D1100" s="1">
        <v>6</v>
      </c>
      <c r="E1100" s="1" t="s">
        <v>1077</v>
      </c>
      <c r="F1100" s="1" t="s">
        <v>1104</v>
      </c>
      <c r="G1100" s="7" t="str">
        <f>_xlfn.XLOOKUP(Order_Details[[#This Row],[Order ID]], List_of_orders[Order ID], List_of_orders[State])</f>
        <v>Rajasthan</v>
      </c>
      <c r="H1100" s="10">
        <f>_xlfn.XLOOKUP(Order_Details[[#This Row],[Order ID]], List_of_orders[Order ID], List_of_orders[Order Date (Clean)])</f>
        <v>43486</v>
      </c>
      <c r="I1100" s="7" t="str">
        <f>_xlfn.XLOOKUP(Order_Details[[#This Row],[Order ID]], List_of_orders[Order ID], List_of_orders[CustomerName])</f>
        <v>Soumya</v>
      </c>
      <c r="J1100" s="7" t="str">
        <f>_xlfn.XLOOKUP(Order_Details[[#This Row],[Order ID]], List_of_orders[Order ID], List_of_orders[City])</f>
        <v>Udaipur</v>
      </c>
      <c r="K1100" s="8" t="str">
        <f>TEXT(Order_Details[[#This Row],[Order Date]], "YY-MMM")</f>
        <v>19-Jan</v>
      </c>
      <c r="L1100" s="11">
        <f>Order_Details[[#This Row],[Profit]]/Order_Details[[#This Row],[Amount]]</f>
        <v>0.45882352941176469</v>
      </c>
      <c r="M1100" s="8">
        <f>YEAR(Order_Details[[#This Row],[Order Date]])</f>
        <v>2019</v>
      </c>
      <c r="N1100" s="8">
        <f>ROUNDUP(MONTH(Order_Details[[#This Row],[Order Date]])/3, 0)</f>
        <v>1</v>
      </c>
    </row>
    <row r="1101" spans="1:14">
      <c r="A1101" s="1" t="s">
        <v>865</v>
      </c>
      <c r="B1101" s="1">
        <v>17</v>
      </c>
      <c r="C1101" s="1">
        <v>2</v>
      </c>
      <c r="D1101" s="1">
        <v>2</v>
      </c>
      <c r="E1101" s="1" t="s">
        <v>1076</v>
      </c>
      <c r="F1101" s="1" t="s">
        <v>1117</v>
      </c>
      <c r="G1101" s="7" t="str">
        <f>_xlfn.XLOOKUP(Order_Details[[#This Row],[Order ID]], List_of_orders[Order ID], List_of_orders[State])</f>
        <v>Uttar Pradesh</v>
      </c>
      <c r="H1101" s="10">
        <f>_xlfn.XLOOKUP(Order_Details[[#This Row],[Order ID]], List_of_orders[Order ID], List_of_orders[Order Date (Clean)])</f>
        <v>43486</v>
      </c>
      <c r="I1101" s="7" t="str">
        <f>_xlfn.XLOOKUP(Order_Details[[#This Row],[Order ID]], List_of_orders[Order ID], List_of_orders[CustomerName])</f>
        <v>Komal</v>
      </c>
      <c r="J1101" s="7" t="str">
        <f>_xlfn.XLOOKUP(Order_Details[[#This Row],[Order ID]], List_of_orders[Order ID], List_of_orders[City])</f>
        <v>Allahabad</v>
      </c>
      <c r="K1101" s="8" t="str">
        <f>TEXT(Order_Details[[#This Row],[Order Date]], "YY-MMM")</f>
        <v>19-Jan</v>
      </c>
      <c r="L1101" s="11">
        <f>Order_Details[[#This Row],[Profit]]/Order_Details[[#This Row],[Amount]]</f>
        <v>0.11764705882352941</v>
      </c>
      <c r="M1101" s="8">
        <f>YEAR(Order_Details[[#This Row],[Order Date]])</f>
        <v>2019</v>
      </c>
      <c r="N1101" s="8">
        <f>ROUNDUP(MONTH(Order_Details[[#This Row],[Order Date]])/3, 0)</f>
        <v>1</v>
      </c>
    </row>
    <row r="1102" spans="1:14">
      <c r="A1102" s="1" t="s">
        <v>865</v>
      </c>
      <c r="B1102" s="1">
        <v>119</v>
      </c>
      <c r="C1102" s="1">
        <v>-24</v>
      </c>
      <c r="D1102" s="1">
        <v>4</v>
      </c>
      <c r="E1102" s="1" t="s">
        <v>1075</v>
      </c>
      <c r="F1102" s="1" t="s">
        <v>1116</v>
      </c>
      <c r="G1102" s="7" t="str">
        <f>_xlfn.XLOOKUP(Order_Details[[#This Row],[Order ID]], List_of_orders[Order ID], List_of_orders[State])</f>
        <v>Uttar Pradesh</v>
      </c>
      <c r="H1102" s="10">
        <f>_xlfn.XLOOKUP(Order_Details[[#This Row],[Order ID]], List_of_orders[Order ID], List_of_orders[Order Date (Clean)])</f>
        <v>43486</v>
      </c>
      <c r="I1102" s="7" t="str">
        <f>_xlfn.XLOOKUP(Order_Details[[#This Row],[Order ID]], List_of_orders[Order ID], List_of_orders[CustomerName])</f>
        <v>Komal</v>
      </c>
      <c r="J1102" s="7" t="str">
        <f>_xlfn.XLOOKUP(Order_Details[[#This Row],[Order ID]], List_of_orders[Order ID], List_of_orders[City])</f>
        <v>Allahabad</v>
      </c>
      <c r="K1102" s="8" t="str">
        <f>TEXT(Order_Details[[#This Row],[Order Date]], "YY-MMM")</f>
        <v>19-Jan</v>
      </c>
      <c r="L1102" s="11">
        <f>Order_Details[[#This Row],[Profit]]/Order_Details[[#This Row],[Amount]]</f>
        <v>-0.20168067226890757</v>
      </c>
      <c r="M1102" s="8">
        <f>YEAR(Order_Details[[#This Row],[Order Date]])</f>
        <v>2019</v>
      </c>
      <c r="N1102" s="8">
        <f>ROUNDUP(MONTH(Order_Details[[#This Row],[Order Date]])/3, 0)</f>
        <v>1</v>
      </c>
    </row>
    <row r="1103" spans="1:14">
      <c r="A1103" s="1" t="s">
        <v>865</v>
      </c>
      <c r="B1103" s="1">
        <v>229</v>
      </c>
      <c r="C1103" s="1">
        <v>59</v>
      </c>
      <c r="D1103" s="1">
        <v>9</v>
      </c>
      <c r="E1103" s="1" t="s">
        <v>1076</v>
      </c>
      <c r="F1103" s="1" t="s">
        <v>1106</v>
      </c>
      <c r="G1103" s="7" t="str">
        <f>_xlfn.XLOOKUP(Order_Details[[#This Row],[Order ID]], List_of_orders[Order ID], List_of_orders[State])</f>
        <v>Uttar Pradesh</v>
      </c>
      <c r="H1103" s="10">
        <f>_xlfn.XLOOKUP(Order_Details[[#This Row],[Order ID]], List_of_orders[Order ID], List_of_orders[Order Date (Clean)])</f>
        <v>43486</v>
      </c>
      <c r="I1103" s="7" t="str">
        <f>_xlfn.XLOOKUP(Order_Details[[#This Row],[Order ID]], List_of_orders[Order ID], List_of_orders[CustomerName])</f>
        <v>Komal</v>
      </c>
      <c r="J1103" s="7" t="str">
        <f>_xlfn.XLOOKUP(Order_Details[[#This Row],[Order ID]], List_of_orders[Order ID], List_of_orders[City])</f>
        <v>Allahabad</v>
      </c>
      <c r="K1103" s="8" t="str">
        <f>TEXT(Order_Details[[#This Row],[Order Date]], "YY-MMM")</f>
        <v>19-Jan</v>
      </c>
      <c r="L1103" s="11">
        <f>Order_Details[[#This Row],[Profit]]/Order_Details[[#This Row],[Amount]]</f>
        <v>0.2576419213973799</v>
      </c>
      <c r="M1103" s="8">
        <f>YEAR(Order_Details[[#This Row],[Order Date]])</f>
        <v>2019</v>
      </c>
      <c r="N1103" s="8">
        <f>ROUNDUP(MONTH(Order_Details[[#This Row],[Order Date]])/3, 0)</f>
        <v>1</v>
      </c>
    </row>
    <row r="1104" spans="1:14">
      <c r="A1104" s="1" t="s">
        <v>866</v>
      </c>
      <c r="B1104" s="1">
        <v>811</v>
      </c>
      <c r="C1104" s="1">
        <v>154</v>
      </c>
      <c r="D1104" s="1">
        <v>7</v>
      </c>
      <c r="E1104" s="1" t="s">
        <v>1077</v>
      </c>
      <c r="F1104" s="1" t="s">
        <v>1115</v>
      </c>
      <c r="G1104" s="7" t="str">
        <f>_xlfn.XLOOKUP(Order_Details[[#This Row],[Order ID]], List_of_orders[Order ID], List_of_orders[State])</f>
        <v>Punjab</v>
      </c>
      <c r="H1104" s="10">
        <f>_xlfn.XLOOKUP(Order_Details[[#This Row],[Order ID]], List_of_orders[Order ID], List_of_orders[Order Date (Clean)])</f>
        <v>43486</v>
      </c>
      <c r="I1104" s="7" t="str">
        <f>_xlfn.XLOOKUP(Order_Details[[#This Row],[Order ID]], List_of_orders[Order ID], List_of_orders[CustomerName])</f>
        <v>Paromita</v>
      </c>
      <c r="J1104" s="7" t="str">
        <f>_xlfn.XLOOKUP(Order_Details[[#This Row],[Order ID]], List_of_orders[Order ID], List_of_orders[City])</f>
        <v>Amritsar</v>
      </c>
      <c r="K1104" s="8" t="str">
        <f>TEXT(Order_Details[[#This Row],[Order Date]], "YY-MMM")</f>
        <v>19-Jan</v>
      </c>
      <c r="L1104" s="11">
        <f>Order_Details[[#This Row],[Profit]]/Order_Details[[#This Row],[Amount]]</f>
        <v>0.18988902589395806</v>
      </c>
      <c r="M1104" s="8">
        <f>YEAR(Order_Details[[#This Row],[Order Date]])</f>
        <v>2019</v>
      </c>
      <c r="N1104" s="8">
        <f>ROUNDUP(MONTH(Order_Details[[#This Row],[Order Date]])/3, 0)</f>
        <v>1</v>
      </c>
    </row>
    <row r="1105" spans="1:14">
      <c r="A1105" s="1" t="s">
        <v>868</v>
      </c>
      <c r="B1105" s="1">
        <v>720</v>
      </c>
      <c r="C1105" s="1">
        <v>43</v>
      </c>
      <c r="D1105" s="1">
        <v>2</v>
      </c>
      <c r="E1105" s="1" t="s">
        <v>1077</v>
      </c>
      <c r="F1105" s="1" t="s">
        <v>1114</v>
      </c>
      <c r="G1105" s="7" t="str">
        <f>_xlfn.XLOOKUP(Order_Details[[#This Row],[Order ID]], List_of_orders[Order ID], List_of_orders[State])</f>
        <v>Gujarat</v>
      </c>
      <c r="H1105" s="10">
        <f>_xlfn.XLOOKUP(Order_Details[[#This Row],[Order ID]], List_of_orders[Order ID], List_of_orders[Order Date (Clean)])</f>
        <v>43486</v>
      </c>
      <c r="I1105" s="7" t="str">
        <f>_xlfn.XLOOKUP(Order_Details[[#This Row],[Order ID]], List_of_orders[Order ID], List_of_orders[CustomerName])</f>
        <v>Shreyshi</v>
      </c>
      <c r="J1105" s="7" t="str">
        <f>_xlfn.XLOOKUP(Order_Details[[#This Row],[Order ID]], List_of_orders[Order ID], List_of_orders[City])</f>
        <v>Surat</v>
      </c>
      <c r="K1105" s="8" t="str">
        <f>TEXT(Order_Details[[#This Row],[Order Date]], "YY-MMM")</f>
        <v>19-Jan</v>
      </c>
      <c r="L1105" s="11">
        <f>Order_Details[[#This Row],[Profit]]/Order_Details[[#This Row],[Amount]]</f>
        <v>5.9722222222222225E-2</v>
      </c>
      <c r="M1105" s="8">
        <f>YEAR(Order_Details[[#This Row],[Order Date]])</f>
        <v>2019</v>
      </c>
      <c r="N1105" s="8">
        <f>ROUNDUP(MONTH(Order_Details[[#This Row],[Order Date]])/3, 0)</f>
        <v>1</v>
      </c>
    </row>
    <row r="1106" spans="1:14">
      <c r="A1106" s="1" t="s">
        <v>868</v>
      </c>
      <c r="B1106" s="1">
        <v>2452</v>
      </c>
      <c r="C1106" s="1">
        <v>191</v>
      </c>
      <c r="D1106" s="1">
        <v>7</v>
      </c>
      <c r="E1106" s="1" t="s">
        <v>1075</v>
      </c>
      <c r="F1106" s="1" t="s">
        <v>1101</v>
      </c>
      <c r="G1106" s="7" t="str">
        <f>_xlfn.XLOOKUP(Order_Details[[#This Row],[Order ID]], List_of_orders[Order ID], List_of_orders[State])</f>
        <v>Gujarat</v>
      </c>
      <c r="H1106" s="10">
        <f>_xlfn.XLOOKUP(Order_Details[[#This Row],[Order ID]], List_of_orders[Order ID], List_of_orders[Order Date (Clean)])</f>
        <v>43486</v>
      </c>
      <c r="I1106" s="7" t="str">
        <f>_xlfn.XLOOKUP(Order_Details[[#This Row],[Order ID]], List_of_orders[Order ID], List_of_orders[CustomerName])</f>
        <v>Shreyshi</v>
      </c>
      <c r="J1106" s="7" t="str">
        <f>_xlfn.XLOOKUP(Order_Details[[#This Row],[Order ID]], List_of_orders[Order ID], List_of_orders[City])</f>
        <v>Surat</v>
      </c>
      <c r="K1106" s="8" t="str">
        <f>TEXT(Order_Details[[#This Row],[Order Date]], "YY-MMM")</f>
        <v>19-Jan</v>
      </c>
      <c r="L1106" s="11">
        <f>Order_Details[[#This Row],[Profit]]/Order_Details[[#This Row],[Amount]]</f>
        <v>7.7895595432300166E-2</v>
      </c>
      <c r="M1106" s="8">
        <f>YEAR(Order_Details[[#This Row],[Order Date]])</f>
        <v>2019</v>
      </c>
      <c r="N1106" s="8">
        <f>ROUNDUP(MONTH(Order_Details[[#This Row],[Order Date]])/3, 0)</f>
        <v>1</v>
      </c>
    </row>
    <row r="1107" spans="1:14">
      <c r="A1107" s="1" t="s">
        <v>868</v>
      </c>
      <c r="B1107" s="1">
        <v>171</v>
      </c>
      <c r="C1107" s="1">
        <v>17</v>
      </c>
      <c r="D1107" s="1">
        <v>6</v>
      </c>
      <c r="E1107" s="1" t="s">
        <v>1076</v>
      </c>
      <c r="F1107" s="1" t="s">
        <v>1110</v>
      </c>
      <c r="G1107" s="7" t="str">
        <f>_xlfn.XLOOKUP(Order_Details[[#This Row],[Order ID]], List_of_orders[Order ID], List_of_orders[State])</f>
        <v>Gujarat</v>
      </c>
      <c r="H1107" s="10">
        <f>_xlfn.XLOOKUP(Order_Details[[#This Row],[Order ID]], List_of_orders[Order ID], List_of_orders[Order Date (Clean)])</f>
        <v>43486</v>
      </c>
      <c r="I1107" s="7" t="str">
        <f>_xlfn.XLOOKUP(Order_Details[[#This Row],[Order ID]], List_of_orders[Order ID], List_of_orders[CustomerName])</f>
        <v>Shreyshi</v>
      </c>
      <c r="J1107" s="7" t="str">
        <f>_xlfn.XLOOKUP(Order_Details[[#This Row],[Order ID]], List_of_orders[Order ID], List_of_orders[City])</f>
        <v>Surat</v>
      </c>
      <c r="K1107" s="8" t="str">
        <f>TEXT(Order_Details[[#This Row],[Order Date]], "YY-MMM")</f>
        <v>19-Jan</v>
      </c>
      <c r="L1107" s="11">
        <f>Order_Details[[#This Row],[Profit]]/Order_Details[[#This Row],[Amount]]</f>
        <v>9.9415204678362568E-2</v>
      </c>
      <c r="M1107" s="8">
        <f>YEAR(Order_Details[[#This Row],[Order Date]])</f>
        <v>2019</v>
      </c>
      <c r="N1107" s="8">
        <f>ROUNDUP(MONTH(Order_Details[[#This Row],[Order Date]])/3, 0)</f>
        <v>1</v>
      </c>
    </row>
    <row r="1108" spans="1:14">
      <c r="A1108" s="1" t="s">
        <v>870</v>
      </c>
      <c r="B1108" s="1">
        <v>203</v>
      </c>
      <c r="C1108" s="1">
        <v>84</v>
      </c>
      <c r="D1108" s="1">
        <v>2</v>
      </c>
      <c r="E1108" s="1" t="s">
        <v>1077</v>
      </c>
      <c r="F1108" s="1" t="s">
        <v>1114</v>
      </c>
      <c r="G1108" s="7" t="str">
        <f>_xlfn.XLOOKUP(Order_Details[[#This Row],[Order ID]], List_of_orders[Order ID], List_of_orders[State])</f>
        <v>Maharashtra</v>
      </c>
      <c r="H1108" s="10">
        <f>_xlfn.XLOOKUP(Order_Details[[#This Row],[Order ID]], List_of_orders[Order ID], List_of_orders[Order Date (Clean)])</f>
        <v>43487</v>
      </c>
      <c r="I1108" s="7" t="str">
        <f>_xlfn.XLOOKUP(Order_Details[[#This Row],[Order ID]], List_of_orders[Order ID], List_of_orders[CustomerName])</f>
        <v>Rhea</v>
      </c>
      <c r="J1108" s="7" t="str">
        <f>_xlfn.XLOOKUP(Order_Details[[#This Row],[Order ID]], List_of_orders[Order ID], List_of_orders[City])</f>
        <v>Mumbai</v>
      </c>
      <c r="K1108" s="8" t="str">
        <f>TEXT(Order_Details[[#This Row],[Order Date]], "YY-MMM")</f>
        <v>19-Jan</v>
      </c>
      <c r="L1108" s="11">
        <f>Order_Details[[#This Row],[Profit]]/Order_Details[[#This Row],[Amount]]</f>
        <v>0.41379310344827586</v>
      </c>
      <c r="M1108" s="8">
        <f>YEAR(Order_Details[[#This Row],[Order Date]])</f>
        <v>2019</v>
      </c>
      <c r="N1108" s="8">
        <f>ROUNDUP(MONTH(Order_Details[[#This Row],[Order Date]])/3, 0)</f>
        <v>1</v>
      </c>
    </row>
    <row r="1109" spans="1:14">
      <c r="A1109" s="1" t="s">
        <v>870</v>
      </c>
      <c r="B1109" s="1">
        <v>742</v>
      </c>
      <c r="C1109" s="1">
        <v>198</v>
      </c>
      <c r="D1109" s="1">
        <v>2</v>
      </c>
      <c r="E1109" s="1" t="s">
        <v>1075</v>
      </c>
      <c r="F1109" s="1" t="s">
        <v>1101</v>
      </c>
      <c r="G1109" s="7" t="str">
        <f>_xlfn.XLOOKUP(Order_Details[[#This Row],[Order ID]], List_of_orders[Order ID], List_of_orders[State])</f>
        <v>Maharashtra</v>
      </c>
      <c r="H1109" s="10">
        <f>_xlfn.XLOOKUP(Order_Details[[#This Row],[Order ID]], List_of_orders[Order ID], List_of_orders[Order Date (Clean)])</f>
        <v>43487</v>
      </c>
      <c r="I1109" s="7" t="str">
        <f>_xlfn.XLOOKUP(Order_Details[[#This Row],[Order ID]], List_of_orders[Order ID], List_of_orders[CustomerName])</f>
        <v>Rhea</v>
      </c>
      <c r="J1109" s="7" t="str">
        <f>_xlfn.XLOOKUP(Order_Details[[#This Row],[Order ID]], List_of_orders[Order ID], List_of_orders[City])</f>
        <v>Mumbai</v>
      </c>
      <c r="K1109" s="8" t="str">
        <f>TEXT(Order_Details[[#This Row],[Order Date]], "YY-MMM")</f>
        <v>19-Jan</v>
      </c>
      <c r="L1109" s="11">
        <f>Order_Details[[#This Row],[Profit]]/Order_Details[[#This Row],[Amount]]</f>
        <v>0.26684636118598382</v>
      </c>
      <c r="M1109" s="8">
        <f>YEAR(Order_Details[[#This Row],[Order Date]])</f>
        <v>2019</v>
      </c>
      <c r="N1109" s="8">
        <f>ROUNDUP(MONTH(Order_Details[[#This Row],[Order Date]])/3, 0)</f>
        <v>1</v>
      </c>
    </row>
    <row r="1110" spans="1:14">
      <c r="A1110" s="1" t="s">
        <v>870</v>
      </c>
      <c r="B1110" s="1">
        <v>111</v>
      </c>
      <c r="C1110" s="1">
        <v>9</v>
      </c>
      <c r="D1110" s="1">
        <v>4</v>
      </c>
      <c r="E1110" s="1" t="s">
        <v>1076</v>
      </c>
      <c r="F1110" s="1" t="s">
        <v>1102</v>
      </c>
      <c r="G1110" s="7" t="str">
        <f>_xlfn.XLOOKUP(Order_Details[[#This Row],[Order ID]], List_of_orders[Order ID], List_of_orders[State])</f>
        <v>Maharashtra</v>
      </c>
      <c r="H1110" s="10">
        <f>_xlfn.XLOOKUP(Order_Details[[#This Row],[Order ID]], List_of_orders[Order ID], List_of_orders[Order Date (Clean)])</f>
        <v>43487</v>
      </c>
      <c r="I1110" s="7" t="str">
        <f>_xlfn.XLOOKUP(Order_Details[[#This Row],[Order ID]], List_of_orders[Order ID], List_of_orders[CustomerName])</f>
        <v>Rhea</v>
      </c>
      <c r="J1110" s="7" t="str">
        <f>_xlfn.XLOOKUP(Order_Details[[#This Row],[Order ID]], List_of_orders[Order ID], List_of_orders[City])</f>
        <v>Mumbai</v>
      </c>
      <c r="K1110" s="8" t="str">
        <f>TEXT(Order_Details[[#This Row],[Order Date]], "YY-MMM")</f>
        <v>19-Jan</v>
      </c>
      <c r="L1110" s="11">
        <f>Order_Details[[#This Row],[Profit]]/Order_Details[[#This Row],[Amount]]</f>
        <v>8.1081081081081086E-2</v>
      </c>
      <c r="M1110" s="8">
        <f>YEAR(Order_Details[[#This Row],[Order Date]])</f>
        <v>2019</v>
      </c>
      <c r="N1110" s="8">
        <f>ROUNDUP(MONTH(Order_Details[[#This Row],[Order Date]])/3, 0)</f>
        <v>1</v>
      </c>
    </row>
    <row r="1111" spans="1:14">
      <c r="A1111" s="1" t="s">
        <v>870</v>
      </c>
      <c r="B1111" s="1">
        <v>365</v>
      </c>
      <c r="C1111" s="1">
        <v>107</v>
      </c>
      <c r="D1111" s="1">
        <v>3</v>
      </c>
      <c r="E1111" s="1" t="s">
        <v>1077</v>
      </c>
      <c r="F1111" s="1" t="s">
        <v>1105</v>
      </c>
      <c r="G1111" s="7" t="str">
        <f>_xlfn.XLOOKUP(Order_Details[[#This Row],[Order ID]], List_of_orders[Order ID], List_of_orders[State])</f>
        <v>Maharashtra</v>
      </c>
      <c r="H1111" s="10">
        <f>_xlfn.XLOOKUP(Order_Details[[#This Row],[Order ID]], List_of_orders[Order ID], List_of_orders[Order Date (Clean)])</f>
        <v>43487</v>
      </c>
      <c r="I1111" s="7" t="str">
        <f>_xlfn.XLOOKUP(Order_Details[[#This Row],[Order ID]], List_of_orders[Order ID], List_of_orders[CustomerName])</f>
        <v>Rhea</v>
      </c>
      <c r="J1111" s="7" t="str">
        <f>_xlfn.XLOOKUP(Order_Details[[#This Row],[Order ID]], List_of_orders[Order ID], List_of_orders[City])</f>
        <v>Mumbai</v>
      </c>
      <c r="K1111" s="8" t="str">
        <f>TEXT(Order_Details[[#This Row],[Order Date]], "YY-MMM")</f>
        <v>19-Jan</v>
      </c>
      <c r="L1111" s="11">
        <f>Order_Details[[#This Row],[Profit]]/Order_Details[[#This Row],[Amount]]</f>
        <v>0.29315068493150687</v>
      </c>
      <c r="M1111" s="8">
        <f>YEAR(Order_Details[[#This Row],[Order Date]])</f>
        <v>2019</v>
      </c>
      <c r="N1111" s="8">
        <f>ROUNDUP(MONTH(Order_Details[[#This Row],[Order Date]])/3, 0)</f>
        <v>1</v>
      </c>
    </row>
    <row r="1112" spans="1:14">
      <c r="A1112" s="1" t="s">
        <v>872</v>
      </c>
      <c r="B1112" s="1">
        <v>244</v>
      </c>
      <c r="C1112" s="1">
        <v>83</v>
      </c>
      <c r="D1112" s="1">
        <v>2</v>
      </c>
      <c r="E1112" s="1" t="s">
        <v>1075</v>
      </c>
      <c r="F1112" s="1" t="s">
        <v>1101</v>
      </c>
      <c r="G1112" s="7" t="str">
        <f>_xlfn.XLOOKUP(Order_Details[[#This Row],[Order ID]], List_of_orders[Order ID], List_of_orders[State])</f>
        <v>Madhya Pradesh</v>
      </c>
      <c r="H1112" s="10">
        <f>_xlfn.XLOOKUP(Order_Details[[#This Row],[Order ID]], List_of_orders[Order ID], List_of_orders[Order Date (Clean)])</f>
        <v>43487</v>
      </c>
      <c r="I1112" s="7" t="str">
        <f>_xlfn.XLOOKUP(Order_Details[[#This Row],[Order ID]], List_of_orders[Order ID], List_of_orders[CustomerName])</f>
        <v>Mitali</v>
      </c>
      <c r="J1112" s="7" t="str">
        <f>_xlfn.XLOOKUP(Order_Details[[#This Row],[Order ID]], List_of_orders[Order ID], List_of_orders[City])</f>
        <v>Indore</v>
      </c>
      <c r="K1112" s="8" t="str">
        <f>TEXT(Order_Details[[#This Row],[Order Date]], "YY-MMM")</f>
        <v>19-Jan</v>
      </c>
      <c r="L1112" s="11">
        <f>Order_Details[[#This Row],[Profit]]/Order_Details[[#This Row],[Amount]]</f>
        <v>0.3401639344262295</v>
      </c>
      <c r="M1112" s="8">
        <f>YEAR(Order_Details[[#This Row],[Order Date]])</f>
        <v>2019</v>
      </c>
      <c r="N1112" s="8">
        <f>ROUNDUP(MONTH(Order_Details[[#This Row],[Order Date]])/3, 0)</f>
        <v>1</v>
      </c>
    </row>
    <row r="1113" spans="1:14">
      <c r="A1113" s="1" t="s">
        <v>873</v>
      </c>
      <c r="B1113" s="1">
        <v>115</v>
      </c>
      <c r="C1113" s="1">
        <v>47</v>
      </c>
      <c r="D1113" s="1">
        <v>2</v>
      </c>
      <c r="E1113" s="1" t="s">
        <v>1077</v>
      </c>
      <c r="F1113" s="1" t="s">
        <v>1115</v>
      </c>
      <c r="G1113" s="7" t="str">
        <f>_xlfn.XLOOKUP(Order_Details[[#This Row],[Order ID]], List_of_orders[Order ID], List_of_orders[State])</f>
        <v>Rajasthan</v>
      </c>
      <c r="H1113" s="10">
        <f>_xlfn.XLOOKUP(Order_Details[[#This Row],[Order ID]], List_of_orders[Order ID], List_of_orders[Order Date (Clean)])</f>
        <v>43488</v>
      </c>
      <c r="I1113" s="7" t="str">
        <f>_xlfn.XLOOKUP(Order_Details[[#This Row],[Order ID]], List_of_orders[Order ID], List_of_orders[CustomerName])</f>
        <v>Jesslyn</v>
      </c>
      <c r="J1113" s="7" t="str">
        <f>_xlfn.XLOOKUP(Order_Details[[#This Row],[Order ID]], List_of_orders[Order ID], List_of_orders[City])</f>
        <v>Udaipur</v>
      </c>
      <c r="K1113" s="8" t="str">
        <f>TEXT(Order_Details[[#This Row],[Order Date]], "YY-MMM")</f>
        <v>19-Jan</v>
      </c>
      <c r="L1113" s="11">
        <f>Order_Details[[#This Row],[Profit]]/Order_Details[[#This Row],[Amount]]</f>
        <v>0.40869565217391307</v>
      </c>
      <c r="M1113" s="8">
        <f>YEAR(Order_Details[[#This Row],[Order Date]])</f>
        <v>2019</v>
      </c>
      <c r="N1113" s="8">
        <f>ROUNDUP(MONTH(Order_Details[[#This Row],[Order Date]])/3, 0)</f>
        <v>1</v>
      </c>
    </row>
    <row r="1114" spans="1:14">
      <c r="A1114" s="1" t="s">
        <v>876</v>
      </c>
      <c r="B1114" s="1">
        <v>571</v>
      </c>
      <c r="C1114" s="1">
        <v>108</v>
      </c>
      <c r="D1114" s="1">
        <v>12</v>
      </c>
      <c r="E1114" s="1" t="s">
        <v>1076</v>
      </c>
      <c r="F1114" s="1" t="s">
        <v>1102</v>
      </c>
      <c r="G1114" s="7" t="str">
        <f>_xlfn.XLOOKUP(Order_Details[[#This Row],[Order ID]], List_of_orders[Order ID], List_of_orders[State])</f>
        <v>Uttar Pradesh</v>
      </c>
      <c r="H1114" s="10">
        <f>_xlfn.XLOOKUP(Order_Details[[#This Row],[Order ID]], List_of_orders[Order ID], List_of_orders[Order Date (Clean)])</f>
        <v>43489</v>
      </c>
      <c r="I1114" s="7" t="str">
        <f>_xlfn.XLOOKUP(Order_Details[[#This Row],[Order ID]], List_of_orders[Order ID], List_of_orders[CustomerName])</f>
        <v>Seema</v>
      </c>
      <c r="J1114" s="7" t="str">
        <f>_xlfn.XLOOKUP(Order_Details[[#This Row],[Order ID]], List_of_orders[Order ID], List_of_orders[City])</f>
        <v>Allahabad</v>
      </c>
      <c r="K1114" s="8" t="str">
        <f>TEXT(Order_Details[[#This Row],[Order Date]], "YY-MMM")</f>
        <v>19-Jan</v>
      </c>
      <c r="L1114" s="11">
        <f>Order_Details[[#This Row],[Profit]]/Order_Details[[#This Row],[Amount]]</f>
        <v>0.18914185639229422</v>
      </c>
      <c r="M1114" s="8">
        <f>YEAR(Order_Details[[#This Row],[Order Date]])</f>
        <v>2019</v>
      </c>
      <c r="N1114" s="8">
        <f>ROUNDUP(MONTH(Order_Details[[#This Row],[Order Date]])/3, 0)</f>
        <v>1</v>
      </c>
    </row>
    <row r="1115" spans="1:14">
      <c r="A1115" s="1" t="s">
        <v>876</v>
      </c>
      <c r="B1115" s="1">
        <v>398</v>
      </c>
      <c r="C1115" s="1">
        <v>111</v>
      </c>
      <c r="D1115" s="1">
        <v>8</v>
      </c>
      <c r="E1115" s="1" t="s">
        <v>1076</v>
      </c>
      <c r="F1115" s="1" t="s">
        <v>1103</v>
      </c>
      <c r="G1115" s="7" t="str">
        <f>_xlfn.XLOOKUP(Order_Details[[#This Row],[Order ID]], List_of_orders[Order ID], List_of_orders[State])</f>
        <v>Uttar Pradesh</v>
      </c>
      <c r="H1115" s="10">
        <f>_xlfn.XLOOKUP(Order_Details[[#This Row],[Order ID]], List_of_orders[Order ID], List_of_orders[Order Date (Clean)])</f>
        <v>43489</v>
      </c>
      <c r="I1115" s="7" t="str">
        <f>_xlfn.XLOOKUP(Order_Details[[#This Row],[Order ID]], List_of_orders[Order ID], List_of_orders[CustomerName])</f>
        <v>Seema</v>
      </c>
      <c r="J1115" s="7" t="str">
        <f>_xlfn.XLOOKUP(Order_Details[[#This Row],[Order ID]], List_of_orders[Order ID], List_of_orders[City])</f>
        <v>Allahabad</v>
      </c>
      <c r="K1115" s="8" t="str">
        <f>TEXT(Order_Details[[#This Row],[Order Date]], "YY-MMM")</f>
        <v>19-Jan</v>
      </c>
      <c r="L1115" s="11">
        <f>Order_Details[[#This Row],[Profit]]/Order_Details[[#This Row],[Amount]]</f>
        <v>0.27889447236180903</v>
      </c>
      <c r="M1115" s="8">
        <f>YEAR(Order_Details[[#This Row],[Order Date]])</f>
        <v>2019</v>
      </c>
      <c r="N1115" s="8">
        <f>ROUNDUP(MONTH(Order_Details[[#This Row],[Order Date]])/3, 0)</f>
        <v>1</v>
      </c>
    </row>
    <row r="1116" spans="1:14">
      <c r="A1116" s="1" t="s">
        <v>876</v>
      </c>
      <c r="B1116" s="1">
        <v>79</v>
      </c>
      <c r="C1116" s="1">
        <v>39</v>
      </c>
      <c r="D1116" s="1">
        <v>2</v>
      </c>
      <c r="E1116" s="1" t="s">
        <v>1076</v>
      </c>
      <c r="F1116" s="1" t="s">
        <v>1111</v>
      </c>
      <c r="G1116" s="7" t="str">
        <f>_xlfn.XLOOKUP(Order_Details[[#This Row],[Order ID]], List_of_orders[Order ID], List_of_orders[State])</f>
        <v>Uttar Pradesh</v>
      </c>
      <c r="H1116" s="10">
        <f>_xlfn.XLOOKUP(Order_Details[[#This Row],[Order ID]], List_of_orders[Order ID], List_of_orders[Order Date (Clean)])</f>
        <v>43489</v>
      </c>
      <c r="I1116" s="7" t="str">
        <f>_xlfn.XLOOKUP(Order_Details[[#This Row],[Order ID]], List_of_orders[Order ID], List_of_orders[CustomerName])</f>
        <v>Seema</v>
      </c>
      <c r="J1116" s="7" t="str">
        <f>_xlfn.XLOOKUP(Order_Details[[#This Row],[Order ID]], List_of_orders[Order ID], List_of_orders[City])</f>
        <v>Allahabad</v>
      </c>
      <c r="K1116" s="8" t="str">
        <f>TEXT(Order_Details[[#This Row],[Order Date]], "YY-MMM")</f>
        <v>19-Jan</v>
      </c>
      <c r="L1116" s="11">
        <f>Order_Details[[#This Row],[Profit]]/Order_Details[[#This Row],[Amount]]</f>
        <v>0.49367088607594939</v>
      </c>
      <c r="M1116" s="8">
        <f>YEAR(Order_Details[[#This Row],[Order Date]])</f>
        <v>2019</v>
      </c>
      <c r="N1116" s="8">
        <f>ROUNDUP(MONTH(Order_Details[[#This Row],[Order Date]])/3, 0)</f>
        <v>1</v>
      </c>
    </row>
    <row r="1117" spans="1:14">
      <c r="A1117" s="1" t="s">
        <v>876</v>
      </c>
      <c r="B1117" s="1">
        <v>39</v>
      </c>
      <c r="C1117" s="1">
        <v>14</v>
      </c>
      <c r="D1117" s="1">
        <v>5</v>
      </c>
      <c r="E1117" s="1" t="s">
        <v>1076</v>
      </c>
      <c r="F1117" s="1" t="s">
        <v>1112</v>
      </c>
      <c r="G1117" s="7" t="str">
        <f>_xlfn.XLOOKUP(Order_Details[[#This Row],[Order ID]], List_of_orders[Order ID], List_of_orders[State])</f>
        <v>Uttar Pradesh</v>
      </c>
      <c r="H1117" s="10">
        <f>_xlfn.XLOOKUP(Order_Details[[#This Row],[Order ID]], List_of_orders[Order ID], List_of_orders[Order Date (Clean)])</f>
        <v>43489</v>
      </c>
      <c r="I1117" s="7" t="str">
        <f>_xlfn.XLOOKUP(Order_Details[[#This Row],[Order ID]], List_of_orders[Order ID], List_of_orders[CustomerName])</f>
        <v>Seema</v>
      </c>
      <c r="J1117" s="7" t="str">
        <f>_xlfn.XLOOKUP(Order_Details[[#This Row],[Order ID]], List_of_orders[Order ID], List_of_orders[City])</f>
        <v>Allahabad</v>
      </c>
      <c r="K1117" s="8" t="str">
        <f>TEXT(Order_Details[[#This Row],[Order Date]], "YY-MMM")</f>
        <v>19-Jan</v>
      </c>
      <c r="L1117" s="11">
        <f>Order_Details[[#This Row],[Profit]]/Order_Details[[#This Row],[Amount]]</f>
        <v>0.35897435897435898</v>
      </c>
      <c r="M1117" s="8">
        <f>YEAR(Order_Details[[#This Row],[Order Date]])</f>
        <v>2019</v>
      </c>
      <c r="N1117" s="8">
        <f>ROUNDUP(MONTH(Order_Details[[#This Row],[Order Date]])/3, 0)</f>
        <v>1</v>
      </c>
    </row>
    <row r="1118" spans="1:14">
      <c r="A1118" s="1" t="s">
        <v>876</v>
      </c>
      <c r="B1118" s="1">
        <v>4141</v>
      </c>
      <c r="C1118" s="1">
        <v>1698</v>
      </c>
      <c r="D1118" s="1">
        <v>13</v>
      </c>
      <c r="E1118" s="1" t="s">
        <v>1077</v>
      </c>
      <c r="F1118" s="1" t="s">
        <v>1114</v>
      </c>
      <c r="G1118" s="7" t="str">
        <f>_xlfn.XLOOKUP(Order_Details[[#This Row],[Order ID]], List_of_orders[Order ID], List_of_orders[State])</f>
        <v>Uttar Pradesh</v>
      </c>
      <c r="H1118" s="10">
        <f>_xlfn.XLOOKUP(Order_Details[[#This Row],[Order ID]], List_of_orders[Order ID], List_of_orders[Order Date (Clean)])</f>
        <v>43489</v>
      </c>
      <c r="I1118" s="7" t="str">
        <f>_xlfn.XLOOKUP(Order_Details[[#This Row],[Order ID]], List_of_orders[Order ID], List_of_orders[CustomerName])</f>
        <v>Seema</v>
      </c>
      <c r="J1118" s="7" t="str">
        <f>_xlfn.XLOOKUP(Order_Details[[#This Row],[Order ID]], List_of_orders[Order ID], List_of_orders[City])</f>
        <v>Allahabad</v>
      </c>
      <c r="K1118" s="8" t="str">
        <f>TEXT(Order_Details[[#This Row],[Order Date]], "YY-MMM")</f>
        <v>19-Jan</v>
      </c>
      <c r="L1118" s="11">
        <f>Order_Details[[#This Row],[Profit]]/Order_Details[[#This Row],[Amount]]</f>
        <v>0.41004588263704417</v>
      </c>
      <c r="M1118" s="8">
        <f>YEAR(Order_Details[[#This Row],[Order Date]])</f>
        <v>2019</v>
      </c>
      <c r="N1118" s="8">
        <f>ROUNDUP(MONTH(Order_Details[[#This Row],[Order Date]])/3, 0)</f>
        <v>1</v>
      </c>
    </row>
    <row r="1119" spans="1:14">
      <c r="A1119" s="1" t="s">
        <v>879</v>
      </c>
      <c r="B1119" s="1">
        <v>662</v>
      </c>
      <c r="C1119" s="1">
        <v>240</v>
      </c>
      <c r="D1119" s="1">
        <v>2</v>
      </c>
      <c r="E1119" s="1" t="s">
        <v>1075</v>
      </c>
      <c r="F1119" s="1" t="s">
        <v>1101</v>
      </c>
      <c r="G1119" s="7" t="str">
        <f>_xlfn.XLOOKUP(Order_Details[[#This Row],[Order ID]], List_of_orders[Order ID], List_of_orders[State])</f>
        <v>Rajasthan</v>
      </c>
      <c r="H1119" s="10">
        <f>_xlfn.XLOOKUP(Order_Details[[#This Row],[Order ID]], List_of_orders[Order ID], List_of_orders[Order Date (Clean)])</f>
        <v>43490</v>
      </c>
      <c r="I1119" s="7" t="str">
        <f>_xlfn.XLOOKUP(Order_Details[[#This Row],[Order ID]], List_of_orders[Order ID], List_of_orders[CustomerName])</f>
        <v>Manisha</v>
      </c>
      <c r="J1119" s="7" t="str">
        <f>_xlfn.XLOOKUP(Order_Details[[#This Row],[Order ID]], List_of_orders[Order ID], List_of_orders[City])</f>
        <v>Udaipur</v>
      </c>
      <c r="K1119" s="8" t="str">
        <f>TEXT(Order_Details[[#This Row],[Order Date]], "YY-MMM")</f>
        <v>19-Jan</v>
      </c>
      <c r="L1119" s="11">
        <f>Order_Details[[#This Row],[Profit]]/Order_Details[[#This Row],[Amount]]</f>
        <v>0.36253776435045315</v>
      </c>
      <c r="M1119" s="8">
        <f>YEAR(Order_Details[[#This Row],[Order Date]])</f>
        <v>2019</v>
      </c>
      <c r="N1119" s="8">
        <f>ROUNDUP(MONTH(Order_Details[[#This Row],[Order Date]])/3, 0)</f>
        <v>1</v>
      </c>
    </row>
    <row r="1120" spans="1:14">
      <c r="A1120" s="1" t="s">
        <v>882</v>
      </c>
      <c r="B1120" s="1">
        <v>29</v>
      </c>
      <c r="C1120" s="1">
        <v>2</v>
      </c>
      <c r="D1120" s="1">
        <v>3</v>
      </c>
      <c r="E1120" s="1" t="s">
        <v>1076</v>
      </c>
      <c r="F1120" s="1" t="s">
        <v>1117</v>
      </c>
      <c r="G1120" s="7" t="str">
        <f>_xlfn.XLOOKUP(Order_Details[[#This Row],[Order ID]], List_of_orders[Order ID], List_of_orders[State])</f>
        <v>Uttar Pradesh</v>
      </c>
      <c r="H1120" s="10">
        <f>_xlfn.XLOOKUP(Order_Details[[#This Row],[Order ID]], List_of_orders[Order ID], List_of_orders[Order Date (Clean)])</f>
        <v>43490</v>
      </c>
      <c r="I1120" s="7" t="str">
        <f>_xlfn.XLOOKUP(Order_Details[[#This Row],[Order ID]], List_of_orders[Order ID], List_of_orders[CustomerName])</f>
        <v>Priyanka</v>
      </c>
      <c r="J1120" s="7" t="str">
        <f>_xlfn.XLOOKUP(Order_Details[[#This Row],[Order ID]], List_of_orders[Order ID], List_of_orders[City])</f>
        <v>Allahabad</v>
      </c>
      <c r="K1120" s="8" t="str">
        <f>TEXT(Order_Details[[#This Row],[Order Date]], "YY-MMM")</f>
        <v>19-Jan</v>
      </c>
      <c r="L1120" s="11">
        <f>Order_Details[[#This Row],[Profit]]/Order_Details[[#This Row],[Amount]]</f>
        <v>6.8965517241379309E-2</v>
      </c>
      <c r="M1120" s="8">
        <f>YEAR(Order_Details[[#This Row],[Order Date]])</f>
        <v>2019</v>
      </c>
      <c r="N1120" s="8">
        <f>ROUNDUP(MONTH(Order_Details[[#This Row],[Order Date]])/3, 0)</f>
        <v>1</v>
      </c>
    </row>
    <row r="1121" spans="1:14">
      <c r="A1121" s="1" t="s">
        <v>883</v>
      </c>
      <c r="B1121" s="1">
        <v>193</v>
      </c>
      <c r="C1121" s="1">
        <v>8</v>
      </c>
      <c r="D1121" s="1">
        <v>4</v>
      </c>
      <c r="E1121" s="1" t="s">
        <v>1076</v>
      </c>
      <c r="F1121" s="1" t="s">
        <v>1110</v>
      </c>
      <c r="G1121" s="7" t="str">
        <f>_xlfn.XLOOKUP(Order_Details[[#This Row],[Order ID]], List_of_orders[Order ID], List_of_orders[State])</f>
        <v>Punjab</v>
      </c>
      <c r="H1121" s="10">
        <f>_xlfn.XLOOKUP(Order_Details[[#This Row],[Order ID]], List_of_orders[Order ID], List_of_orders[Order Date (Clean)])</f>
        <v>43490</v>
      </c>
      <c r="I1121" s="7" t="str">
        <f>_xlfn.XLOOKUP(Order_Details[[#This Row],[Order ID]], List_of_orders[Order ID], List_of_orders[CustomerName])</f>
        <v>Piyam</v>
      </c>
      <c r="J1121" s="7" t="str">
        <f>_xlfn.XLOOKUP(Order_Details[[#This Row],[Order ID]], List_of_orders[Order ID], List_of_orders[City])</f>
        <v>Amritsar</v>
      </c>
      <c r="K1121" s="8" t="str">
        <f>TEXT(Order_Details[[#This Row],[Order Date]], "YY-MMM")</f>
        <v>19-Jan</v>
      </c>
      <c r="L1121" s="11">
        <f>Order_Details[[#This Row],[Profit]]/Order_Details[[#This Row],[Amount]]</f>
        <v>4.145077720207254E-2</v>
      </c>
      <c r="M1121" s="8">
        <f>YEAR(Order_Details[[#This Row],[Order Date]])</f>
        <v>2019</v>
      </c>
      <c r="N1121" s="8">
        <f>ROUNDUP(MONTH(Order_Details[[#This Row],[Order Date]])/3, 0)</f>
        <v>1</v>
      </c>
    </row>
    <row r="1122" spans="1:14">
      <c r="A1122" s="1" t="s">
        <v>885</v>
      </c>
      <c r="B1122" s="1">
        <v>27</v>
      </c>
      <c r="C1122" s="1">
        <v>1</v>
      </c>
      <c r="D1122" s="1">
        <v>1</v>
      </c>
      <c r="E1122" s="1" t="s">
        <v>1076</v>
      </c>
      <c r="F1122" s="1" t="s">
        <v>1102</v>
      </c>
      <c r="G1122" s="7" t="str">
        <f>_xlfn.XLOOKUP(Order_Details[[#This Row],[Order ID]], List_of_orders[Order ID], List_of_orders[State])</f>
        <v>Gujarat</v>
      </c>
      <c r="H1122" s="10">
        <f>_xlfn.XLOOKUP(Order_Details[[#This Row],[Order ID]], List_of_orders[Order ID], List_of_orders[Order Date (Clean)])</f>
        <v>43492</v>
      </c>
      <c r="I1122" s="7" t="str">
        <f>_xlfn.XLOOKUP(Order_Details[[#This Row],[Order ID]], List_of_orders[Order ID], List_of_orders[CustomerName])</f>
        <v>Aayushi</v>
      </c>
      <c r="J1122" s="7" t="str">
        <f>_xlfn.XLOOKUP(Order_Details[[#This Row],[Order ID]], List_of_orders[Order ID], List_of_orders[City])</f>
        <v>Surat</v>
      </c>
      <c r="K1122" s="8" t="str">
        <f>TEXT(Order_Details[[#This Row],[Order Date]], "YY-MMM")</f>
        <v>19-Jan</v>
      </c>
      <c r="L1122" s="11">
        <f>Order_Details[[#This Row],[Profit]]/Order_Details[[#This Row],[Amount]]</f>
        <v>3.7037037037037035E-2</v>
      </c>
      <c r="M1122" s="8">
        <f>YEAR(Order_Details[[#This Row],[Order Date]])</f>
        <v>2019</v>
      </c>
      <c r="N1122" s="8">
        <f>ROUNDUP(MONTH(Order_Details[[#This Row],[Order Date]])/3, 0)</f>
        <v>1</v>
      </c>
    </row>
    <row r="1123" spans="1:14">
      <c r="A1123" s="1" t="s">
        <v>885</v>
      </c>
      <c r="B1123" s="1">
        <v>74</v>
      </c>
      <c r="C1123" s="1">
        <v>29</v>
      </c>
      <c r="D1123" s="1">
        <v>3</v>
      </c>
      <c r="E1123" s="1" t="s">
        <v>1076</v>
      </c>
      <c r="F1123" s="1" t="s">
        <v>1102</v>
      </c>
      <c r="G1123" s="7" t="str">
        <f>_xlfn.XLOOKUP(Order_Details[[#This Row],[Order ID]], List_of_orders[Order ID], List_of_orders[State])</f>
        <v>Gujarat</v>
      </c>
      <c r="H1123" s="10">
        <f>_xlfn.XLOOKUP(Order_Details[[#This Row],[Order ID]], List_of_orders[Order ID], List_of_orders[Order Date (Clean)])</f>
        <v>43492</v>
      </c>
      <c r="I1123" s="7" t="str">
        <f>_xlfn.XLOOKUP(Order_Details[[#This Row],[Order ID]], List_of_orders[Order ID], List_of_orders[CustomerName])</f>
        <v>Aayushi</v>
      </c>
      <c r="J1123" s="7" t="str">
        <f>_xlfn.XLOOKUP(Order_Details[[#This Row],[Order ID]], List_of_orders[Order ID], List_of_orders[City])</f>
        <v>Surat</v>
      </c>
      <c r="K1123" s="8" t="str">
        <f>TEXT(Order_Details[[#This Row],[Order Date]], "YY-MMM")</f>
        <v>19-Jan</v>
      </c>
      <c r="L1123" s="11">
        <f>Order_Details[[#This Row],[Profit]]/Order_Details[[#This Row],[Amount]]</f>
        <v>0.39189189189189189</v>
      </c>
      <c r="M1123" s="8">
        <f>YEAR(Order_Details[[#This Row],[Order Date]])</f>
        <v>2019</v>
      </c>
      <c r="N1123" s="8">
        <f>ROUNDUP(MONTH(Order_Details[[#This Row],[Order Date]])/3, 0)</f>
        <v>1</v>
      </c>
    </row>
    <row r="1124" spans="1:14">
      <c r="A1124" s="1" t="s">
        <v>885</v>
      </c>
      <c r="B1124" s="1">
        <v>180</v>
      </c>
      <c r="C1124" s="1">
        <v>54</v>
      </c>
      <c r="D1124" s="1">
        <v>4</v>
      </c>
      <c r="E1124" s="1" t="s">
        <v>1076</v>
      </c>
      <c r="F1124" s="1" t="s">
        <v>1110</v>
      </c>
      <c r="G1124" s="7" t="str">
        <f>_xlfn.XLOOKUP(Order_Details[[#This Row],[Order ID]], List_of_orders[Order ID], List_of_orders[State])</f>
        <v>Gujarat</v>
      </c>
      <c r="H1124" s="10">
        <f>_xlfn.XLOOKUP(Order_Details[[#This Row],[Order ID]], List_of_orders[Order ID], List_of_orders[Order Date (Clean)])</f>
        <v>43492</v>
      </c>
      <c r="I1124" s="7" t="str">
        <f>_xlfn.XLOOKUP(Order_Details[[#This Row],[Order ID]], List_of_orders[Order ID], List_of_orders[CustomerName])</f>
        <v>Aayushi</v>
      </c>
      <c r="J1124" s="7" t="str">
        <f>_xlfn.XLOOKUP(Order_Details[[#This Row],[Order ID]], List_of_orders[Order ID], List_of_orders[City])</f>
        <v>Surat</v>
      </c>
      <c r="K1124" s="8" t="str">
        <f>TEXT(Order_Details[[#This Row],[Order Date]], "YY-MMM")</f>
        <v>19-Jan</v>
      </c>
      <c r="L1124" s="11">
        <f>Order_Details[[#This Row],[Profit]]/Order_Details[[#This Row],[Amount]]</f>
        <v>0.3</v>
      </c>
      <c r="M1124" s="8">
        <f>YEAR(Order_Details[[#This Row],[Order Date]])</f>
        <v>2019</v>
      </c>
      <c r="N1124" s="8">
        <f>ROUNDUP(MONTH(Order_Details[[#This Row],[Order Date]])/3, 0)</f>
        <v>1</v>
      </c>
    </row>
    <row r="1125" spans="1:14">
      <c r="A1125" s="1" t="s">
        <v>887</v>
      </c>
      <c r="B1125" s="1">
        <v>1063</v>
      </c>
      <c r="C1125" s="1">
        <v>-175</v>
      </c>
      <c r="D1125" s="1">
        <v>4</v>
      </c>
      <c r="E1125" s="1" t="s">
        <v>1077</v>
      </c>
      <c r="F1125" s="1" t="s">
        <v>1104</v>
      </c>
      <c r="G1125" s="7" t="str">
        <f>_xlfn.XLOOKUP(Order_Details[[#This Row],[Order ID]], List_of_orders[Order ID], List_of_orders[State])</f>
        <v>Maharashtra</v>
      </c>
      <c r="H1125" s="10">
        <f>_xlfn.XLOOKUP(Order_Details[[#This Row],[Order ID]], List_of_orders[Order ID], List_of_orders[Order Date (Clean)])</f>
        <v>43492</v>
      </c>
      <c r="I1125" s="7" t="str">
        <f>_xlfn.XLOOKUP(Order_Details[[#This Row],[Order ID]], List_of_orders[Order ID], List_of_orders[CustomerName])</f>
        <v>Parin</v>
      </c>
      <c r="J1125" s="7" t="str">
        <f>_xlfn.XLOOKUP(Order_Details[[#This Row],[Order ID]], List_of_orders[Order ID], List_of_orders[City])</f>
        <v>Mumbai</v>
      </c>
      <c r="K1125" s="8" t="str">
        <f>TEXT(Order_Details[[#This Row],[Order Date]], "YY-MMM")</f>
        <v>19-Jan</v>
      </c>
      <c r="L1125" s="11">
        <f>Order_Details[[#This Row],[Profit]]/Order_Details[[#This Row],[Amount]]</f>
        <v>-0.16462841015992474</v>
      </c>
      <c r="M1125" s="8">
        <f>YEAR(Order_Details[[#This Row],[Order Date]])</f>
        <v>2019</v>
      </c>
      <c r="N1125" s="8">
        <f>ROUNDUP(MONTH(Order_Details[[#This Row],[Order Date]])/3, 0)</f>
        <v>1</v>
      </c>
    </row>
    <row r="1126" spans="1:14">
      <c r="A1126" s="1" t="s">
        <v>887</v>
      </c>
      <c r="B1126" s="1">
        <v>341</v>
      </c>
      <c r="C1126" s="1">
        <v>160</v>
      </c>
      <c r="D1126" s="1">
        <v>7</v>
      </c>
      <c r="E1126" s="1" t="s">
        <v>1076</v>
      </c>
      <c r="F1126" s="1" t="s">
        <v>1102</v>
      </c>
      <c r="G1126" s="7" t="str">
        <f>_xlfn.XLOOKUP(Order_Details[[#This Row],[Order ID]], List_of_orders[Order ID], List_of_orders[State])</f>
        <v>Maharashtra</v>
      </c>
      <c r="H1126" s="10">
        <f>_xlfn.XLOOKUP(Order_Details[[#This Row],[Order ID]], List_of_orders[Order ID], List_of_orders[Order Date (Clean)])</f>
        <v>43492</v>
      </c>
      <c r="I1126" s="7" t="str">
        <f>_xlfn.XLOOKUP(Order_Details[[#This Row],[Order ID]], List_of_orders[Order ID], List_of_orders[CustomerName])</f>
        <v>Parin</v>
      </c>
      <c r="J1126" s="7" t="str">
        <f>_xlfn.XLOOKUP(Order_Details[[#This Row],[Order ID]], List_of_orders[Order ID], List_of_orders[City])</f>
        <v>Mumbai</v>
      </c>
      <c r="K1126" s="8" t="str">
        <f>TEXT(Order_Details[[#This Row],[Order Date]], "YY-MMM")</f>
        <v>19-Jan</v>
      </c>
      <c r="L1126" s="11">
        <f>Order_Details[[#This Row],[Profit]]/Order_Details[[#This Row],[Amount]]</f>
        <v>0.46920821114369504</v>
      </c>
      <c r="M1126" s="8">
        <f>YEAR(Order_Details[[#This Row],[Order Date]])</f>
        <v>2019</v>
      </c>
      <c r="N1126" s="8">
        <f>ROUNDUP(MONTH(Order_Details[[#This Row],[Order Date]])/3, 0)</f>
        <v>1</v>
      </c>
    </row>
    <row r="1127" spans="1:14">
      <c r="A1127" s="1" t="s">
        <v>889</v>
      </c>
      <c r="B1127" s="1">
        <v>560</v>
      </c>
      <c r="C1127" s="1">
        <v>44</v>
      </c>
      <c r="D1127" s="1">
        <v>3</v>
      </c>
      <c r="E1127" s="1" t="s">
        <v>1076</v>
      </c>
      <c r="F1127" s="1" t="s">
        <v>1106</v>
      </c>
      <c r="G1127" s="7" t="str">
        <f>_xlfn.XLOOKUP(Order_Details[[#This Row],[Order ID]], List_of_orders[Order ID], List_of_orders[State])</f>
        <v>Madhya Pradesh</v>
      </c>
      <c r="H1127" s="10">
        <f>_xlfn.XLOOKUP(Order_Details[[#This Row],[Order ID]], List_of_orders[Order ID], List_of_orders[Order Date (Clean)])</f>
        <v>43492</v>
      </c>
      <c r="I1127" s="7" t="str">
        <f>_xlfn.XLOOKUP(Order_Details[[#This Row],[Order ID]], List_of_orders[Order ID], List_of_orders[CustomerName])</f>
        <v>Shivangi</v>
      </c>
      <c r="J1127" s="7" t="str">
        <f>_xlfn.XLOOKUP(Order_Details[[#This Row],[Order ID]], List_of_orders[Order ID], List_of_orders[City])</f>
        <v>Indore</v>
      </c>
      <c r="K1127" s="8" t="str">
        <f>TEXT(Order_Details[[#This Row],[Order Date]], "YY-MMM")</f>
        <v>19-Jan</v>
      </c>
      <c r="L1127" s="11">
        <f>Order_Details[[#This Row],[Profit]]/Order_Details[[#This Row],[Amount]]</f>
        <v>7.857142857142857E-2</v>
      </c>
      <c r="M1127" s="8">
        <f>YEAR(Order_Details[[#This Row],[Order Date]])</f>
        <v>2019</v>
      </c>
      <c r="N1127" s="8">
        <f>ROUNDUP(MONTH(Order_Details[[#This Row],[Order Date]])/3, 0)</f>
        <v>1</v>
      </c>
    </row>
    <row r="1128" spans="1:14">
      <c r="A1128" s="1" t="s">
        <v>889</v>
      </c>
      <c r="B1128" s="1">
        <v>57</v>
      </c>
      <c r="C1128" s="1">
        <v>27</v>
      </c>
      <c r="D1128" s="1">
        <v>2</v>
      </c>
      <c r="E1128" s="1" t="s">
        <v>1076</v>
      </c>
      <c r="F1128" s="1" t="s">
        <v>1111</v>
      </c>
      <c r="G1128" s="7" t="str">
        <f>_xlfn.XLOOKUP(Order_Details[[#This Row],[Order ID]], List_of_orders[Order ID], List_of_orders[State])</f>
        <v>Madhya Pradesh</v>
      </c>
      <c r="H1128" s="10">
        <f>_xlfn.XLOOKUP(Order_Details[[#This Row],[Order ID]], List_of_orders[Order ID], List_of_orders[Order Date (Clean)])</f>
        <v>43492</v>
      </c>
      <c r="I1128" s="7" t="str">
        <f>_xlfn.XLOOKUP(Order_Details[[#This Row],[Order ID]], List_of_orders[Order ID], List_of_orders[CustomerName])</f>
        <v>Shivangi</v>
      </c>
      <c r="J1128" s="7" t="str">
        <f>_xlfn.XLOOKUP(Order_Details[[#This Row],[Order ID]], List_of_orders[Order ID], List_of_orders[City])</f>
        <v>Indore</v>
      </c>
      <c r="K1128" s="8" t="str">
        <f>TEXT(Order_Details[[#This Row],[Order Date]], "YY-MMM")</f>
        <v>19-Jan</v>
      </c>
      <c r="L1128" s="11">
        <f>Order_Details[[#This Row],[Profit]]/Order_Details[[#This Row],[Amount]]</f>
        <v>0.47368421052631576</v>
      </c>
      <c r="M1128" s="8">
        <f>YEAR(Order_Details[[#This Row],[Order Date]])</f>
        <v>2019</v>
      </c>
      <c r="N1128" s="8">
        <f>ROUNDUP(MONTH(Order_Details[[#This Row],[Order Date]])/3, 0)</f>
        <v>1</v>
      </c>
    </row>
    <row r="1129" spans="1:14">
      <c r="A1129" s="1" t="s">
        <v>889</v>
      </c>
      <c r="B1129" s="1">
        <v>284</v>
      </c>
      <c r="C1129" s="1">
        <v>45</v>
      </c>
      <c r="D1129" s="1">
        <v>2</v>
      </c>
      <c r="E1129" s="1" t="s">
        <v>1075</v>
      </c>
      <c r="F1129" s="1" t="s">
        <v>1101</v>
      </c>
      <c r="G1129" s="7" t="str">
        <f>_xlfn.XLOOKUP(Order_Details[[#This Row],[Order ID]], List_of_orders[Order ID], List_of_orders[State])</f>
        <v>Madhya Pradesh</v>
      </c>
      <c r="H1129" s="10">
        <f>_xlfn.XLOOKUP(Order_Details[[#This Row],[Order ID]], List_of_orders[Order ID], List_of_orders[Order Date (Clean)])</f>
        <v>43492</v>
      </c>
      <c r="I1129" s="7" t="str">
        <f>_xlfn.XLOOKUP(Order_Details[[#This Row],[Order ID]], List_of_orders[Order ID], List_of_orders[CustomerName])</f>
        <v>Shivangi</v>
      </c>
      <c r="J1129" s="7" t="str">
        <f>_xlfn.XLOOKUP(Order_Details[[#This Row],[Order ID]], List_of_orders[Order ID], List_of_orders[City])</f>
        <v>Indore</v>
      </c>
      <c r="K1129" s="8" t="str">
        <f>TEXT(Order_Details[[#This Row],[Order Date]], "YY-MMM")</f>
        <v>19-Jan</v>
      </c>
      <c r="L1129" s="11">
        <f>Order_Details[[#This Row],[Profit]]/Order_Details[[#This Row],[Amount]]</f>
        <v>0.15845070422535212</v>
      </c>
      <c r="M1129" s="8">
        <f>YEAR(Order_Details[[#This Row],[Order Date]])</f>
        <v>2019</v>
      </c>
      <c r="N1129" s="8">
        <f>ROUNDUP(MONTH(Order_Details[[#This Row],[Order Date]])/3, 0)</f>
        <v>1</v>
      </c>
    </row>
    <row r="1130" spans="1:14">
      <c r="A1130" s="1" t="s">
        <v>889</v>
      </c>
      <c r="B1130" s="1">
        <v>12</v>
      </c>
      <c r="C1130" s="1">
        <v>1</v>
      </c>
      <c r="D1130" s="1">
        <v>2</v>
      </c>
      <c r="E1130" s="1" t="s">
        <v>1076</v>
      </c>
      <c r="F1130" s="1" t="s">
        <v>1103</v>
      </c>
      <c r="G1130" s="7" t="str">
        <f>_xlfn.XLOOKUP(Order_Details[[#This Row],[Order ID]], List_of_orders[Order ID], List_of_orders[State])</f>
        <v>Madhya Pradesh</v>
      </c>
      <c r="H1130" s="10">
        <f>_xlfn.XLOOKUP(Order_Details[[#This Row],[Order ID]], List_of_orders[Order ID], List_of_orders[Order Date (Clean)])</f>
        <v>43492</v>
      </c>
      <c r="I1130" s="7" t="str">
        <f>_xlfn.XLOOKUP(Order_Details[[#This Row],[Order ID]], List_of_orders[Order ID], List_of_orders[CustomerName])</f>
        <v>Shivangi</v>
      </c>
      <c r="J1130" s="7" t="str">
        <f>_xlfn.XLOOKUP(Order_Details[[#This Row],[Order ID]], List_of_orders[Order ID], List_of_orders[City])</f>
        <v>Indore</v>
      </c>
      <c r="K1130" s="8" t="str">
        <f>TEXT(Order_Details[[#This Row],[Order Date]], "YY-MMM")</f>
        <v>19-Jan</v>
      </c>
      <c r="L1130" s="11">
        <f>Order_Details[[#This Row],[Profit]]/Order_Details[[#This Row],[Amount]]</f>
        <v>8.3333333333333329E-2</v>
      </c>
      <c r="M1130" s="8">
        <f>YEAR(Order_Details[[#This Row],[Order Date]])</f>
        <v>2019</v>
      </c>
      <c r="N1130" s="8">
        <f>ROUNDUP(MONTH(Order_Details[[#This Row],[Order Date]])/3, 0)</f>
        <v>1</v>
      </c>
    </row>
    <row r="1131" spans="1:14">
      <c r="A1131" s="1" t="s">
        <v>889</v>
      </c>
      <c r="B1131" s="1">
        <v>82</v>
      </c>
      <c r="C1131" s="1">
        <v>27</v>
      </c>
      <c r="D1131" s="1">
        <v>3</v>
      </c>
      <c r="E1131" s="1" t="s">
        <v>1076</v>
      </c>
      <c r="F1131" s="1" t="s">
        <v>1109</v>
      </c>
      <c r="G1131" s="7" t="str">
        <f>_xlfn.XLOOKUP(Order_Details[[#This Row],[Order ID]], List_of_orders[Order ID], List_of_orders[State])</f>
        <v>Madhya Pradesh</v>
      </c>
      <c r="H1131" s="10">
        <f>_xlfn.XLOOKUP(Order_Details[[#This Row],[Order ID]], List_of_orders[Order ID], List_of_orders[Order Date (Clean)])</f>
        <v>43492</v>
      </c>
      <c r="I1131" s="7" t="str">
        <f>_xlfn.XLOOKUP(Order_Details[[#This Row],[Order ID]], List_of_orders[Order ID], List_of_orders[CustomerName])</f>
        <v>Shivangi</v>
      </c>
      <c r="J1131" s="7" t="str">
        <f>_xlfn.XLOOKUP(Order_Details[[#This Row],[Order ID]], List_of_orders[Order ID], List_of_orders[City])</f>
        <v>Indore</v>
      </c>
      <c r="K1131" s="8" t="str">
        <f>TEXT(Order_Details[[#This Row],[Order Date]], "YY-MMM")</f>
        <v>19-Jan</v>
      </c>
      <c r="L1131" s="11">
        <f>Order_Details[[#This Row],[Profit]]/Order_Details[[#This Row],[Amount]]</f>
        <v>0.32926829268292684</v>
      </c>
      <c r="M1131" s="8">
        <f>YEAR(Order_Details[[#This Row],[Order Date]])</f>
        <v>2019</v>
      </c>
      <c r="N1131" s="8">
        <f>ROUNDUP(MONTH(Order_Details[[#This Row],[Order Date]])/3, 0)</f>
        <v>1</v>
      </c>
    </row>
    <row r="1132" spans="1:14">
      <c r="A1132" s="1" t="s">
        <v>890</v>
      </c>
      <c r="B1132" s="1">
        <v>22</v>
      </c>
      <c r="C1132" s="1">
        <v>11</v>
      </c>
      <c r="D1132" s="1">
        <v>3</v>
      </c>
      <c r="E1132" s="1" t="s">
        <v>1076</v>
      </c>
      <c r="F1132" s="1" t="s">
        <v>1109</v>
      </c>
      <c r="G1132" s="7" t="str">
        <f>_xlfn.XLOOKUP(Order_Details[[#This Row],[Order ID]], List_of_orders[Order ID], List_of_orders[State])</f>
        <v>Rajasthan</v>
      </c>
      <c r="H1132" s="10">
        <f>_xlfn.XLOOKUP(Order_Details[[#This Row],[Order ID]], List_of_orders[Order ID], List_of_orders[Order Date (Clean)])</f>
        <v>43492</v>
      </c>
      <c r="I1132" s="7" t="str">
        <f>_xlfn.XLOOKUP(Order_Details[[#This Row],[Order ID]], List_of_orders[Order ID], List_of_orders[CustomerName])</f>
        <v>Shweta</v>
      </c>
      <c r="J1132" s="7" t="str">
        <f>_xlfn.XLOOKUP(Order_Details[[#This Row],[Order ID]], List_of_orders[Order ID], List_of_orders[City])</f>
        <v>Udaipur</v>
      </c>
      <c r="K1132" s="8" t="str">
        <f>TEXT(Order_Details[[#This Row],[Order Date]], "YY-MMM")</f>
        <v>19-Jan</v>
      </c>
      <c r="L1132" s="11">
        <f>Order_Details[[#This Row],[Profit]]/Order_Details[[#This Row],[Amount]]</f>
        <v>0.5</v>
      </c>
      <c r="M1132" s="8">
        <f>YEAR(Order_Details[[#This Row],[Order Date]])</f>
        <v>2019</v>
      </c>
      <c r="N1132" s="8">
        <f>ROUNDUP(MONTH(Order_Details[[#This Row],[Order Date]])/3, 0)</f>
        <v>1</v>
      </c>
    </row>
    <row r="1133" spans="1:14">
      <c r="A1133" s="1" t="s">
        <v>891</v>
      </c>
      <c r="B1133" s="1">
        <v>42</v>
      </c>
      <c r="C1133" s="1">
        <v>13</v>
      </c>
      <c r="D1133" s="1">
        <v>3</v>
      </c>
      <c r="E1133" s="1" t="s">
        <v>1076</v>
      </c>
      <c r="F1133" s="1" t="s">
        <v>1112</v>
      </c>
      <c r="G1133" s="7" t="str">
        <f>_xlfn.XLOOKUP(Order_Details[[#This Row],[Order ID]], List_of_orders[Order ID], List_of_orders[State])</f>
        <v>Delhi</v>
      </c>
      <c r="H1133" s="10">
        <f>_xlfn.XLOOKUP(Order_Details[[#This Row],[Order ID]], List_of_orders[Order ID], List_of_orders[Order Date (Clean)])</f>
        <v>43493</v>
      </c>
      <c r="I1133" s="7" t="str">
        <f>_xlfn.XLOOKUP(Order_Details[[#This Row],[Order ID]], List_of_orders[Order ID], List_of_orders[CustomerName])</f>
        <v>Amruta</v>
      </c>
      <c r="J1133" s="7" t="str">
        <f>_xlfn.XLOOKUP(Order_Details[[#This Row],[Order ID]], List_of_orders[Order ID], List_of_orders[City])</f>
        <v>Delhi</v>
      </c>
      <c r="K1133" s="8" t="str">
        <f>TEXT(Order_Details[[#This Row],[Order Date]], "YY-MMM")</f>
        <v>19-Jan</v>
      </c>
      <c r="L1133" s="11">
        <f>Order_Details[[#This Row],[Profit]]/Order_Details[[#This Row],[Amount]]</f>
        <v>0.30952380952380953</v>
      </c>
      <c r="M1133" s="8">
        <f>YEAR(Order_Details[[#This Row],[Order Date]])</f>
        <v>2019</v>
      </c>
      <c r="N1133" s="8">
        <f>ROUNDUP(MONTH(Order_Details[[#This Row],[Order Date]])/3, 0)</f>
        <v>1</v>
      </c>
    </row>
    <row r="1134" spans="1:14">
      <c r="A1134" s="1" t="s">
        <v>891</v>
      </c>
      <c r="B1134" s="1">
        <v>54</v>
      </c>
      <c r="C1134" s="1">
        <v>12</v>
      </c>
      <c r="D1134" s="1">
        <v>3</v>
      </c>
      <c r="E1134" s="1" t="s">
        <v>1076</v>
      </c>
      <c r="F1134" s="1" t="s">
        <v>1106</v>
      </c>
      <c r="G1134" s="7" t="str">
        <f>_xlfn.XLOOKUP(Order_Details[[#This Row],[Order ID]], List_of_orders[Order ID], List_of_orders[State])</f>
        <v>Delhi</v>
      </c>
      <c r="H1134" s="10">
        <f>_xlfn.XLOOKUP(Order_Details[[#This Row],[Order ID]], List_of_orders[Order ID], List_of_orders[Order Date (Clean)])</f>
        <v>43493</v>
      </c>
      <c r="I1134" s="7" t="str">
        <f>_xlfn.XLOOKUP(Order_Details[[#This Row],[Order ID]], List_of_orders[Order ID], List_of_orders[CustomerName])</f>
        <v>Amruta</v>
      </c>
      <c r="J1134" s="7" t="str">
        <f>_xlfn.XLOOKUP(Order_Details[[#This Row],[Order ID]], List_of_orders[Order ID], List_of_orders[City])</f>
        <v>Delhi</v>
      </c>
      <c r="K1134" s="8" t="str">
        <f>TEXT(Order_Details[[#This Row],[Order Date]], "YY-MMM")</f>
        <v>19-Jan</v>
      </c>
      <c r="L1134" s="11">
        <f>Order_Details[[#This Row],[Profit]]/Order_Details[[#This Row],[Amount]]</f>
        <v>0.22222222222222221</v>
      </c>
      <c r="M1134" s="8">
        <f>YEAR(Order_Details[[#This Row],[Order Date]])</f>
        <v>2019</v>
      </c>
      <c r="N1134" s="8">
        <f>ROUNDUP(MONTH(Order_Details[[#This Row],[Order Date]])/3, 0)</f>
        <v>1</v>
      </c>
    </row>
    <row r="1135" spans="1:14">
      <c r="A1135" s="1" t="s">
        <v>891</v>
      </c>
      <c r="B1135" s="1">
        <v>62</v>
      </c>
      <c r="C1135" s="1">
        <v>8</v>
      </c>
      <c r="D1135" s="1">
        <v>2</v>
      </c>
      <c r="E1135" s="1" t="s">
        <v>1076</v>
      </c>
      <c r="F1135" s="1" t="s">
        <v>1110</v>
      </c>
      <c r="G1135" s="7" t="str">
        <f>_xlfn.XLOOKUP(Order_Details[[#This Row],[Order ID]], List_of_orders[Order ID], List_of_orders[State])</f>
        <v>Delhi</v>
      </c>
      <c r="H1135" s="10">
        <f>_xlfn.XLOOKUP(Order_Details[[#This Row],[Order ID]], List_of_orders[Order ID], List_of_orders[Order Date (Clean)])</f>
        <v>43493</v>
      </c>
      <c r="I1135" s="7" t="str">
        <f>_xlfn.XLOOKUP(Order_Details[[#This Row],[Order ID]], List_of_orders[Order ID], List_of_orders[CustomerName])</f>
        <v>Amruta</v>
      </c>
      <c r="J1135" s="7" t="str">
        <f>_xlfn.XLOOKUP(Order_Details[[#This Row],[Order ID]], List_of_orders[Order ID], List_of_orders[City])</f>
        <v>Delhi</v>
      </c>
      <c r="K1135" s="8" t="str">
        <f>TEXT(Order_Details[[#This Row],[Order Date]], "YY-MMM")</f>
        <v>19-Jan</v>
      </c>
      <c r="L1135" s="11">
        <f>Order_Details[[#This Row],[Profit]]/Order_Details[[#This Row],[Amount]]</f>
        <v>0.12903225806451613</v>
      </c>
      <c r="M1135" s="8">
        <f>YEAR(Order_Details[[#This Row],[Order Date]])</f>
        <v>2019</v>
      </c>
      <c r="N1135" s="8">
        <f>ROUNDUP(MONTH(Order_Details[[#This Row],[Order Date]])/3, 0)</f>
        <v>1</v>
      </c>
    </row>
    <row r="1136" spans="1:14">
      <c r="A1136" s="1" t="s">
        <v>891</v>
      </c>
      <c r="B1136" s="1">
        <v>245</v>
      </c>
      <c r="C1136" s="1">
        <v>91</v>
      </c>
      <c r="D1136" s="1">
        <v>2</v>
      </c>
      <c r="E1136" s="1" t="s">
        <v>1075</v>
      </c>
      <c r="F1136" s="1" t="s">
        <v>1101</v>
      </c>
      <c r="G1136" s="7" t="str">
        <f>_xlfn.XLOOKUP(Order_Details[[#This Row],[Order ID]], List_of_orders[Order ID], List_of_orders[State])</f>
        <v>Delhi</v>
      </c>
      <c r="H1136" s="10">
        <f>_xlfn.XLOOKUP(Order_Details[[#This Row],[Order ID]], List_of_orders[Order ID], List_of_orders[Order Date (Clean)])</f>
        <v>43493</v>
      </c>
      <c r="I1136" s="7" t="str">
        <f>_xlfn.XLOOKUP(Order_Details[[#This Row],[Order ID]], List_of_orders[Order ID], List_of_orders[CustomerName])</f>
        <v>Amruta</v>
      </c>
      <c r="J1136" s="7" t="str">
        <f>_xlfn.XLOOKUP(Order_Details[[#This Row],[Order ID]], List_of_orders[Order ID], List_of_orders[City])</f>
        <v>Delhi</v>
      </c>
      <c r="K1136" s="8" t="str">
        <f>TEXT(Order_Details[[#This Row],[Order Date]], "YY-MMM")</f>
        <v>19-Jan</v>
      </c>
      <c r="L1136" s="11">
        <f>Order_Details[[#This Row],[Profit]]/Order_Details[[#This Row],[Amount]]</f>
        <v>0.37142857142857144</v>
      </c>
      <c r="M1136" s="8">
        <f>YEAR(Order_Details[[#This Row],[Order Date]])</f>
        <v>2019</v>
      </c>
      <c r="N1136" s="8">
        <f>ROUNDUP(MONTH(Order_Details[[#This Row],[Order Date]])/3, 0)</f>
        <v>1</v>
      </c>
    </row>
    <row r="1137" spans="1:14">
      <c r="A1137" s="1" t="s">
        <v>891</v>
      </c>
      <c r="B1137" s="1">
        <v>867</v>
      </c>
      <c r="C1137" s="1">
        <v>251</v>
      </c>
      <c r="D1137" s="1">
        <v>5</v>
      </c>
      <c r="E1137" s="1" t="s">
        <v>1077</v>
      </c>
      <c r="F1137" s="1" t="s">
        <v>1105</v>
      </c>
      <c r="G1137" s="7" t="str">
        <f>_xlfn.XLOOKUP(Order_Details[[#This Row],[Order ID]], List_of_orders[Order ID], List_of_orders[State])</f>
        <v>Delhi</v>
      </c>
      <c r="H1137" s="10">
        <f>_xlfn.XLOOKUP(Order_Details[[#This Row],[Order ID]], List_of_orders[Order ID], List_of_orders[Order Date (Clean)])</f>
        <v>43493</v>
      </c>
      <c r="I1137" s="7" t="str">
        <f>_xlfn.XLOOKUP(Order_Details[[#This Row],[Order ID]], List_of_orders[Order ID], List_of_orders[CustomerName])</f>
        <v>Amruta</v>
      </c>
      <c r="J1137" s="7" t="str">
        <f>_xlfn.XLOOKUP(Order_Details[[#This Row],[Order ID]], List_of_orders[Order ID], List_of_orders[City])</f>
        <v>Delhi</v>
      </c>
      <c r="K1137" s="8" t="str">
        <f>TEXT(Order_Details[[#This Row],[Order Date]], "YY-MMM")</f>
        <v>19-Jan</v>
      </c>
      <c r="L1137" s="11">
        <f>Order_Details[[#This Row],[Profit]]/Order_Details[[#This Row],[Amount]]</f>
        <v>0.28950403690888121</v>
      </c>
      <c r="M1137" s="8">
        <f>YEAR(Order_Details[[#This Row],[Order Date]])</f>
        <v>2019</v>
      </c>
      <c r="N1137" s="8">
        <f>ROUNDUP(MONTH(Order_Details[[#This Row],[Order Date]])/3, 0)</f>
        <v>1</v>
      </c>
    </row>
    <row r="1138" spans="1:14">
      <c r="A1138" s="1" t="s">
        <v>891</v>
      </c>
      <c r="B1138" s="1">
        <v>48</v>
      </c>
      <c r="C1138" s="1">
        <v>2</v>
      </c>
      <c r="D1138" s="1">
        <v>3</v>
      </c>
      <c r="E1138" s="1" t="s">
        <v>1076</v>
      </c>
      <c r="F1138" s="1" t="s">
        <v>1102</v>
      </c>
      <c r="G1138" s="7" t="str">
        <f>_xlfn.XLOOKUP(Order_Details[[#This Row],[Order ID]], List_of_orders[Order ID], List_of_orders[State])</f>
        <v>Delhi</v>
      </c>
      <c r="H1138" s="10">
        <f>_xlfn.XLOOKUP(Order_Details[[#This Row],[Order ID]], List_of_orders[Order ID], List_of_orders[Order Date (Clean)])</f>
        <v>43493</v>
      </c>
      <c r="I1138" s="7" t="str">
        <f>_xlfn.XLOOKUP(Order_Details[[#This Row],[Order ID]], List_of_orders[Order ID], List_of_orders[CustomerName])</f>
        <v>Amruta</v>
      </c>
      <c r="J1138" s="7" t="str">
        <f>_xlfn.XLOOKUP(Order_Details[[#This Row],[Order ID]], List_of_orders[Order ID], List_of_orders[City])</f>
        <v>Delhi</v>
      </c>
      <c r="K1138" s="8" t="str">
        <f>TEXT(Order_Details[[#This Row],[Order Date]], "YY-MMM")</f>
        <v>19-Jan</v>
      </c>
      <c r="L1138" s="11">
        <f>Order_Details[[#This Row],[Profit]]/Order_Details[[#This Row],[Amount]]</f>
        <v>4.1666666666666664E-2</v>
      </c>
      <c r="M1138" s="8">
        <f>YEAR(Order_Details[[#This Row],[Order Date]])</f>
        <v>2019</v>
      </c>
      <c r="N1138" s="8">
        <f>ROUNDUP(MONTH(Order_Details[[#This Row],[Order Date]])/3, 0)</f>
        <v>1</v>
      </c>
    </row>
    <row r="1139" spans="1:14">
      <c r="A1139" s="1" t="s">
        <v>894</v>
      </c>
      <c r="B1139" s="1">
        <v>13</v>
      </c>
      <c r="C1139" s="1">
        <v>3</v>
      </c>
      <c r="D1139" s="1">
        <v>1</v>
      </c>
      <c r="E1139" s="1" t="s">
        <v>1076</v>
      </c>
      <c r="F1139" s="1" t="s">
        <v>1112</v>
      </c>
      <c r="G1139" s="7" t="str">
        <f>_xlfn.XLOOKUP(Order_Details[[#This Row],[Order ID]], List_of_orders[Order ID], List_of_orders[State])</f>
        <v>Delhi</v>
      </c>
      <c r="H1139" s="10">
        <f>_xlfn.XLOOKUP(Order_Details[[#This Row],[Order ID]], List_of_orders[Order ID], List_of_orders[Order Date (Clean)])</f>
        <v>43494</v>
      </c>
      <c r="I1139" s="7" t="str">
        <f>_xlfn.XLOOKUP(Order_Details[[#This Row],[Order ID]], List_of_orders[Order ID], List_of_orders[CustomerName])</f>
        <v>Hemangi</v>
      </c>
      <c r="J1139" s="7" t="str">
        <f>_xlfn.XLOOKUP(Order_Details[[#This Row],[Order ID]], List_of_orders[Order ID], List_of_orders[City])</f>
        <v>Delhi</v>
      </c>
      <c r="K1139" s="8" t="str">
        <f>TEXT(Order_Details[[#This Row],[Order Date]], "YY-MMM")</f>
        <v>19-Jan</v>
      </c>
      <c r="L1139" s="11">
        <f>Order_Details[[#This Row],[Profit]]/Order_Details[[#This Row],[Amount]]</f>
        <v>0.23076923076923078</v>
      </c>
      <c r="M1139" s="8">
        <f>YEAR(Order_Details[[#This Row],[Order Date]])</f>
        <v>2019</v>
      </c>
      <c r="N1139" s="8">
        <f>ROUNDUP(MONTH(Order_Details[[#This Row],[Order Date]])/3, 0)</f>
        <v>1</v>
      </c>
    </row>
    <row r="1140" spans="1:14">
      <c r="A1140" s="1" t="s">
        <v>897</v>
      </c>
      <c r="B1140" s="1">
        <v>230</v>
      </c>
      <c r="C1140" s="1">
        <v>5</v>
      </c>
      <c r="D1140" s="1">
        <v>2</v>
      </c>
      <c r="E1140" s="1" t="s">
        <v>1076</v>
      </c>
      <c r="F1140" s="1" t="s">
        <v>1106</v>
      </c>
      <c r="G1140" s="7" t="str">
        <f>_xlfn.XLOOKUP(Order_Details[[#This Row],[Order ID]], List_of_orders[Order ID], List_of_orders[State])</f>
        <v>Delhi</v>
      </c>
      <c r="H1140" s="10">
        <f>_xlfn.XLOOKUP(Order_Details[[#This Row],[Order ID]], List_of_orders[Order ID], List_of_orders[Order Date (Clean)])</f>
        <v>43495</v>
      </c>
      <c r="I1140" s="7" t="str">
        <f>_xlfn.XLOOKUP(Order_Details[[#This Row],[Order ID]], List_of_orders[Order ID], List_of_orders[CustomerName])</f>
        <v>Atul</v>
      </c>
      <c r="J1140" s="7" t="str">
        <f>_xlfn.XLOOKUP(Order_Details[[#This Row],[Order ID]], List_of_orders[Order ID], List_of_orders[City])</f>
        <v>Delhi</v>
      </c>
      <c r="K1140" s="8" t="str">
        <f>TEXT(Order_Details[[#This Row],[Order Date]], "YY-MMM")</f>
        <v>19-Jan</v>
      </c>
      <c r="L1140" s="11">
        <f>Order_Details[[#This Row],[Profit]]/Order_Details[[#This Row],[Amount]]</f>
        <v>2.1739130434782608E-2</v>
      </c>
      <c r="M1140" s="8">
        <f>YEAR(Order_Details[[#This Row],[Order Date]])</f>
        <v>2019</v>
      </c>
      <c r="N1140" s="8">
        <f>ROUNDUP(MONTH(Order_Details[[#This Row],[Order Date]])/3, 0)</f>
        <v>1</v>
      </c>
    </row>
    <row r="1141" spans="1:14">
      <c r="A1141" s="1" t="s">
        <v>897</v>
      </c>
      <c r="B1141" s="1">
        <v>32</v>
      </c>
      <c r="C1141" s="1">
        <v>-12</v>
      </c>
      <c r="D1141" s="1">
        <v>1</v>
      </c>
      <c r="E1141" s="1" t="s">
        <v>1075</v>
      </c>
      <c r="F1141" s="1" t="s">
        <v>1108</v>
      </c>
      <c r="G1141" s="7" t="str">
        <f>_xlfn.XLOOKUP(Order_Details[[#This Row],[Order ID]], List_of_orders[Order ID], List_of_orders[State])</f>
        <v>Delhi</v>
      </c>
      <c r="H1141" s="10">
        <f>_xlfn.XLOOKUP(Order_Details[[#This Row],[Order ID]], List_of_orders[Order ID], List_of_orders[Order Date (Clean)])</f>
        <v>43495</v>
      </c>
      <c r="I1141" s="7" t="str">
        <f>_xlfn.XLOOKUP(Order_Details[[#This Row],[Order ID]], List_of_orders[Order ID], List_of_orders[CustomerName])</f>
        <v>Atul</v>
      </c>
      <c r="J1141" s="7" t="str">
        <f>_xlfn.XLOOKUP(Order_Details[[#This Row],[Order ID]], List_of_orders[Order ID], List_of_orders[City])</f>
        <v>Delhi</v>
      </c>
      <c r="K1141" s="8" t="str">
        <f>TEXT(Order_Details[[#This Row],[Order Date]], "YY-MMM")</f>
        <v>19-Jan</v>
      </c>
      <c r="L1141" s="11">
        <f>Order_Details[[#This Row],[Profit]]/Order_Details[[#This Row],[Amount]]</f>
        <v>-0.375</v>
      </c>
      <c r="M1141" s="8">
        <f>YEAR(Order_Details[[#This Row],[Order Date]])</f>
        <v>2019</v>
      </c>
      <c r="N1141" s="8">
        <f>ROUNDUP(MONTH(Order_Details[[#This Row],[Order Date]])/3, 0)</f>
        <v>1</v>
      </c>
    </row>
    <row r="1142" spans="1:14">
      <c r="A1142" s="1" t="s">
        <v>897</v>
      </c>
      <c r="B1142" s="1">
        <v>161</v>
      </c>
      <c r="C1142" s="1">
        <v>-229</v>
      </c>
      <c r="D1142" s="1">
        <v>8</v>
      </c>
      <c r="E1142" s="1" t="s">
        <v>1075</v>
      </c>
      <c r="F1142" s="1" t="s">
        <v>1116</v>
      </c>
      <c r="G1142" s="7" t="str">
        <f>_xlfn.XLOOKUP(Order_Details[[#This Row],[Order ID]], List_of_orders[Order ID], List_of_orders[State])</f>
        <v>Delhi</v>
      </c>
      <c r="H1142" s="10">
        <f>_xlfn.XLOOKUP(Order_Details[[#This Row],[Order ID]], List_of_orders[Order ID], List_of_orders[Order Date (Clean)])</f>
        <v>43495</v>
      </c>
      <c r="I1142" s="7" t="str">
        <f>_xlfn.XLOOKUP(Order_Details[[#This Row],[Order ID]], List_of_orders[Order ID], List_of_orders[CustomerName])</f>
        <v>Atul</v>
      </c>
      <c r="J1142" s="7" t="str">
        <f>_xlfn.XLOOKUP(Order_Details[[#This Row],[Order ID]], List_of_orders[Order ID], List_of_orders[City])</f>
        <v>Delhi</v>
      </c>
      <c r="K1142" s="8" t="str">
        <f>TEXT(Order_Details[[#This Row],[Order Date]], "YY-MMM")</f>
        <v>19-Jan</v>
      </c>
      <c r="L1142" s="11">
        <f>Order_Details[[#This Row],[Profit]]/Order_Details[[#This Row],[Amount]]</f>
        <v>-1.4223602484472049</v>
      </c>
      <c r="M1142" s="8">
        <f>YEAR(Order_Details[[#This Row],[Order Date]])</f>
        <v>2019</v>
      </c>
      <c r="N1142" s="8">
        <f>ROUNDUP(MONTH(Order_Details[[#This Row],[Order Date]])/3, 0)</f>
        <v>1</v>
      </c>
    </row>
    <row r="1143" spans="1:14">
      <c r="A1143" s="1" t="s">
        <v>897</v>
      </c>
      <c r="B1143" s="1">
        <v>50</v>
      </c>
      <c r="C1143" s="1">
        <v>-4</v>
      </c>
      <c r="D1143" s="1">
        <v>6</v>
      </c>
      <c r="E1143" s="1" t="s">
        <v>1076</v>
      </c>
      <c r="F1143" s="1" t="s">
        <v>1110</v>
      </c>
      <c r="G1143" s="7" t="str">
        <f>_xlfn.XLOOKUP(Order_Details[[#This Row],[Order ID]], List_of_orders[Order ID], List_of_orders[State])</f>
        <v>Delhi</v>
      </c>
      <c r="H1143" s="10">
        <f>_xlfn.XLOOKUP(Order_Details[[#This Row],[Order ID]], List_of_orders[Order ID], List_of_orders[Order Date (Clean)])</f>
        <v>43495</v>
      </c>
      <c r="I1143" s="7" t="str">
        <f>_xlfn.XLOOKUP(Order_Details[[#This Row],[Order ID]], List_of_orders[Order ID], List_of_orders[CustomerName])</f>
        <v>Atul</v>
      </c>
      <c r="J1143" s="7" t="str">
        <f>_xlfn.XLOOKUP(Order_Details[[#This Row],[Order ID]], List_of_orders[Order ID], List_of_orders[City])</f>
        <v>Delhi</v>
      </c>
      <c r="K1143" s="8" t="str">
        <f>TEXT(Order_Details[[#This Row],[Order Date]], "YY-MMM")</f>
        <v>19-Jan</v>
      </c>
      <c r="L1143" s="11">
        <f>Order_Details[[#This Row],[Profit]]/Order_Details[[#This Row],[Amount]]</f>
        <v>-0.08</v>
      </c>
      <c r="M1143" s="8">
        <f>YEAR(Order_Details[[#This Row],[Order Date]])</f>
        <v>2019</v>
      </c>
      <c r="N1143" s="8">
        <f>ROUNDUP(MONTH(Order_Details[[#This Row],[Order Date]])/3, 0)</f>
        <v>1</v>
      </c>
    </row>
    <row r="1144" spans="1:14">
      <c r="A1144" s="1" t="s">
        <v>897</v>
      </c>
      <c r="B1144" s="1">
        <v>561</v>
      </c>
      <c r="C1144" s="1">
        <v>118</v>
      </c>
      <c r="D1144" s="1">
        <v>5</v>
      </c>
      <c r="E1144" s="1" t="s">
        <v>1075</v>
      </c>
      <c r="F1144" s="1" t="s">
        <v>1101</v>
      </c>
      <c r="G1144" s="7" t="str">
        <f>_xlfn.XLOOKUP(Order_Details[[#This Row],[Order ID]], List_of_orders[Order ID], List_of_orders[State])</f>
        <v>Delhi</v>
      </c>
      <c r="H1144" s="10">
        <f>_xlfn.XLOOKUP(Order_Details[[#This Row],[Order ID]], List_of_orders[Order ID], List_of_orders[Order Date (Clean)])</f>
        <v>43495</v>
      </c>
      <c r="I1144" s="7" t="str">
        <f>_xlfn.XLOOKUP(Order_Details[[#This Row],[Order ID]], List_of_orders[Order ID], List_of_orders[CustomerName])</f>
        <v>Atul</v>
      </c>
      <c r="J1144" s="7" t="str">
        <f>_xlfn.XLOOKUP(Order_Details[[#This Row],[Order ID]], List_of_orders[Order ID], List_of_orders[City])</f>
        <v>Delhi</v>
      </c>
      <c r="K1144" s="8" t="str">
        <f>TEXT(Order_Details[[#This Row],[Order Date]], "YY-MMM")</f>
        <v>19-Jan</v>
      </c>
      <c r="L1144" s="11">
        <f>Order_Details[[#This Row],[Profit]]/Order_Details[[#This Row],[Amount]]</f>
        <v>0.21033868092691621</v>
      </c>
      <c r="M1144" s="8">
        <f>YEAR(Order_Details[[#This Row],[Order Date]])</f>
        <v>2019</v>
      </c>
      <c r="N1144" s="8">
        <f>ROUNDUP(MONTH(Order_Details[[#This Row],[Order Date]])/3, 0)</f>
        <v>1</v>
      </c>
    </row>
    <row r="1145" spans="1:14">
      <c r="A1145" s="1" t="s">
        <v>900</v>
      </c>
      <c r="B1145" s="1">
        <v>304</v>
      </c>
      <c r="C1145" s="1">
        <v>97</v>
      </c>
      <c r="D1145" s="1">
        <v>6</v>
      </c>
      <c r="E1145" s="1" t="s">
        <v>1076</v>
      </c>
      <c r="F1145" s="1" t="s">
        <v>1102</v>
      </c>
      <c r="G1145" s="7" t="str">
        <f>_xlfn.XLOOKUP(Order_Details[[#This Row],[Order ID]], List_of_orders[Order ID], List_of_orders[State])</f>
        <v>Delhi</v>
      </c>
      <c r="H1145" s="10">
        <f>_xlfn.XLOOKUP(Order_Details[[#This Row],[Order ID]], List_of_orders[Order ID], List_of_orders[Order Date (Clean)])</f>
        <v>43495</v>
      </c>
      <c r="I1145" s="7" t="str">
        <f>_xlfn.XLOOKUP(Order_Details[[#This Row],[Order ID]], List_of_orders[Order ID], List_of_orders[CustomerName])</f>
        <v>Kajal</v>
      </c>
      <c r="J1145" s="7" t="str">
        <f>_xlfn.XLOOKUP(Order_Details[[#This Row],[Order ID]], List_of_orders[Order ID], List_of_orders[City])</f>
        <v>Delhi</v>
      </c>
      <c r="K1145" s="8" t="str">
        <f>TEXT(Order_Details[[#This Row],[Order Date]], "YY-MMM")</f>
        <v>19-Jan</v>
      </c>
      <c r="L1145" s="11">
        <f>Order_Details[[#This Row],[Profit]]/Order_Details[[#This Row],[Amount]]</f>
        <v>0.31907894736842107</v>
      </c>
      <c r="M1145" s="8">
        <f>YEAR(Order_Details[[#This Row],[Order Date]])</f>
        <v>2019</v>
      </c>
      <c r="N1145" s="8">
        <f>ROUNDUP(MONTH(Order_Details[[#This Row],[Order Date]])/3, 0)</f>
        <v>1</v>
      </c>
    </row>
    <row r="1146" spans="1:14">
      <c r="A1146" s="1" t="s">
        <v>901</v>
      </c>
      <c r="B1146" s="1">
        <v>197</v>
      </c>
      <c r="C1146" s="1">
        <v>20</v>
      </c>
      <c r="D1146" s="1">
        <v>4</v>
      </c>
      <c r="E1146" s="1" t="s">
        <v>1076</v>
      </c>
      <c r="F1146" s="1" t="s">
        <v>1109</v>
      </c>
      <c r="G1146" s="7" t="str">
        <f>_xlfn.XLOOKUP(Order_Details[[#This Row],[Order ID]], List_of_orders[Order ID], List_of_orders[State])</f>
        <v>Madhya Pradesh</v>
      </c>
      <c r="H1146" s="10">
        <f>_xlfn.XLOOKUP(Order_Details[[#This Row],[Order ID]], List_of_orders[Order ID], List_of_orders[Order Date (Clean)])</f>
        <v>43496</v>
      </c>
      <c r="I1146" s="7" t="str">
        <f>_xlfn.XLOOKUP(Order_Details[[#This Row],[Order ID]], List_of_orders[Order ID], List_of_orders[CustomerName])</f>
        <v>Ginny</v>
      </c>
      <c r="J1146" s="7" t="str">
        <f>_xlfn.XLOOKUP(Order_Details[[#This Row],[Order ID]], List_of_orders[Order ID], List_of_orders[City])</f>
        <v>Indore</v>
      </c>
      <c r="K1146" s="8" t="str">
        <f>TEXT(Order_Details[[#This Row],[Order Date]], "YY-MMM")</f>
        <v>19-Jan</v>
      </c>
      <c r="L1146" s="11">
        <f>Order_Details[[#This Row],[Profit]]/Order_Details[[#This Row],[Amount]]</f>
        <v>0.10152284263959391</v>
      </c>
      <c r="M1146" s="8">
        <f>YEAR(Order_Details[[#This Row],[Order Date]])</f>
        <v>2019</v>
      </c>
      <c r="N1146" s="8">
        <f>ROUNDUP(MONTH(Order_Details[[#This Row],[Order Date]])/3, 0)</f>
        <v>1</v>
      </c>
    </row>
    <row r="1147" spans="1:14">
      <c r="A1147" s="1" t="s">
        <v>901</v>
      </c>
      <c r="B1147" s="1">
        <v>108</v>
      </c>
      <c r="C1147" s="1">
        <v>26</v>
      </c>
      <c r="D1147" s="1">
        <v>4</v>
      </c>
      <c r="E1147" s="1" t="s">
        <v>1076</v>
      </c>
      <c r="F1147" s="1" t="s">
        <v>1111</v>
      </c>
      <c r="G1147" s="7" t="str">
        <f>_xlfn.XLOOKUP(Order_Details[[#This Row],[Order ID]], List_of_orders[Order ID], List_of_orders[State])</f>
        <v>Madhya Pradesh</v>
      </c>
      <c r="H1147" s="10">
        <f>_xlfn.XLOOKUP(Order_Details[[#This Row],[Order ID]], List_of_orders[Order ID], List_of_orders[Order Date (Clean)])</f>
        <v>43496</v>
      </c>
      <c r="I1147" s="7" t="str">
        <f>_xlfn.XLOOKUP(Order_Details[[#This Row],[Order ID]], List_of_orders[Order ID], List_of_orders[CustomerName])</f>
        <v>Ginny</v>
      </c>
      <c r="J1147" s="7" t="str">
        <f>_xlfn.XLOOKUP(Order_Details[[#This Row],[Order ID]], List_of_orders[Order ID], List_of_orders[City])</f>
        <v>Indore</v>
      </c>
      <c r="K1147" s="8" t="str">
        <f>TEXT(Order_Details[[#This Row],[Order Date]], "YY-MMM")</f>
        <v>19-Jan</v>
      </c>
      <c r="L1147" s="11">
        <f>Order_Details[[#This Row],[Profit]]/Order_Details[[#This Row],[Amount]]</f>
        <v>0.24074074074074073</v>
      </c>
      <c r="M1147" s="8">
        <f>YEAR(Order_Details[[#This Row],[Order Date]])</f>
        <v>2019</v>
      </c>
      <c r="N1147" s="8">
        <f>ROUNDUP(MONTH(Order_Details[[#This Row],[Order Date]])/3, 0)</f>
        <v>1</v>
      </c>
    </row>
    <row r="1148" spans="1:14">
      <c r="A1148" s="1" t="s">
        <v>901</v>
      </c>
      <c r="B1148" s="1">
        <v>32</v>
      </c>
      <c r="C1148" s="1">
        <v>8</v>
      </c>
      <c r="D1148" s="1">
        <v>5</v>
      </c>
      <c r="E1148" s="1" t="s">
        <v>1076</v>
      </c>
      <c r="F1148" s="1" t="s">
        <v>1103</v>
      </c>
      <c r="G1148" s="7" t="str">
        <f>_xlfn.XLOOKUP(Order_Details[[#This Row],[Order ID]], List_of_orders[Order ID], List_of_orders[State])</f>
        <v>Madhya Pradesh</v>
      </c>
      <c r="H1148" s="10">
        <f>_xlfn.XLOOKUP(Order_Details[[#This Row],[Order ID]], List_of_orders[Order ID], List_of_orders[Order Date (Clean)])</f>
        <v>43496</v>
      </c>
      <c r="I1148" s="7" t="str">
        <f>_xlfn.XLOOKUP(Order_Details[[#This Row],[Order ID]], List_of_orders[Order ID], List_of_orders[CustomerName])</f>
        <v>Ginny</v>
      </c>
      <c r="J1148" s="7" t="str">
        <f>_xlfn.XLOOKUP(Order_Details[[#This Row],[Order ID]], List_of_orders[Order ID], List_of_orders[City])</f>
        <v>Indore</v>
      </c>
      <c r="K1148" s="8" t="str">
        <f>TEXT(Order_Details[[#This Row],[Order Date]], "YY-MMM")</f>
        <v>19-Jan</v>
      </c>
      <c r="L1148" s="11">
        <f>Order_Details[[#This Row],[Profit]]/Order_Details[[#This Row],[Amount]]</f>
        <v>0.25</v>
      </c>
      <c r="M1148" s="8">
        <f>YEAR(Order_Details[[#This Row],[Order Date]])</f>
        <v>2019</v>
      </c>
      <c r="N1148" s="8">
        <f>ROUNDUP(MONTH(Order_Details[[#This Row],[Order Date]])/3, 0)</f>
        <v>1</v>
      </c>
    </row>
    <row r="1149" spans="1:14">
      <c r="A1149" s="1" t="s">
        <v>901</v>
      </c>
      <c r="B1149" s="1">
        <v>44</v>
      </c>
      <c r="C1149" s="1">
        <v>11</v>
      </c>
      <c r="D1149" s="1">
        <v>4</v>
      </c>
      <c r="E1149" s="1" t="s">
        <v>1076</v>
      </c>
      <c r="F1149" s="1" t="s">
        <v>1102</v>
      </c>
      <c r="G1149" s="7" t="str">
        <f>_xlfn.XLOOKUP(Order_Details[[#This Row],[Order ID]], List_of_orders[Order ID], List_of_orders[State])</f>
        <v>Madhya Pradesh</v>
      </c>
      <c r="H1149" s="10">
        <f>_xlfn.XLOOKUP(Order_Details[[#This Row],[Order ID]], List_of_orders[Order ID], List_of_orders[Order Date (Clean)])</f>
        <v>43496</v>
      </c>
      <c r="I1149" s="7" t="str">
        <f>_xlfn.XLOOKUP(Order_Details[[#This Row],[Order ID]], List_of_orders[Order ID], List_of_orders[CustomerName])</f>
        <v>Ginny</v>
      </c>
      <c r="J1149" s="7" t="str">
        <f>_xlfn.XLOOKUP(Order_Details[[#This Row],[Order ID]], List_of_orders[Order ID], List_of_orders[City])</f>
        <v>Indore</v>
      </c>
      <c r="K1149" s="8" t="str">
        <f>TEXT(Order_Details[[#This Row],[Order Date]], "YY-MMM")</f>
        <v>19-Jan</v>
      </c>
      <c r="L1149" s="11">
        <f>Order_Details[[#This Row],[Profit]]/Order_Details[[#This Row],[Amount]]</f>
        <v>0.25</v>
      </c>
      <c r="M1149" s="8">
        <f>YEAR(Order_Details[[#This Row],[Order Date]])</f>
        <v>2019</v>
      </c>
      <c r="N1149" s="8">
        <f>ROUNDUP(MONTH(Order_Details[[#This Row],[Order Date]])/3, 0)</f>
        <v>1</v>
      </c>
    </row>
    <row r="1150" spans="1:14">
      <c r="A1150" s="1" t="s">
        <v>904</v>
      </c>
      <c r="B1150" s="1">
        <v>749</v>
      </c>
      <c r="C1150" s="1">
        <v>307</v>
      </c>
      <c r="D1150" s="1">
        <v>7</v>
      </c>
      <c r="E1150" s="1" t="s">
        <v>1075</v>
      </c>
      <c r="F1150" s="1" t="s">
        <v>1116</v>
      </c>
      <c r="G1150" s="7" t="str">
        <f>_xlfn.XLOOKUP(Order_Details[[#This Row],[Order ID]], List_of_orders[Order ID], List_of_orders[State])</f>
        <v>Rajasthan</v>
      </c>
      <c r="H1150" s="10">
        <f>_xlfn.XLOOKUP(Order_Details[[#This Row],[Order ID]], List_of_orders[Order ID], List_of_orders[Order Date (Clean)])</f>
        <v>43496</v>
      </c>
      <c r="I1150" s="7" t="str">
        <f>_xlfn.XLOOKUP(Order_Details[[#This Row],[Order ID]], List_of_orders[Order ID], List_of_orders[CustomerName])</f>
        <v>Shweta</v>
      </c>
      <c r="J1150" s="7" t="str">
        <f>_xlfn.XLOOKUP(Order_Details[[#This Row],[Order ID]], List_of_orders[Order ID], List_of_orders[City])</f>
        <v>Udaipur</v>
      </c>
      <c r="K1150" s="8" t="str">
        <f>TEXT(Order_Details[[#This Row],[Order Date]], "YY-MMM")</f>
        <v>19-Jan</v>
      </c>
      <c r="L1150" s="11">
        <f>Order_Details[[#This Row],[Profit]]/Order_Details[[#This Row],[Amount]]</f>
        <v>0.40987983978638182</v>
      </c>
      <c r="M1150" s="8">
        <f>YEAR(Order_Details[[#This Row],[Order Date]])</f>
        <v>2019</v>
      </c>
      <c r="N1150" s="8">
        <f>ROUNDUP(MONTH(Order_Details[[#This Row],[Order Date]])/3, 0)</f>
        <v>1</v>
      </c>
    </row>
    <row r="1151" spans="1:14">
      <c r="A1151" s="1" t="s">
        <v>904</v>
      </c>
      <c r="B1151" s="1">
        <v>71</v>
      </c>
      <c r="C1151" s="1">
        <v>4</v>
      </c>
      <c r="D1151" s="1">
        <v>5</v>
      </c>
      <c r="E1151" s="1" t="s">
        <v>1076</v>
      </c>
      <c r="F1151" s="1" t="s">
        <v>1112</v>
      </c>
      <c r="G1151" s="7" t="str">
        <f>_xlfn.XLOOKUP(Order_Details[[#This Row],[Order ID]], List_of_orders[Order ID], List_of_orders[State])</f>
        <v>Rajasthan</v>
      </c>
      <c r="H1151" s="10">
        <f>_xlfn.XLOOKUP(Order_Details[[#This Row],[Order ID]], List_of_orders[Order ID], List_of_orders[Order Date (Clean)])</f>
        <v>43496</v>
      </c>
      <c r="I1151" s="7" t="str">
        <f>_xlfn.XLOOKUP(Order_Details[[#This Row],[Order ID]], List_of_orders[Order ID], List_of_orders[CustomerName])</f>
        <v>Shweta</v>
      </c>
      <c r="J1151" s="7" t="str">
        <f>_xlfn.XLOOKUP(Order_Details[[#This Row],[Order ID]], List_of_orders[Order ID], List_of_orders[City])</f>
        <v>Udaipur</v>
      </c>
      <c r="K1151" s="8" t="str">
        <f>TEXT(Order_Details[[#This Row],[Order Date]], "YY-MMM")</f>
        <v>19-Jan</v>
      </c>
      <c r="L1151" s="11">
        <f>Order_Details[[#This Row],[Profit]]/Order_Details[[#This Row],[Amount]]</f>
        <v>5.6338028169014086E-2</v>
      </c>
      <c r="M1151" s="8">
        <f>YEAR(Order_Details[[#This Row],[Order Date]])</f>
        <v>2019</v>
      </c>
      <c r="N1151" s="8">
        <f>ROUNDUP(MONTH(Order_Details[[#This Row],[Order Date]])/3, 0)</f>
        <v>1</v>
      </c>
    </row>
    <row r="1152" spans="1:14">
      <c r="A1152" s="1" t="s">
        <v>904</v>
      </c>
      <c r="B1152" s="1">
        <v>487</v>
      </c>
      <c r="C1152" s="1">
        <v>-23</v>
      </c>
      <c r="D1152" s="1">
        <v>3</v>
      </c>
      <c r="E1152" s="1" t="s">
        <v>1077</v>
      </c>
      <c r="F1152" s="1" t="s">
        <v>1114</v>
      </c>
      <c r="G1152" s="7" t="str">
        <f>_xlfn.XLOOKUP(Order_Details[[#This Row],[Order ID]], List_of_orders[Order ID], List_of_orders[State])</f>
        <v>Rajasthan</v>
      </c>
      <c r="H1152" s="10">
        <f>_xlfn.XLOOKUP(Order_Details[[#This Row],[Order ID]], List_of_orders[Order ID], List_of_orders[Order Date (Clean)])</f>
        <v>43496</v>
      </c>
      <c r="I1152" s="7" t="str">
        <f>_xlfn.XLOOKUP(Order_Details[[#This Row],[Order ID]], List_of_orders[Order ID], List_of_orders[CustomerName])</f>
        <v>Shweta</v>
      </c>
      <c r="J1152" s="7" t="str">
        <f>_xlfn.XLOOKUP(Order_Details[[#This Row],[Order ID]], List_of_orders[Order ID], List_of_orders[City])</f>
        <v>Udaipur</v>
      </c>
      <c r="K1152" s="8" t="str">
        <f>TEXT(Order_Details[[#This Row],[Order Date]], "YY-MMM")</f>
        <v>19-Jan</v>
      </c>
      <c r="L1152" s="11">
        <f>Order_Details[[#This Row],[Profit]]/Order_Details[[#This Row],[Amount]]</f>
        <v>-4.7227926078028747E-2</v>
      </c>
      <c r="M1152" s="8">
        <f>YEAR(Order_Details[[#This Row],[Order Date]])</f>
        <v>2019</v>
      </c>
      <c r="N1152" s="8">
        <f>ROUNDUP(MONTH(Order_Details[[#This Row],[Order Date]])/3, 0)</f>
        <v>1</v>
      </c>
    </row>
    <row r="1153" spans="1:14">
      <c r="A1153" s="1" t="s">
        <v>904</v>
      </c>
      <c r="B1153" s="1">
        <v>918</v>
      </c>
      <c r="C1153" s="1">
        <v>22</v>
      </c>
      <c r="D1153" s="1">
        <v>9</v>
      </c>
      <c r="E1153" s="1" t="s">
        <v>1077</v>
      </c>
      <c r="F1153" s="1" t="s">
        <v>1104</v>
      </c>
      <c r="G1153" s="7" t="str">
        <f>_xlfn.XLOOKUP(Order_Details[[#This Row],[Order ID]], List_of_orders[Order ID], List_of_orders[State])</f>
        <v>Rajasthan</v>
      </c>
      <c r="H1153" s="10">
        <f>_xlfn.XLOOKUP(Order_Details[[#This Row],[Order ID]], List_of_orders[Order ID], List_of_orders[Order Date (Clean)])</f>
        <v>43496</v>
      </c>
      <c r="I1153" s="7" t="str">
        <f>_xlfn.XLOOKUP(Order_Details[[#This Row],[Order ID]], List_of_orders[Order ID], List_of_orders[CustomerName])</f>
        <v>Shweta</v>
      </c>
      <c r="J1153" s="7" t="str">
        <f>_xlfn.XLOOKUP(Order_Details[[#This Row],[Order ID]], List_of_orders[Order ID], List_of_orders[City])</f>
        <v>Udaipur</v>
      </c>
      <c r="K1153" s="8" t="str">
        <f>TEXT(Order_Details[[#This Row],[Order Date]], "YY-MMM")</f>
        <v>19-Jan</v>
      </c>
      <c r="L1153" s="11">
        <f>Order_Details[[#This Row],[Profit]]/Order_Details[[#This Row],[Amount]]</f>
        <v>2.3965141612200435E-2</v>
      </c>
      <c r="M1153" s="8">
        <f>YEAR(Order_Details[[#This Row],[Order Date]])</f>
        <v>2019</v>
      </c>
      <c r="N1153" s="8">
        <f>ROUNDUP(MONTH(Order_Details[[#This Row],[Order Date]])/3, 0)</f>
        <v>1</v>
      </c>
    </row>
    <row r="1154" spans="1:14">
      <c r="A1154" s="1" t="s">
        <v>905</v>
      </c>
      <c r="B1154" s="1">
        <v>299</v>
      </c>
      <c r="C1154" s="1">
        <v>0</v>
      </c>
      <c r="D1154" s="1">
        <v>6</v>
      </c>
      <c r="E1154" s="1" t="s">
        <v>1076</v>
      </c>
      <c r="F1154" s="1" t="s">
        <v>1102</v>
      </c>
      <c r="G1154" s="7" t="str">
        <f>_xlfn.XLOOKUP(Order_Details[[#This Row],[Order ID]], List_of_orders[Order ID], List_of_orders[State])</f>
        <v>Delhi</v>
      </c>
      <c r="H1154" s="10">
        <f>_xlfn.XLOOKUP(Order_Details[[#This Row],[Order ID]], List_of_orders[Order ID], List_of_orders[Order Date (Clean)])</f>
        <v>43496</v>
      </c>
      <c r="I1154" s="7" t="str">
        <f>_xlfn.XLOOKUP(Order_Details[[#This Row],[Order ID]], List_of_orders[Order ID], List_of_orders[CustomerName])</f>
        <v>Manjiri</v>
      </c>
      <c r="J1154" s="7" t="str">
        <f>_xlfn.XLOOKUP(Order_Details[[#This Row],[Order ID]], List_of_orders[Order ID], List_of_orders[City])</f>
        <v>Delhi</v>
      </c>
      <c r="K1154" s="8" t="str">
        <f>TEXT(Order_Details[[#This Row],[Order Date]], "YY-MMM")</f>
        <v>19-Jan</v>
      </c>
      <c r="L1154" s="11">
        <f>Order_Details[[#This Row],[Profit]]/Order_Details[[#This Row],[Amount]]</f>
        <v>0</v>
      </c>
      <c r="M1154" s="8">
        <f>YEAR(Order_Details[[#This Row],[Order Date]])</f>
        <v>2019</v>
      </c>
      <c r="N1154" s="8">
        <f>ROUNDUP(MONTH(Order_Details[[#This Row],[Order Date]])/3, 0)</f>
        <v>1</v>
      </c>
    </row>
    <row r="1155" spans="1:14">
      <c r="A1155" s="1" t="s">
        <v>905</v>
      </c>
      <c r="B1155" s="1">
        <v>88</v>
      </c>
      <c r="C1155" s="1">
        <v>11</v>
      </c>
      <c r="D1155" s="1">
        <v>7</v>
      </c>
      <c r="E1155" s="1" t="s">
        <v>1076</v>
      </c>
      <c r="F1155" s="1" t="s">
        <v>1103</v>
      </c>
      <c r="G1155" s="7" t="str">
        <f>_xlfn.XLOOKUP(Order_Details[[#This Row],[Order ID]], List_of_orders[Order ID], List_of_orders[State])</f>
        <v>Delhi</v>
      </c>
      <c r="H1155" s="10">
        <f>_xlfn.XLOOKUP(Order_Details[[#This Row],[Order ID]], List_of_orders[Order ID], List_of_orders[Order Date (Clean)])</f>
        <v>43496</v>
      </c>
      <c r="I1155" s="7" t="str">
        <f>_xlfn.XLOOKUP(Order_Details[[#This Row],[Order ID]], List_of_orders[Order ID], List_of_orders[CustomerName])</f>
        <v>Manjiri</v>
      </c>
      <c r="J1155" s="7" t="str">
        <f>_xlfn.XLOOKUP(Order_Details[[#This Row],[Order ID]], List_of_orders[Order ID], List_of_orders[City])</f>
        <v>Delhi</v>
      </c>
      <c r="K1155" s="8" t="str">
        <f>TEXT(Order_Details[[#This Row],[Order Date]], "YY-MMM")</f>
        <v>19-Jan</v>
      </c>
      <c r="L1155" s="11">
        <f>Order_Details[[#This Row],[Profit]]/Order_Details[[#This Row],[Amount]]</f>
        <v>0.125</v>
      </c>
      <c r="M1155" s="8">
        <f>YEAR(Order_Details[[#This Row],[Order Date]])</f>
        <v>2019</v>
      </c>
      <c r="N1155" s="8">
        <f>ROUNDUP(MONTH(Order_Details[[#This Row],[Order Date]])/3, 0)</f>
        <v>1</v>
      </c>
    </row>
    <row r="1156" spans="1:14">
      <c r="A1156" s="1" t="s">
        <v>907</v>
      </c>
      <c r="B1156" s="1">
        <v>79</v>
      </c>
      <c r="C1156" s="1">
        <v>24</v>
      </c>
      <c r="D1156" s="1">
        <v>9</v>
      </c>
      <c r="E1156" s="1" t="s">
        <v>1076</v>
      </c>
      <c r="F1156" s="1" t="s">
        <v>1117</v>
      </c>
      <c r="G1156" s="7" t="str">
        <f>_xlfn.XLOOKUP(Order_Details[[#This Row],[Order ID]], List_of_orders[Order ID], List_of_orders[State])</f>
        <v>Delhi</v>
      </c>
      <c r="H1156" s="10">
        <f>_xlfn.XLOOKUP(Order_Details[[#This Row],[Order ID]], List_of_orders[Order ID], List_of_orders[Order Date (Clean)])</f>
        <v>43496</v>
      </c>
      <c r="I1156" s="7" t="str">
        <f>_xlfn.XLOOKUP(Order_Details[[#This Row],[Order ID]], List_of_orders[Order ID], List_of_orders[CustomerName])</f>
        <v>Nirja</v>
      </c>
      <c r="J1156" s="7" t="str">
        <f>_xlfn.XLOOKUP(Order_Details[[#This Row],[Order ID]], List_of_orders[Order ID], List_of_orders[City])</f>
        <v>Delhi</v>
      </c>
      <c r="K1156" s="8" t="str">
        <f>TEXT(Order_Details[[#This Row],[Order Date]], "YY-MMM")</f>
        <v>19-Jan</v>
      </c>
      <c r="L1156" s="11">
        <f>Order_Details[[#This Row],[Profit]]/Order_Details[[#This Row],[Amount]]</f>
        <v>0.30379746835443039</v>
      </c>
      <c r="M1156" s="8">
        <f>YEAR(Order_Details[[#This Row],[Order Date]])</f>
        <v>2019</v>
      </c>
      <c r="N1156" s="8">
        <f>ROUNDUP(MONTH(Order_Details[[#This Row],[Order Date]])/3, 0)</f>
        <v>1</v>
      </c>
    </row>
    <row r="1157" spans="1:14">
      <c r="A1157" s="1" t="s">
        <v>909</v>
      </c>
      <c r="B1157" s="1">
        <v>44</v>
      </c>
      <c r="C1157" s="1">
        <v>14</v>
      </c>
      <c r="D1157" s="1">
        <v>3</v>
      </c>
      <c r="E1157" s="1" t="s">
        <v>1076</v>
      </c>
      <c r="F1157" s="1" t="s">
        <v>1103</v>
      </c>
      <c r="G1157" s="7" t="str">
        <f>_xlfn.XLOOKUP(Order_Details[[#This Row],[Order ID]], List_of_orders[Order ID], List_of_orders[State])</f>
        <v>Delhi</v>
      </c>
      <c r="H1157" s="10">
        <f>_xlfn.XLOOKUP(Order_Details[[#This Row],[Order ID]], List_of_orders[Order ID], List_of_orders[Order Date (Clean)])</f>
        <v>43497</v>
      </c>
      <c r="I1157" s="7" t="str">
        <f>_xlfn.XLOOKUP(Order_Details[[#This Row],[Order ID]], List_of_orders[Order ID], List_of_orders[CustomerName])</f>
        <v>Anjali</v>
      </c>
      <c r="J1157" s="7" t="str">
        <f>_xlfn.XLOOKUP(Order_Details[[#This Row],[Order ID]], List_of_orders[Order ID], List_of_orders[City])</f>
        <v>Delhi</v>
      </c>
      <c r="K1157" s="8" t="str">
        <f>TEXT(Order_Details[[#This Row],[Order Date]], "YY-MMM")</f>
        <v>19-Feb</v>
      </c>
      <c r="L1157" s="11">
        <f>Order_Details[[#This Row],[Profit]]/Order_Details[[#This Row],[Amount]]</f>
        <v>0.31818181818181818</v>
      </c>
      <c r="M1157" s="8">
        <f>YEAR(Order_Details[[#This Row],[Order Date]])</f>
        <v>2019</v>
      </c>
      <c r="N1157" s="8">
        <f>ROUNDUP(MONTH(Order_Details[[#This Row],[Order Date]])/3, 0)</f>
        <v>1</v>
      </c>
    </row>
    <row r="1158" spans="1:14">
      <c r="A1158" s="1" t="s">
        <v>909</v>
      </c>
      <c r="B1158" s="1">
        <v>10</v>
      </c>
      <c r="C1158" s="1">
        <v>5</v>
      </c>
      <c r="D1158" s="1">
        <v>1</v>
      </c>
      <c r="E1158" s="1" t="s">
        <v>1076</v>
      </c>
      <c r="F1158" s="1" t="s">
        <v>1102</v>
      </c>
      <c r="G1158" s="7" t="str">
        <f>_xlfn.XLOOKUP(Order_Details[[#This Row],[Order ID]], List_of_orders[Order ID], List_of_orders[State])</f>
        <v>Delhi</v>
      </c>
      <c r="H1158" s="10">
        <f>_xlfn.XLOOKUP(Order_Details[[#This Row],[Order ID]], List_of_orders[Order ID], List_of_orders[Order Date (Clean)])</f>
        <v>43497</v>
      </c>
      <c r="I1158" s="7" t="str">
        <f>_xlfn.XLOOKUP(Order_Details[[#This Row],[Order ID]], List_of_orders[Order ID], List_of_orders[CustomerName])</f>
        <v>Anjali</v>
      </c>
      <c r="J1158" s="7" t="str">
        <f>_xlfn.XLOOKUP(Order_Details[[#This Row],[Order ID]], List_of_orders[Order ID], List_of_orders[City])</f>
        <v>Delhi</v>
      </c>
      <c r="K1158" s="8" t="str">
        <f>TEXT(Order_Details[[#This Row],[Order Date]], "YY-MMM")</f>
        <v>19-Feb</v>
      </c>
      <c r="L1158" s="11">
        <f>Order_Details[[#This Row],[Profit]]/Order_Details[[#This Row],[Amount]]</f>
        <v>0.5</v>
      </c>
      <c r="M1158" s="8">
        <f>YEAR(Order_Details[[#This Row],[Order Date]])</f>
        <v>2019</v>
      </c>
      <c r="N1158" s="8">
        <f>ROUNDUP(MONTH(Order_Details[[#This Row],[Order Date]])/3, 0)</f>
        <v>1</v>
      </c>
    </row>
    <row r="1159" spans="1:14">
      <c r="A1159" s="1" t="s">
        <v>909</v>
      </c>
      <c r="B1159" s="1">
        <v>42</v>
      </c>
      <c r="C1159" s="1">
        <v>15</v>
      </c>
      <c r="D1159" s="1">
        <v>1</v>
      </c>
      <c r="E1159" s="1" t="s">
        <v>1077</v>
      </c>
      <c r="F1159" s="1" t="s">
        <v>1115</v>
      </c>
      <c r="G1159" s="7" t="str">
        <f>_xlfn.XLOOKUP(Order_Details[[#This Row],[Order ID]], List_of_orders[Order ID], List_of_orders[State])</f>
        <v>Delhi</v>
      </c>
      <c r="H1159" s="10">
        <f>_xlfn.XLOOKUP(Order_Details[[#This Row],[Order ID]], List_of_orders[Order ID], List_of_orders[Order Date (Clean)])</f>
        <v>43497</v>
      </c>
      <c r="I1159" s="7" t="str">
        <f>_xlfn.XLOOKUP(Order_Details[[#This Row],[Order ID]], List_of_orders[Order ID], List_of_orders[CustomerName])</f>
        <v>Anjali</v>
      </c>
      <c r="J1159" s="7" t="str">
        <f>_xlfn.XLOOKUP(Order_Details[[#This Row],[Order ID]], List_of_orders[Order ID], List_of_orders[City])</f>
        <v>Delhi</v>
      </c>
      <c r="K1159" s="8" t="str">
        <f>TEXT(Order_Details[[#This Row],[Order Date]], "YY-MMM")</f>
        <v>19-Feb</v>
      </c>
      <c r="L1159" s="11">
        <f>Order_Details[[#This Row],[Profit]]/Order_Details[[#This Row],[Amount]]</f>
        <v>0.35714285714285715</v>
      </c>
      <c r="M1159" s="8">
        <f>YEAR(Order_Details[[#This Row],[Order Date]])</f>
        <v>2019</v>
      </c>
      <c r="N1159" s="8">
        <f>ROUNDUP(MONTH(Order_Details[[#This Row],[Order Date]])/3, 0)</f>
        <v>1</v>
      </c>
    </row>
    <row r="1160" spans="1:14">
      <c r="A1160" s="1" t="s">
        <v>909</v>
      </c>
      <c r="B1160" s="1">
        <v>330</v>
      </c>
      <c r="C1160" s="1">
        <v>81</v>
      </c>
      <c r="D1160" s="1">
        <v>1</v>
      </c>
      <c r="E1160" s="1" t="s">
        <v>1075</v>
      </c>
      <c r="F1160" s="1" t="s">
        <v>1101</v>
      </c>
      <c r="G1160" s="7" t="str">
        <f>_xlfn.XLOOKUP(Order_Details[[#This Row],[Order ID]], List_of_orders[Order ID], List_of_orders[State])</f>
        <v>Delhi</v>
      </c>
      <c r="H1160" s="10">
        <f>_xlfn.XLOOKUP(Order_Details[[#This Row],[Order ID]], List_of_orders[Order ID], List_of_orders[Order Date (Clean)])</f>
        <v>43497</v>
      </c>
      <c r="I1160" s="7" t="str">
        <f>_xlfn.XLOOKUP(Order_Details[[#This Row],[Order ID]], List_of_orders[Order ID], List_of_orders[CustomerName])</f>
        <v>Anjali</v>
      </c>
      <c r="J1160" s="7" t="str">
        <f>_xlfn.XLOOKUP(Order_Details[[#This Row],[Order ID]], List_of_orders[Order ID], List_of_orders[City])</f>
        <v>Delhi</v>
      </c>
      <c r="K1160" s="8" t="str">
        <f>TEXT(Order_Details[[#This Row],[Order Date]], "YY-MMM")</f>
        <v>19-Feb</v>
      </c>
      <c r="L1160" s="11">
        <f>Order_Details[[#This Row],[Profit]]/Order_Details[[#This Row],[Amount]]</f>
        <v>0.24545454545454545</v>
      </c>
      <c r="M1160" s="8">
        <f>YEAR(Order_Details[[#This Row],[Order Date]])</f>
        <v>2019</v>
      </c>
      <c r="N1160" s="8">
        <f>ROUNDUP(MONTH(Order_Details[[#This Row],[Order Date]])/3, 0)</f>
        <v>1</v>
      </c>
    </row>
    <row r="1161" spans="1:14">
      <c r="A1161" s="1" t="s">
        <v>909</v>
      </c>
      <c r="B1161" s="1">
        <v>338</v>
      </c>
      <c r="C1161" s="1">
        <v>41</v>
      </c>
      <c r="D1161" s="1">
        <v>7</v>
      </c>
      <c r="E1161" s="1" t="s">
        <v>1076</v>
      </c>
      <c r="F1161" s="1" t="s">
        <v>1103</v>
      </c>
      <c r="G1161" s="7" t="str">
        <f>_xlfn.XLOOKUP(Order_Details[[#This Row],[Order ID]], List_of_orders[Order ID], List_of_orders[State])</f>
        <v>Delhi</v>
      </c>
      <c r="H1161" s="10">
        <f>_xlfn.XLOOKUP(Order_Details[[#This Row],[Order ID]], List_of_orders[Order ID], List_of_orders[Order Date (Clean)])</f>
        <v>43497</v>
      </c>
      <c r="I1161" s="7" t="str">
        <f>_xlfn.XLOOKUP(Order_Details[[#This Row],[Order ID]], List_of_orders[Order ID], List_of_orders[CustomerName])</f>
        <v>Anjali</v>
      </c>
      <c r="J1161" s="7" t="str">
        <f>_xlfn.XLOOKUP(Order_Details[[#This Row],[Order ID]], List_of_orders[Order ID], List_of_orders[City])</f>
        <v>Delhi</v>
      </c>
      <c r="K1161" s="8" t="str">
        <f>TEXT(Order_Details[[#This Row],[Order Date]], "YY-MMM")</f>
        <v>19-Feb</v>
      </c>
      <c r="L1161" s="11">
        <f>Order_Details[[#This Row],[Profit]]/Order_Details[[#This Row],[Amount]]</f>
        <v>0.12130177514792899</v>
      </c>
      <c r="M1161" s="8">
        <f>YEAR(Order_Details[[#This Row],[Order Date]])</f>
        <v>2019</v>
      </c>
      <c r="N1161" s="8">
        <f>ROUNDUP(MONTH(Order_Details[[#This Row],[Order Date]])/3, 0)</f>
        <v>1</v>
      </c>
    </row>
    <row r="1162" spans="1:14">
      <c r="A1162" s="1" t="s">
        <v>910</v>
      </c>
      <c r="B1162" s="1">
        <v>71</v>
      </c>
      <c r="C1162" s="1">
        <v>32</v>
      </c>
      <c r="D1162" s="1">
        <v>3</v>
      </c>
      <c r="E1162" s="1" t="s">
        <v>1076</v>
      </c>
      <c r="F1162" s="1" t="s">
        <v>1106</v>
      </c>
      <c r="G1162" s="7" t="str">
        <f>_xlfn.XLOOKUP(Order_Details[[#This Row],[Order ID]], List_of_orders[Order ID], List_of_orders[State])</f>
        <v>Delhi</v>
      </c>
      <c r="H1162" s="10">
        <f>_xlfn.XLOOKUP(Order_Details[[#This Row],[Order ID]], List_of_orders[Order ID], List_of_orders[Order Date (Clean)])</f>
        <v>43498</v>
      </c>
      <c r="I1162" s="7" t="str">
        <f>_xlfn.XLOOKUP(Order_Details[[#This Row],[Order ID]], List_of_orders[Order ID], List_of_orders[CustomerName])</f>
        <v>Mugdha</v>
      </c>
      <c r="J1162" s="7" t="str">
        <f>_xlfn.XLOOKUP(Order_Details[[#This Row],[Order ID]], List_of_orders[Order ID], List_of_orders[City])</f>
        <v>Delhi</v>
      </c>
      <c r="K1162" s="8" t="str">
        <f>TEXT(Order_Details[[#This Row],[Order Date]], "YY-MMM")</f>
        <v>19-Feb</v>
      </c>
      <c r="L1162" s="11">
        <f>Order_Details[[#This Row],[Profit]]/Order_Details[[#This Row],[Amount]]</f>
        <v>0.45070422535211269</v>
      </c>
      <c r="M1162" s="8">
        <f>YEAR(Order_Details[[#This Row],[Order Date]])</f>
        <v>2019</v>
      </c>
      <c r="N1162" s="8">
        <f>ROUNDUP(MONTH(Order_Details[[#This Row],[Order Date]])/3, 0)</f>
        <v>1</v>
      </c>
    </row>
    <row r="1163" spans="1:14">
      <c r="A1163" s="1" t="s">
        <v>912</v>
      </c>
      <c r="B1163" s="1">
        <v>188</v>
      </c>
      <c r="C1163" s="1">
        <v>13</v>
      </c>
      <c r="D1163" s="1">
        <v>7</v>
      </c>
      <c r="E1163" s="1" t="s">
        <v>1076</v>
      </c>
      <c r="F1163" s="1" t="s">
        <v>1111</v>
      </c>
      <c r="G1163" s="7" t="str">
        <f>_xlfn.XLOOKUP(Order_Details[[#This Row],[Order ID]], List_of_orders[Order ID], List_of_orders[State])</f>
        <v>Madhya Pradesh</v>
      </c>
      <c r="H1163" s="10">
        <f>_xlfn.XLOOKUP(Order_Details[[#This Row],[Order ID]], List_of_orders[Order ID], List_of_orders[Order Date (Clean)])</f>
        <v>43499</v>
      </c>
      <c r="I1163" s="7" t="str">
        <f>_xlfn.XLOOKUP(Order_Details[[#This Row],[Order ID]], List_of_orders[Order ID], List_of_orders[CustomerName])</f>
        <v>Mansi</v>
      </c>
      <c r="J1163" s="7" t="str">
        <f>_xlfn.XLOOKUP(Order_Details[[#This Row],[Order ID]], List_of_orders[Order ID], List_of_orders[City])</f>
        <v>Indore</v>
      </c>
      <c r="K1163" s="8" t="str">
        <f>TEXT(Order_Details[[#This Row],[Order Date]], "YY-MMM")</f>
        <v>19-Feb</v>
      </c>
      <c r="L1163" s="11">
        <f>Order_Details[[#This Row],[Profit]]/Order_Details[[#This Row],[Amount]]</f>
        <v>6.9148936170212769E-2</v>
      </c>
      <c r="M1163" s="8">
        <f>YEAR(Order_Details[[#This Row],[Order Date]])</f>
        <v>2019</v>
      </c>
      <c r="N1163" s="8">
        <f>ROUNDUP(MONTH(Order_Details[[#This Row],[Order Date]])/3, 0)</f>
        <v>1</v>
      </c>
    </row>
    <row r="1164" spans="1:14">
      <c r="A1164" s="1" t="s">
        <v>912</v>
      </c>
      <c r="B1164" s="1">
        <v>90</v>
      </c>
      <c r="C1164" s="1">
        <v>30</v>
      </c>
      <c r="D1164" s="1">
        <v>2</v>
      </c>
      <c r="E1164" s="1" t="s">
        <v>1075</v>
      </c>
      <c r="F1164" s="1" t="s">
        <v>1108</v>
      </c>
      <c r="G1164" s="7" t="str">
        <f>_xlfn.XLOOKUP(Order_Details[[#This Row],[Order ID]], List_of_orders[Order ID], List_of_orders[State])</f>
        <v>Madhya Pradesh</v>
      </c>
      <c r="H1164" s="10">
        <f>_xlfn.XLOOKUP(Order_Details[[#This Row],[Order ID]], List_of_orders[Order ID], List_of_orders[Order Date (Clean)])</f>
        <v>43499</v>
      </c>
      <c r="I1164" s="7" t="str">
        <f>_xlfn.XLOOKUP(Order_Details[[#This Row],[Order ID]], List_of_orders[Order ID], List_of_orders[CustomerName])</f>
        <v>Mansi</v>
      </c>
      <c r="J1164" s="7" t="str">
        <f>_xlfn.XLOOKUP(Order_Details[[#This Row],[Order ID]], List_of_orders[Order ID], List_of_orders[City])</f>
        <v>Indore</v>
      </c>
      <c r="K1164" s="8" t="str">
        <f>TEXT(Order_Details[[#This Row],[Order Date]], "YY-MMM")</f>
        <v>19-Feb</v>
      </c>
      <c r="L1164" s="11">
        <f>Order_Details[[#This Row],[Profit]]/Order_Details[[#This Row],[Amount]]</f>
        <v>0.33333333333333331</v>
      </c>
      <c r="M1164" s="8">
        <f>YEAR(Order_Details[[#This Row],[Order Date]])</f>
        <v>2019</v>
      </c>
      <c r="N1164" s="8">
        <f>ROUNDUP(MONTH(Order_Details[[#This Row],[Order Date]])/3, 0)</f>
        <v>1</v>
      </c>
    </row>
    <row r="1165" spans="1:14">
      <c r="A1165" s="1" t="s">
        <v>912</v>
      </c>
      <c r="B1165" s="1">
        <v>13</v>
      </c>
      <c r="C1165" s="1">
        <v>5</v>
      </c>
      <c r="D1165" s="1">
        <v>2</v>
      </c>
      <c r="E1165" s="1" t="s">
        <v>1076</v>
      </c>
      <c r="F1165" s="1" t="s">
        <v>1103</v>
      </c>
      <c r="G1165" s="7" t="str">
        <f>_xlfn.XLOOKUP(Order_Details[[#This Row],[Order ID]], List_of_orders[Order ID], List_of_orders[State])</f>
        <v>Madhya Pradesh</v>
      </c>
      <c r="H1165" s="10">
        <f>_xlfn.XLOOKUP(Order_Details[[#This Row],[Order ID]], List_of_orders[Order ID], List_of_orders[Order Date (Clean)])</f>
        <v>43499</v>
      </c>
      <c r="I1165" s="7" t="str">
        <f>_xlfn.XLOOKUP(Order_Details[[#This Row],[Order ID]], List_of_orders[Order ID], List_of_orders[CustomerName])</f>
        <v>Mansi</v>
      </c>
      <c r="J1165" s="7" t="str">
        <f>_xlfn.XLOOKUP(Order_Details[[#This Row],[Order ID]], List_of_orders[Order ID], List_of_orders[City])</f>
        <v>Indore</v>
      </c>
      <c r="K1165" s="8" t="str">
        <f>TEXT(Order_Details[[#This Row],[Order Date]], "YY-MMM")</f>
        <v>19-Feb</v>
      </c>
      <c r="L1165" s="11">
        <f>Order_Details[[#This Row],[Profit]]/Order_Details[[#This Row],[Amount]]</f>
        <v>0.38461538461538464</v>
      </c>
      <c r="M1165" s="8">
        <f>YEAR(Order_Details[[#This Row],[Order Date]])</f>
        <v>2019</v>
      </c>
      <c r="N1165" s="8">
        <f>ROUNDUP(MONTH(Order_Details[[#This Row],[Order Date]])/3, 0)</f>
        <v>1</v>
      </c>
    </row>
    <row r="1166" spans="1:14">
      <c r="A1166" s="1" t="s">
        <v>914</v>
      </c>
      <c r="B1166" s="1">
        <v>141</v>
      </c>
      <c r="C1166" s="1">
        <v>41</v>
      </c>
      <c r="D1166" s="1">
        <v>3</v>
      </c>
      <c r="E1166" s="1" t="s">
        <v>1076</v>
      </c>
      <c r="F1166" s="1" t="s">
        <v>1111</v>
      </c>
      <c r="G1166" s="7" t="str">
        <f>_xlfn.XLOOKUP(Order_Details[[#This Row],[Order ID]], List_of_orders[Order ID], List_of_orders[State])</f>
        <v>Rajasthan</v>
      </c>
      <c r="H1166" s="10">
        <f>_xlfn.XLOOKUP(Order_Details[[#This Row],[Order ID]], List_of_orders[Order ID], List_of_orders[Order Date (Clean)])</f>
        <v>43499</v>
      </c>
      <c r="I1166" s="7" t="str">
        <f>_xlfn.XLOOKUP(Order_Details[[#This Row],[Order ID]], List_of_orders[Order ID], List_of_orders[CustomerName])</f>
        <v>Gaurav</v>
      </c>
      <c r="J1166" s="7" t="str">
        <f>_xlfn.XLOOKUP(Order_Details[[#This Row],[Order ID]], List_of_orders[Order ID], List_of_orders[City])</f>
        <v>Udaipur</v>
      </c>
      <c r="K1166" s="8" t="str">
        <f>TEXT(Order_Details[[#This Row],[Order Date]], "YY-MMM")</f>
        <v>19-Feb</v>
      </c>
      <c r="L1166" s="11">
        <f>Order_Details[[#This Row],[Profit]]/Order_Details[[#This Row],[Amount]]</f>
        <v>0.29078014184397161</v>
      </c>
      <c r="M1166" s="8">
        <f>YEAR(Order_Details[[#This Row],[Order Date]])</f>
        <v>2019</v>
      </c>
      <c r="N1166" s="8">
        <f>ROUNDUP(MONTH(Order_Details[[#This Row],[Order Date]])/3, 0)</f>
        <v>1</v>
      </c>
    </row>
    <row r="1167" spans="1:14">
      <c r="A1167" s="1" t="s">
        <v>915</v>
      </c>
      <c r="B1167" s="1">
        <v>44</v>
      </c>
      <c r="C1167" s="1">
        <v>8</v>
      </c>
      <c r="D1167" s="1">
        <v>2</v>
      </c>
      <c r="E1167" s="1" t="s">
        <v>1076</v>
      </c>
      <c r="F1167" s="1" t="s">
        <v>1102</v>
      </c>
      <c r="G1167" s="7" t="str">
        <f>_xlfn.XLOOKUP(Order_Details[[#This Row],[Order ID]], List_of_orders[Order ID], List_of_orders[State])</f>
        <v>Delhi</v>
      </c>
      <c r="H1167" s="10">
        <f>_xlfn.XLOOKUP(Order_Details[[#This Row],[Order ID]], List_of_orders[Order ID], List_of_orders[Order Date (Clean)])</f>
        <v>43499</v>
      </c>
      <c r="I1167" s="7" t="str">
        <f>_xlfn.XLOOKUP(Order_Details[[#This Row],[Order ID]], List_of_orders[Order ID], List_of_orders[CustomerName])</f>
        <v>Harshal</v>
      </c>
      <c r="J1167" s="7" t="str">
        <f>_xlfn.XLOOKUP(Order_Details[[#This Row],[Order ID]], List_of_orders[Order ID], List_of_orders[City])</f>
        <v>Delhi</v>
      </c>
      <c r="K1167" s="8" t="str">
        <f>TEXT(Order_Details[[#This Row],[Order Date]], "YY-MMM")</f>
        <v>19-Feb</v>
      </c>
      <c r="L1167" s="11">
        <f>Order_Details[[#This Row],[Profit]]/Order_Details[[#This Row],[Amount]]</f>
        <v>0.18181818181818182</v>
      </c>
      <c r="M1167" s="8">
        <f>YEAR(Order_Details[[#This Row],[Order Date]])</f>
        <v>2019</v>
      </c>
      <c r="N1167" s="8">
        <f>ROUNDUP(MONTH(Order_Details[[#This Row],[Order Date]])/3, 0)</f>
        <v>1</v>
      </c>
    </row>
    <row r="1168" spans="1:14">
      <c r="A1168" s="1" t="s">
        <v>915</v>
      </c>
      <c r="B1168" s="1">
        <v>610</v>
      </c>
      <c r="C1168" s="1">
        <v>208</v>
      </c>
      <c r="D1168" s="1">
        <v>3</v>
      </c>
      <c r="E1168" s="1" t="s">
        <v>1077</v>
      </c>
      <c r="F1168" s="1" t="s">
        <v>1114</v>
      </c>
      <c r="G1168" s="7" t="str">
        <f>_xlfn.XLOOKUP(Order_Details[[#This Row],[Order ID]], List_of_orders[Order ID], List_of_orders[State])</f>
        <v>Delhi</v>
      </c>
      <c r="H1168" s="10">
        <f>_xlfn.XLOOKUP(Order_Details[[#This Row],[Order ID]], List_of_orders[Order ID], List_of_orders[Order Date (Clean)])</f>
        <v>43499</v>
      </c>
      <c r="I1168" s="7" t="str">
        <f>_xlfn.XLOOKUP(Order_Details[[#This Row],[Order ID]], List_of_orders[Order ID], List_of_orders[CustomerName])</f>
        <v>Harshal</v>
      </c>
      <c r="J1168" s="7" t="str">
        <f>_xlfn.XLOOKUP(Order_Details[[#This Row],[Order ID]], List_of_orders[Order ID], List_of_orders[City])</f>
        <v>Delhi</v>
      </c>
      <c r="K1168" s="8" t="str">
        <f>TEXT(Order_Details[[#This Row],[Order Date]], "YY-MMM")</f>
        <v>19-Feb</v>
      </c>
      <c r="L1168" s="11">
        <f>Order_Details[[#This Row],[Profit]]/Order_Details[[#This Row],[Amount]]</f>
        <v>0.34098360655737703</v>
      </c>
      <c r="M1168" s="8">
        <f>YEAR(Order_Details[[#This Row],[Order Date]])</f>
        <v>2019</v>
      </c>
      <c r="N1168" s="8">
        <f>ROUNDUP(MONTH(Order_Details[[#This Row],[Order Date]])/3, 0)</f>
        <v>1</v>
      </c>
    </row>
    <row r="1169" spans="1:14">
      <c r="A1169" s="1" t="s">
        <v>915</v>
      </c>
      <c r="B1169" s="1">
        <v>4363</v>
      </c>
      <c r="C1169" s="1">
        <v>305</v>
      </c>
      <c r="D1169" s="1">
        <v>5</v>
      </c>
      <c r="E1169" s="1" t="s">
        <v>1075</v>
      </c>
      <c r="F1169" s="1" t="s">
        <v>1113</v>
      </c>
      <c r="G1169" s="7" t="str">
        <f>_xlfn.XLOOKUP(Order_Details[[#This Row],[Order ID]], List_of_orders[Order ID], List_of_orders[State])</f>
        <v>Delhi</v>
      </c>
      <c r="H1169" s="10">
        <f>_xlfn.XLOOKUP(Order_Details[[#This Row],[Order ID]], List_of_orders[Order ID], List_of_orders[Order Date (Clean)])</f>
        <v>43499</v>
      </c>
      <c r="I1169" s="7" t="str">
        <f>_xlfn.XLOOKUP(Order_Details[[#This Row],[Order ID]], List_of_orders[Order ID], List_of_orders[CustomerName])</f>
        <v>Harshal</v>
      </c>
      <c r="J1169" s="7" t="str">
        <f>_xlfn.XLOOKUP(Order_Details[[#This Row],[Order ID]], List_of_orders[Order ID], List_of_orders[City])</f>
        <v>Delhi</v>
      </c>
      <c r="K1169" s="8" t="str">
        <f>TEXT(Order_Details[[#This Row],[Order Date]], "YY-MMM")</f>
        <v>19-Feb</v>
      </c>
      <c r="L1169" s="11">
        <f>Order_Details[[#This Row],[Profit]]/Order_Details[[#This Row],[Amount]]</f>
        <v>6.9906027962411188E-2</v>
      </c>
      <c r="M1169" s="8">
        <f>YEAR(Order_Details[[#This Row],[Order Date]])</f>
        <v>2019</v>
      </c>
      <c r="N1169" s="8">
        <f>ROUNDUP(MONTH(Order_Details[[#This Row],[Order Date]])/3, 0)</f>
        <v>1</v>
      </c>
    </row>
    <row r="1170" spans="1:14">
      <c r="A1170" s="1" t="s">
        <v>915</v>
      </c>
      <c r="B1170" s="1">
        <v>414</v>
      </c>
      <c r="C1170" s="1">
        <v>199</v>
      </c>
      <c r="D1170" s="1">
        <v>3</v>
      </c>
      <c r="E1170" s="1" t="s">
        <v>1077</v>
      </c>
      <c r="F1170" s="1" t="s">
        <v>1105</v>
      </c>
      <c r="G1170" s="7" t="str">
        <f>_xlfn.XLOOKUP(Order_Details[[#This Row],[Order ID]], List_of_orders[Order ID], List_of_orders[State])</f>
        <v>Delhi</v>
      </c>
      <c r="H1170" s="10">
        <f>_xlfn.XLOOKUP(Order_Details[[#This Row],[Order ID]], List_of_orders[Order ID], List_of_orders[Order Date (Clean)])</f>
        <v>43499</v>
      </c>
      <c r="I1170" s="7" t="str">
        <f>_xlfn.XLOOKUP(Order_Details[[#This Row],[Order ID]], List_of_orders[Order ID], List_of_orders[CustomerName])</f>
        <v>Harshal</v>
      </c>
      <c r="J1170" s="7" t="str">
        <f>_xlfn.XLOOKUP(Order_Details[[#This Row],[Order ID]], List_of_orders[Order ID], List_of_orders[City])</f>
        <v>Delhi</v>
      </c>
      <c r="K1170" s="8" t="str">
        <f>TEXT(Order_Details[[#This Row],[Order Date]], "YY-MMM")</f>
        <v>19-Feb</v>
      </c>
      <c r="L1170" s="11">
        <f>Order_Details[[#This Row],[Profit]]/Order_Details[[#This Row],[Amount]]</f>
        <v>0.48067632850241548</v>
      </c>
      <c r="M1170" s="8">
        <f>YEAR(Order_Details[[#This Row],[Order Date]])</f>
        <v>2019</v>
      </c>
      <c r="N1170" s="8">
        <f>ROUNDUP(MONTH(Order_Details[[#This Row],[Order Date]])/3, 0)</f>
        <v>1</v>
      </c>
    </row>
    <row r="1171" spans="1:14">
      <c r="A1171" s="1" t="s">
        <v>915</v>
      </c>
      <c r="B1171" s="1">
        <v>221</v>
      </c>
      <c r="C1171" s="1">
        <v>26</v>
      </c>
      <c r="D1171" s="1">
        <v>7</v>
      </c>
      <c r="E1171" s="1" t="s">
        <v>1075</v>
      </c>
      <c r="F1171" s="1" t="s">
        <v>1116</v>
      </c>
      <c r="G1171" s="7" t="str">
        <f>_xlfn.XLOOKUP(Order_Details[[#This Row],[Order ID]], List_of_orders[Order ID], List_of_orders[State])</f>
        <v>Delhi</v>
      </c>
      <c r="H1171" s="10">
        <f>_xlfn.XLOOKUP(Order_Details[[#This Row],[Order ID]], List_of_orders[Order ID], List_of_orders[Order Date (Clean)])</f>
        <v>43499</v>
      </c>
      <c r="I1171" s="7" t="str">
        <f>_xlfn.XLOOKUP(Order_Details[[#This Row],[Order ID]], List_of_orders[Order ID], List_of_orders[CustomerName])</f>
        <v>Harshal</v>
      </c>
      <c r="J1171" s="7" t="str">
        <f>_xlfn.XLOOKUP(Order_Details[[#This Row],[Order ID]], List_of_orders[Order ID], List_of_orders[City])</f>
        <v>Delhi</v>
      </c>
      <c r="K1171" s="8" t="str">
        <f>TEXT(Order_Details[[#This Row],[Order Date]], "YY-MMM")</f>
        <v>19-Feb</v>
      </c>
      <c r="L1171" s="11">
        <f>Order_Details[[#This Row],[Profit]]/Order_Details[[#This Row],[Amount]]</f>
        <v>0.11764705882352941</v>
      </c>
      <c r="M1171" s="8">
        <f>YEAR(Order_Details[[#This Row],[Order Date]])</f>
        <v>2019</v>
      </c>
      <c r="N1171" s="8">
        <f>ROUNDUP(MONTH(Order_Details[[#This Row],[Order Date]])/3, 0)</f>
        <v>1</v>
      </c>
    </row>
    <row r="1172" spans="1:14">
      <c r="A1172" s="1" t="s">
        <v>915</v>
      </c>
      <c r="B1172" s="1">
        <v>201</v>
      </c>
      <c r="C1172" s="1">
        <v>32</v>
      </c>
      <c r="D1172" s="1">
        <v>4</v>
      </c>
      <c r="E1172" s="1" t="s">
        <v>1075</v>
      </c>
      <c r="F1172" s="1" t="s">
        <v>1116</v>
      </c>
      <c r="G1172" s="7" t="str">
        <f>_xlfn.XLOOKUP(Order_Details[[#This Row],[Order ID]], List_of_orders[Order ID], List_of_orders[State])</f>
        <v>Delhi</v>
      </c>
      <c r="H1172" s="10">
        <f>_xlfn.XLOOKUP(Order_Details[[#This Row],[Order ID]], List_of_orders[Order ID], List_of_orders[Order Date (Clean)])</f>
        <v>43499</v>
      </c>
      <c r="I1172" s="7" t="str">
        <f>_xlfn.XLOOKUP(Order_Details[[#This Row],[Order ID]], List_of_orders[Order ID], List_of_orders[CustomerName])</f>
        <v>Harshal</v>
      </c>
      <c r="J1172" s="7" t="str">
        <f>_xlfn.XLOOKUP(Order_Details[[#This Row],[Order ID]], List_of_orders[Order ID], List_of_orders[City])</f>
        <v>Delhi</v>
      </c>
      <c r="K1172" s="8" t="str">
        <f>TEXT(Order_Details[[#This Row],[Order Date]], "YY-MMM")</f>
        <v>19-Feb</v>
      </c>
      <c r="L1172" s="11">
        <f>Order_Details[[#This Row],[Profit]]/Order_Details[[#This Row],[Amount]]</f>
        <v>0.15920398009950248</v>
      </c>
      <c r="M1172" s="8">
        <f>YEAR(Order_Details[[#This Row],[Order Date]])</f>
        <v>2019</v>
      </c>
      <c r="N1172" s="8">
        <f>ROUNDUP(MONTH(Order_Details[[#This Row],[Order Date]])/3, 0)</f>
        <v>1</v>
      </c>
    </row>
    <row r="1173" spans="1:14">
      <c r="A1173" s="1" t="s">
        <v>915</v>
      </c>
      <c r="B1173" s="1">
        <v>173</v>
      </c>
      <c r="C1173" s="1">
        <v>86</v>
      </c>
      <c r="D1173" s="1">
        <v>1</v>
      </c>
      <c r="E1173" s="1" t="s">
        <v>1077</v>
      </c>
      <c r="F1173" s="1" t="s">
        <v>1114</v>
      </c>
      <c r="G1173" s="7" t="str">
        <f>_xlfn.XLOOKUP(Order_Details[[#This Row],[Order ID]], List_of_orders[Order ID], List_of_orders[State])</f>
        <v>Delhi</v>
      </c>
      <c r="H1173" s="10">
        <f>_xlfn.XLOOKUP(Order_Details[[#This Row],[Order ID]], List_of_orders[Order ID], List_of_orders[Order Date (Clean)])</f>
        <v>43499</v>
      </c>
      <c r="I1173" s="7" t="str">
        <f>_xlfn.XLOOKUP(Order_Details[[#This Row],[Order ID]], List_of_orders[Order ID], List_of_orders[CustomerName])</f>
        <v>Harshal</v>
      </c>
      <c r="J1173" s="7" t="str">
        <f>_xlfn.XLOOKUP(Order_Details[[#This Row],[Order ID]], List_of_orders[Order ID], List_of_orders[City])</f>
        <v>Delhi</v>
      </c>
      <c r="K1173" s="8" t="str">
        <f>TEXT(Order_Details[[#This Row],[Order Date]], "YY-MMM")</f>
        <v>19-Feb</v>
      </c>
      <c r="L1173" s="11">
        <f>Order_Details[[#This Row],[Profit]]/Order_Details[[#This Row],[Amount]]</f>
        <v>0.49710982658959535</v>
      </c>
      <c r="M1173" s="8">
        <f>YEAR(Order_Details[[#This Row],[Order Date]])</f>
        <v>2019</v>
      </c>
      <c r="N1173" s="8">
        <f>ROUNDUP(MONTH(Order_Details[[#This Row],[Order Date]])/3, 0)</f>
        <v>1</v>
      </c>
    </row>
    <row r="1174" spans="1:14">
      <c r="A1174" s="1" t="s">
        <v>917</v>
      </c>
      <c r="B1174" s="1">
        <v>196</v>
      </c>
      <c r="C1174" s="1">
        <v>-7</v>
      </c>
      <c r="D1174" s="1">
        <v>5</v>
      </c>
      <c r="E1174" s="1" t="s">
        <v>1077</v>
      </c>
      <c r="F1174" s="1" t="s">
        <v>1105</v>
      </c>
      <c r="G1174" s="7" t="str">
        <f>_xlfn.XLOOKUP(Order_Details[[#This Row],[Order ID]], List_of_orders[Order ID], List_of_orders[State])</f>
        <v>Delhi</v>
      </c>
      <c r="H1174" s="10">
        <f>_xlfn.XLOOKUP(Order_Details[[#This Row],[Order ID]], List_of_orders[Order ID], List_of_orders[Order Date (Clean)])</f>
        <v>43499</v>
      </c>
      <c r="I1174" s="7" t="str">
        <f>_xlfn.XLOOKUP(Order_Details[[#This Row],[Order ID]], List_of_orders[Order ID], List_of_orders[CustomerName])</f>
        <v>Omkar</v>
      </c>
      <c r="J1174" s="7" t="str">
        <f>_xlfn.XLOOKUP(Order_Details[[#This Row],[Order ID]], List_of_orders[Order ID], List_of_orders[City])</f>
        <v>Delhi</v>
      </c>
      <c r="K1174" s="8" t="str">
        <f>TEXT(Order_Details[[#This Row],[Order Date]], "YY-MMM")</f>
        <v>19-Feb</v>
      </c>
      <c r="L1174" s="11">
        <f>Order_Details[[#This Row],[Profit]]/Order_Details[[#This Row],[Amount]]</f>
        <v>-3.5714285714285712E-2</v>
      </c>
      <c r="M1174" s="8">
        <f>YEAR(Order_Details[[#This Row],[Order Date]])</f>
        <v>2019</v>
      </c>
      <c r="N1174" s="8">
        <f>ROUNDUP(MONTH(Order_Details[[#This Row],[Order Date]])/3, 0)</f>
        <v>1</v>
      </c>
    </row>
    <row r="1175" spans="1:14">
      <c r="A1175" s="1" t="s">
        <v>919</v>
      </c>
      <c r="B1175" s="1">
        <v>1314</v>
      </c>
      <c r="C1175" s="1">
        <v>342</v>
      </c>
      <c r="D1175" s="1">
        <v>3</v>
      </c>
      <c r="E1175" s="1" t="s">
        <v>1075</v>
      </c>
      <c r="F1175" s="1" t="s">
        <v>1101</v>
      </c>
      <c r="G1175" s="7" t="str">
        <f>_xlfn.XLOOKUP(Order_Details[[#This Row],[Order ID]], List_of_orders[Order ID], List_of_orders[State])</f>
        <v>Delhi</v>
      </c>
      <c r="H1175" s="10">
        <f>_xlfn.XLOOKUP(Order_Details[[#This Row],[Order ID]], List_of_orders[Order ID], List_of_orders[Order Date (Clean)])</f>
        <v>43500</v>
      </c>
      <c r="I1175" s="7" t="str">
        <f>_xlfn.XLOOKUP(Order_Details[[#This Row],[Order ID]], List_of_orders[Order ID], List_of_orders[CustomerName])</f>
        <v>Yohann</v>
      </c>
      <c r="J1175" s="7" t="str">
        <f>_xlfn.XLOOKUP(Order_Details[[#This Row],[Order ID]], List_of_orders[Order ID], List_of_orders[City])</f>
        <v>Delhi</v>
      </c>
      <c r="K1175" s="8" t="str">
        <f>TEXT(Order_Details[[#This Row],[Order Date]], "YY-MMM")</f>
        <v>19-Feb</v>
      </c>
      <c r="L1175" s="11">
        <f>Order_Details[[#This Row],[Profit]]/Order_Details[[#This Row],[Amount]]</f>
        <v>0.26027397260273971</v>
      </c>
      <c r="M1175" s="8">
        <f>YEAR(Order_Details[[#This Row],[Order Date]])</f>
        <v>2019</v>
      </c>
      <c r="N1175" s="8">
        <f>ROUNDUP(MONTH(Order_Details[[#This Row],[Order Date]])/3, 0)</f>
        <v>1</v>
      </c>
    </row>
    <row r="1176" spans="1:14">
      <c r="A1176" s="1" t="s">
        <v>921</v>
      </c>
      <c r="B1176" s="1">
        <v>62</v>
      </c>
      <c r="C1176" s="1">
        <v>6</v>
      </c>
      <c r="D1176" s="1">
        <v>6</v>
      </c>
      <c r="E1176" s="1" t="s">
        <v>1076</v>
      </c>
      <c r="F1176" s="1" t="s">
        <v>1117</v>
      </c>
      <c r="G1176" s="7" t="str">
        <f>_xlfn.XLOOKUP(Order_Details[[#This Row],[Order ID]], List_of_orders[Order ID], List_of_orders[State])</f>
        <v>Delhi</v>
      </c>
      <c r="H1176" s="10">
        <f>_xlfn.XLOOKUP(Order_Details[[#This Row],[Order ID]], List_of_orders[Order ID], List_of_orders[Order Date (Clean)])</f>
        <v>43500</v>
      </c>
      <c r="I1176" s="7" t="str">
        <f>_xlfn.XLOOKUP(Order_Details[[#This Row],[Order ID]], List_of_orders[Order ID], List_of_orders[CustomerName])</f>
        <v>Prashant</v>
      </c>
      <c r="J1176" s="7" t="str">
        <f>_xlfn.XLOOKUP(Order_Details[[#This Row],[Order ID]], List_of_orders[Order ID], List_of_orders[City])</f>
        <v>Delhi</v>
      </c>
      <c r="K1176" s="8" t="str">
        <f>TEXT(Order_Details[[#This Row],[Order Date]], "YY-MMM")</f>
        <v>19-Feb</v>
      </c>
      <c r="L1176" s="11">
        <f>Order_Details[[#This Row],[Profit]]/Order_Details[[#This Row],[Amount]]</f>
        <v>9.6774193548387094E-2</v>
      </c>
      <c r="M1176" s="8">
        <f>YEAR(Order_Details[[#This Row],[Order Date]])</f>
        <v>2019</v>
      </c>
      <c r="N1176" s="8">
        <f>ROUNDUP(MONTH(Order_Details[[#This Row],[Order Date]])/3, 0)</f>
        <v>1</v>
      </c>
    </row>
    <row r="1177" spans="1:14">
      <c r="A1177" s="1" t="s">
        <v>921</v>
      </c>
      <c r="B1177" s="1">
        <v>31</v>
      </c>
      <c r="C1177" s="1">
        <v>2</v>
      </c>
      <c r="D1177" s="1">
        <v>2</v>
      </c>
      <c r="E1177" s="1" t="s">
        <v>1076</v>
      </c>
      <c r="F1177" s="1" t="s">
        <v>1103</v>
      </c>
      <c r="G1177" s="7" t="str">
        <f>_xlfn.XLOOKUP(Order_Details[[#This Row],[Order ID]], List_of_orders[Order ID], List_of_orders[State])</f>
        <v>Delhi</v>
      </c>
      <c r="H1177" s="10">
        <f>_xlfn.XLOOKUP(Order_Details[[#This Row],[Order ID]], List_of_orders[Order ID], List_of_orders[Order Date (Clean)])</f>
        <v>43500</v>
      </c>
      <c r="I1177" s="7" t="str">
        <f>_xlfn.XLOOKUP(Order_Details[[#This Row],[Order ID]], List_of_orders[Order ID], List_of_orders[CustomerName])</f>
        <v>Prashant</v>
      </c>
      <c r="J1177" s="7" t="str">
        <f>_xlfn.XLOOKUP(Order_Details[[#This Row],[Order ID]], List_of_orders[Order ID], List_of_orders[City])</f>
        <v>Delhi</v>
      </c>
      <c r="K1177" s="8" t="str">
        <f>TEXT(Order_Details[[#This Row],[Order Date]], "YY-MMM")</f>
        <v>19-Feb</v>
      </c>
      <c r="L1177" s="11">
        <f>Order_Details[[#This Row],[Profit]]/Order_Details[[#This Row],[Amount]]</f>
        <v>6.4516129032258063E-2</v>
      </c>
      <c r="M1177" s="8">
        <f>YEAR(Order_Details[[#This Row],[Order Date]])</f>
        <v>2019</v>
      </c>
      <c r="N1177" s="8">
        <f>ROUNDUP(MONTH(Order_Details[[#This Row],[Order Date]])/3, 0)</f>
        <v>1</v>
      </c>
    </row>
    <row r="1178" spans="1:14">
      <c r="A1178" s="1" t="s">
        <v>921</v>
      </c>
      <c r="B1178" s="1">
        <v>217</v>
      </c>
      <c r="C1178" s="1">
        <v>72</v>
      </c>
      <c r="D1178" s="1">
        <v>2</v>
      </c>
      <c r="E1178" s="1" t="s">
        <v>1075</v>
      </c>
      <c r="F1178" s="1" t="s">
        <v>1116</v>
      </c>
      <c r="G1178" s="7" t="str">
        <f>_xlfn.XLOOKUP(Order_Details[[#This Row],[Order ID]], List_of_orders[Order ID], List_of_orders[State])</f>
        <v>Delhi</v>
      </c>
      <c r="H1178" s="10">
        <f>_xlfn.XLOOKUP(Order_Details[[#This Row],[Order ID]], List_of_orders[Order ID], List_of_orders[Order Date (Clean)])</f>
        <v>43500</v>
      </c>
      <c r="I1178" s="7" t="str">
        <f>_xlfn.XLOOKUP(Order_Details[[#This Row],[Order ID]], List_of_orders[Order ID], List_of_orders[CustomerName])</f>
        <v>Prashant</v>
      </c>
      <c r="J1178" s="7" t="str">
        <f>_xlfn.XLOOKUP(Order_Details[[#This Row],[Order ID]], List_of_orders[Order ID], List_of_orders[City])</f>
        <v>Delhi</v>
      </c>
      <c r="K1178" s="8" t="str">
        <f>TEXT(Order_Details[[#This Row],[Order Date]], "YY-MMM")</f>
        <v>19-Feb</v>
      </c>
      <c r="L1178" s="11">
        <f>Order_Details[[#This Row],[Profit]]/Order_Details[[#This Row],[Amount]]</f>
        <v>0.33179723502304148</v>
      </c>
      <c r="M1178" s="8">
        <f>YEAR(Order_Details[[#This Row],[Order Date]])</f>
        <v>2019</v>
      </c>
      <c r="N1178" s="8">
        <f>ROUNDUP(MONTH(Order_Details[[#This Row],[Order Date]])/3, 0)</f>
        <v>1</v>
      </c>
    </row>
    <row r="1179" spans="1:14">
      <c r="A1179" s="1" t="s">
        <v>921</v>
      </c>
      <c r="B1179" s="1">
        <v>286</v>
      </c>
      <c r="C1179" s="1">
        <v>140</v>
      </c>
      <c r="D1179" s="1">
        <v>6</v>
      </c>
      <c r="E1179" s="1" t="s">
        <v>1076</v>
      </c>
      <c r="F1179" s="1" t="s">
        <v>1111</v>
      </c>
      <c r="G1179" s="7" t="str">
        <f>_xlfn.XLOOKUP(Order_Details[[#This Row],[Order ID]], List_of_orders[Order ID], List_of_orders[State])</f>
        <v>Delhi</v>
      </c>
      <c r="H1179" s="10">
        <f>_xlfn.XLOOKUP(Order_Details[[#This Row],[Order ID]], List_of_orders[Order ID], List_of_orders[Order Date (Clean)])</f>
        <v>43500</v>
      </c>
      <c r="I1179" s="7" t="str">
        <f>_xlfn.XLOOKUP(Order_Details[[#This Row],[Order ID]], List_of_orders[Order ID], List_of_orders[CustomerName])</f>
        <v>Prashant</v>
      </c>
      <c r="J1179" s="7" t="str">
        <f>_xlfn.XLOOKUP(Order_Details[[#This Row],[Order ID]], List_of_orders[Order ID], List_of_orders[City])</f>
        <v>Delhi</v>
      </c>
      <c r="K1179" s="8" t="str">
        <f>TEXT(Order_Details[[#This Row],[Order Date]], "YY-MMM")</f>
        <v>19-Feb</v>
      </c>
      <c r="L1179" s="11">
        <f>Order_Details[[#This Row],[Profit]]/Order_Details[[#This Row],[Amount]]</f>
        <v>0.48951048951048953</v>
      </c>
      <c r="M1179" s="8">
        <f>YEAR(Order_Details[[#This Row],[Order Date]])</f>
        <v>2019</v>
      </c>
      <c r="N1179" s="8">
        <f>ROUNDUP(MONTH(Order_Details[[#This Row],[Order Date]])/3, 0)</f>
        <v>1</v>
      </c>
    </row>
    <row r="1180" spans="1:14">
      <c r="A1180" s="1" t="s">
        <v>921</v>
      </c>
      <c r="B1180" s="1">
        <v>333</v>
      </c>
      <c r="C1180" s="1">
        <v>50</v>
      </c>
      <c r="D1180" s="1">
        <v>2</v>
      </c>
      <c r="E1180" s="1" t="s">
        <v>1077</v>
      </c>
      <c r="F1180" s="1" t="s">
        <v>1105</v>
      </c>
      <c r="G1180" s="7" t="str">
        <f>_xlfn.XLOOKUP(Order_Details[[#This Row],[Order ID]], List_of_orders[Order ID], List_of_orders[State])</f>
        <v>Delhi</v>
      </c>
      <c r="H1180" s="10">
        <f>_xlfn.XLOOKUP(Order_Details[[#This Row],[Order ID]], List_of_orders[Order ID], List_of_orders[Order Date (Clean)])</f>
        <v>43500</v>
      </c>
      <c r="I1180" s="7" t="str">
        <f>_xlfn.XLOOKUP(Order_Details[[#This Row],[Order ID]], List_of_orders[Order ID], List_of_orders[CustomerName])</f>
        <v>Prashant</v>
      </c>
      <c r="J1180" s="7" t="str">
        <f>_xlfn.XLOOKUP(Order_Details[[#This Row],[Order ID]], List_of_orders[Order ID], List_of_orders[City])</f>
        <v>Delhi</v>
      </c>
      <c r="K1180" s="8" t="str">
        <f>TEXT(Order_Details[[#This Row],[Order Date]], "YY-MMM")</f>
        <v>19-Feb</v>
      </c>
      <c r="L1180" s="11">
        <f>Order_Details[[#This Row],[Profit]]/Order_Details[[#This Row],[Amount]]</f>
        <v>0.15015015015015015</v>
      </c>
      <c r="M1180" s="8">
        <f>YEAR(Order_Details[[#This Row],[Order Date]])</f>
        <v>2019</v>
      </c>
      <c r="N1180" s="8">
        <f>ROUNDUP(MONTH(Order_Details[[#This Row],[Order Date]])/3, 0)</f>
        <v>1</v>
      </c>
    </row>
    <row r="1181" spans="1:14">
      <c r="A1181" s="1" t="s">
        <v>921</v>
      </c>
      <c r="B1181" s="1">
        <v>47</v>
      </c>
      <c r="C1181" s="1">
        <v>1</v>
      </c>
      <c r="D1181" s="1">
        <v>2</v>
      </c>
      <c r="E1181" s="1" t="s">
        <v>1076</v>
      </c>
      <c r="F1181" s="1" t="s">
        <v>1102</v>
      </c>
      <c r="G1181" s="7" t="str">
        <f>_xlfn.XLOOKUP(Order_Details[[#This Row],[Order ID]], List_of_orders[Order ID], List_of_orders[State])</f>
        <v>Delhi</v>
      </c>
      <c r="H1181" s="10">
        <f>_xlfn.XLOOKUP(Order_Details[[#This Row],[Order ID]], List_of_orders[Order ID], List_of_orders[Order Date (Clean)])</f>
        <v>43500</v>
      </c>
      <c r="I1181" s="7" t="str">
        <f>_xlfn.XLOOKUP(Order_Details[[#This Row],[Order ID]], List_of_orders[Order ID], List_of_orders[CustomerName])</f>
        <v>Prashant</v>
      </c>
      <c r="J1181" s="7" t="str">
        <f>_xlfn.XLOOKUP(Order_Details[[#This Row],[Order ID]], List_of_orders[Order ID], List_of_orders[City])</f>
        <v>Delhi</v>
      </c>
      <c r="K1181" s="8" t="str">
        <f>TEXT(Order_Details[[#This Row],[Order Date]], "YY-MMM")</f>
        <v>19-Feb</v>
      </c>
      <c r="L1181" s="11">
        <f>Order_Details[[#This Row],[Profit]]/Order_Details[[#This Row],[Amount]]</f>
        <v>2.1276595744680851E-2</v>
      </c>
      <c r="M1181" s="8">
        <f>YEAR(Order_Details[[#This Row],[Order Date]])</f>
        <v>2019</v>
      </c>
      <c r="N1181" s="8">
        <f>ROUNDUP(MONTH(Order_Details[[#This Row],[Order Date]])/3, 0)</f>
        <v>1</v>
      </c>
    </row>
    <row r="1182" spans="1:14">
      <c r="A1182" s="1" t="s">
        <v>921</v>
      </c>
      <c r="B1182" s="1">
        <v>18</v>
      </c>
      <c r="C1182" s="1">
        <v>4</v>
      </c>
      <c r="D1182" s="1">
        <v>1</v>
      </c>
      <c r="E1182" s="1" t="s">
        <v>1076</v>
      </c>
      <c r="F1182" s="1" t="s">
        <v>1106</v>
      </c>
      <c r="G1182" s="7" t="str">
        <f>_xlfn.XLOOKUP(Order_Details[[#This Row],[Order ID]], List_of_orders[Order ID], List_of_orders[State])</f>
        <v>Delhi</v>
      </c>
      <c r="H1182" s="10">
        <f>_xlfn.XLOOKUP(Order_Details[[#This Row],[Order ID]], List_of_orders[Order ID], List_of_orders[Order Date (Clean)])</f>
        <v>43500</v>
      </c>
      <c r="I1182" s="7" t="str">
        <f>_xlfn.XLOOKUP(Order_Details[[#This Row],[Order ID]], List_of_orders[Order ID], List_of_orders[CustomerName])</f>
        <v>Prashant</v>
      </c>
      <c r="J1182" s="7" t="str">
        <f>_xlfn.XLOOKUP(Order_Details[[#This Row],[Order ID]], List_of_orders[Order ID], List_of_orders[City])</f>
        <v>Delhi</v>
      </c>
      <c r="K1182" s="8" t="str">
        <f>TEXT(Order_Details[[#This Row],[Order Date]], "YY-MMM")</f>
        <v>19-Feb</v>
      </c>
      <c r="L1182" s="11">
        <f>Order_Details[[#This Row],[Profit]]/Order_Details[[#This Row],[Amount]]</f>
        <v>0.22222222222222221</v>
      </c>
      <c r="M1182" s="8">
        <f>YEAR(Order_Details[[#This Row],[Order Date]])</f>
        <v>2019</v>
      </c>
      <c r="N1182" s="8">
        <f>ROUNDUP(MONTH(Order_Details[[#This Row],[Order Date]])/3, 0)</f>
        <v>1</v>
      </c>
    </row>
    <row r="1183" spans="1:14">
      <c r="A1183" s="1" t="s">
        <v>923</v>
      </c>
      <c r="B1183" s="1">
        <v>16</v>
      </c>
      <c r="C1183" s="1">
        <v>6</v>
      </c>
      <c r="D1183" s="1">
        <v>3</v>
      </c>
      <c r="E1183" s="1" t="s">
        <v>1076</v>
      </c>
      <c r="F1183" s="1" t="s">
        <v>1103</v>
      </c>
      <c r="G1183" s="7" t="str">
        <f>_xlfn.XLOOKUP(Order_Details[[#This Row],[Order ID]], List_of_orders[Order ID], List_of_orders[State])</f>
        <v>Madhya Pradesh</v>
      </c>
      <c r="H1183" s="10">
        <f>_xlfn.XLOOKUP(Order_Details[[#This Row],[Order ID]], List_of_orders[Order ID], List_of_orders[Order Date (Clean)])</f>
        <v>43500</v>
      </c>
      <c r="I1183" s="7" t="str">
        <f>_xlfn.XLOOKUP(Order_Details[[#This Row],[Order ID]], List_of_orders[Order ID], List_of_orders[CustomerName])</f>
        <v>Yogesh</v>
      </c>
      <c r="J1183" s="7" t="str">
        <f>_xlfn.XLOOKUP(Order_Details[[#This Row],[Order ID]], List_of_orders[Order ID], List_of_orders[City])</f>
        <v>Indore</v>
      </c>
      <c r="K1183" s="8" t="str">
        <f>TEXT(Order_Details[[#This Row],[Order Date]], "YY-MMM")</f>
        <v>19-Feb</v>
      </c>
      <c r="L1183" s="11">
        <f>Order_Details[[#This Row],[Profit]]/Order_Details[[#This Row],[Amount]]</f>
        <v>0.375</v>
      </c>
      <c r="M1183" s="8">
        <f>YEAR(Order_Details[[#This Row],[Order Date]])</f>
        <v>2019</v>
      </c>
      <c r="N1183" s="8">
        <f>ROUNDUP(MONTH(Order_Details[[#This Row],[Order Date]])/3, 0)</f>
        <v>1</v>
      </c>
    </row>
    <row r="1184" spans="1:14">
      <c r="A1184" s="1" t="s">
        <v>923</v>
      </c>
      <c r="B1184" s="1">
        <v>231</v>
      </c>
      <c r="C1184" s="1">
        <v>99</v>
      </c>
      <c r="D1184" s="1">
        <v>2</v>
      </c>
      <c r="E1184" s="1" t="s">
        <v>1077</v>
      </c>
      <c r="F1184" s="1" t="s">
        <v>1104</v>
      </c>
      <c r="G1184" s="7" t="str">
        <f>_xlfn.XLOOKUP(Order_Details[[#This Row],[Order ID]], List_of_orders[Order ID], List_of_orders[State])</f>
        <v>Madhya Pradesh</v>
      </c>
      <c r="H1184" s="10">
        <f>_xlfn.XLOOKUP(Order_Details[[#This Row],[Order ID]], List_of_orders[Order ID], List_of_orders[Order Date (Clean)])</f>
        <v>43500</v>
      </c>
      <c r="I1184" s="7" t="str">
        <f>_xlfn.XLOOKUP(Order_Details[[#This Row],[Order ID]], List_of_orders[Order ID], List_of_orders[CustomerName])</f>
        <v>Yogesh</v>
      </c>
      <c r="J1184" s="7" t="str">
        <f>_xlfn.XLOOKUP(Order_Details[[#This Row],[Order ID]], List_of_orders[Order ID], List_of_orders[City])</f>
        <v>Indore</v>
      </c>
      <c r="K1184" s="8" t="str">
        <f>TEXT(Order_Details[[#This Row],[Order Date]], "YY-MMM")</f>
        <v>19-Feb</v>
      </c>
      <c r="L1184" s="11">
        <f>Order_Details[[#This Row],[Profit]]/Order_Details[[#This Row],[Amount]]</f>
        <v>0.42857142857142855</v>
      </c>
      <c r="M1184" s="8">
        <f>YEAR(Order_Details[[#This Row],[Order Date]])</f>
        <v>2019</v>
      </c>
      <c r="N1184" s="8">
        <f>ROUNDUP(MONTH(Order_Details[[#This Row],[Order Date]])/3, 0)</f>
        <v>1</v>
      </c>
    </row>
    <row r="1185" spans="1:14">
      <c r="A1185" s="1" t="s">
        <v>923</v>
      </c>
      <c r="B1185" s="1">
        <v>2292</v>
      </c>
      <c r="C1185" s="1">
        <v>127</v>
      </c>
      <c r="D1185" s="1">
        <v>7</v>
      </c>
      <c r="E1185" s="1" t="s">
        <v>1075</v>
      </c>
      <c r="F1185" s="1" t="s">
        <v>1101</v>
      </c>
      <c r="G1185" s="7" t="str">
        <f>_xlfn.XLOOKUP(Order_Details[[#This Row],[Order ID]], List_of_orders[Order ID], List_of_orders[State])</f>
        <v>Madhya Pradesh</v>
      </c>
      <c r="H1185" s="10">
        <f>_xlfn.XLOOKUP(Order_Details[[#This Row],[Order ID]], List_of_orders[Order ID], List_of_orders[Order Date (Clean)])</f>
        <v>43500</v>
      </c>
      <c r="I1185" s="7" t="str">
        <f>_xlfn.XLOOKUP(Order_Details[[#This Row],[Order ID]], List_of_orders[Order ID], List_of_orders[CustomerName])</f>
        <v>Yogesh</v>
      </c>
      <c r="J1185" s="7" t="str">
        <f>_xlfn.XLOOKUP(Order_Details[[#This Row],[Order ID]], List_of_orders[Order ID], List_of_orders[City])</f>
        <v>Indore</v>
      </c>
      <c r="K1185" s="8" t="str">
        <f>TEXT(Order_Details[[#This Row],[Order Date]], "YY-MMM")</f>
        <v>19-Feb</v>
      </c>
      <c r="L1185" s="11">
        <f>Order_Details[[#This Row],[Profit]]/Order_Details[[#This Row],[Amount]]</f>
        <v>5.5410122164048864E-2</v>
      </c>
      <c r="M1185" s="8">
        <f>YEAR(Order_Details[[#This Row],[Order Date]])</f>
        <v>2019</v>
      </c>
      <c r="N1185" s="8">
        <f>ROUNDUP(MONTH(Order_Details[[#This Row],[Order Date]])/3, 0)</f>
        <v>1</v>
      </c>
    </row>
    <row r="1186" spans="1:14">
      <c r="A1186" s="1" t="s">
        <v>923</v>
      </c>
      <c r="B1186" s="1">
        <v>48</v>
      </c>
      <c r="C1186" s="1">
        <v>15</v>
      </c>
      <c r="D1186" s="1">
        <v>1</v>
      </c>
      <c r="E1186" s="1" t="s">
        <v>1076</v>
      </c>
      <c r="F1186" s="1" t="s">
        <v>1103</v>
      </c>
      <c r="G1186" s="7" t="str">
        <f>_xlfn.XLOOKUP(Order_Details[[#This Row],[Order ID]], List_of_orders[Order ID], List_of_orders[State])</f>
        <v>Madhya Pradesh</v>
      </c>
      <c r="H1186" s="10">
        <f>_xlfn.XLOOKUP(Order_Details[[#This Row],[Order ID]], List_of_orders[Order ID], List_of_orders[Order Date (Clean)])</f>
        <v>43500</v>
      </c>
      <c r="I1186" s="7" t="str">
        <f>_xlfn.XLOOKUP(Order_Details[[#This Row],[Order ID]], List_of_orders[Order ID], List_of_orders[CustomerName])</f>
        <v>Yogesh</v>
      </c>
      <c r="J1186" s="7" t="str">
        <f>_xlfn.XLOOKUP(Order_Details[[#This Row],[Order ID]], List_of_orders[Order ID], List_of_orders[City])</f>
        <v>Indore</v>
      </c>
      <c r="K1186" s="8" t="str">
        <f>TEXT(Order_Details[[#This Row],[Order Date]], "YY-MMM")</f>
        <v>19-Feb</v>
      </c>
      <c r="L1186" s="11">
        <f>Order_Details[[#This Row],[Profit]]/Order_Details[[#This Row],[Amount]]</f>
        <v>0.3125</v>
      </c>
      <c r="M1186" s="8">
        <f>YEAR(Order_Details[[#This Row],[Order Date]])</f>
        <v>2019</v>
      </c>
      <c r="N1186" s="8">
        <f>ROUNDUP(MONTH(Order_Details[[#This Row],[Order Date]])/3, 0)</f>
        <v>1</v>
      </c>
    </row>
    <row r="1187" spans="1:14">
      <c r="A1187" s="1" t="s">
        <v>924</v>
      </c>
      <c r="B1187" s="1">
        <v>50</v>
      </c>
      <c r="C1187" s="1">
        <v>-28</v>
      </c>
      <c r="D1187" s="1">
        <v>5</v>
      </c>
      <c r="E1187" s="1" t="s">
        <v>1075</v>
      </c>
      <c r="F1187" s="1" t="s">
        <v>1116</v>
      </c>
      <c r="G1187" s="7" t="str">
        <f>_xlfn.XLOOKUP(Order_Details[[#This Row],[Order ID]], List_of_orders[Order ID], List_of_orders[State])</f>
        <v>Rajasthan</v>
      </c>
      <c r="H1187" s="10">
        <f>_xlfn.XLOOKUP(Order_Details[[#This Row],[Order ID]], List_of_orders[Order ID], List_of_orders[Order Date (Clean)])</f>
        <v>43500</v>
      </c>
      <c r="I1187" s="7" t="str">
        <f>_xlfn.XLOOKUP(Order_Details[[#This Row],[Order ID]], List_of_orders[Order ID], List_of_orders[CustomerName])</f>
        <v>Anmol</v>
      </c>
      <c r="J1187" s="7" t="str">
        <f>_xlfn.XLOOKUP(Order_Details[[#This Row],[Order ID]], List_of_orders[Order ID], List_of_orders[City])</f>
        <v>Udaipur</v>
      </c>
      <c r="K1187" s="8" t="str">
        <f>TEXT(Order_Details[[#This Row],[Order Date]], "YY-MMM")</f>
        <v>19-Feb</v>
      </c>
      <c r="L1187" s="11">
        <f>Order_Details[[#This Row],[Profit]]/Order_Details[[#This Row],[Amount]]</f>
        <v>-0.56000000000000005</v>
      </c>
      <c r="M1187" s="8">
        <f>YEAR(Order_Details[[#This Row],[Order Date]])</f>
        <v>2019</v>
      </c>
      <c r="N1187" s="8">
        <f>ROUNDUP(MONTH(Order_Details[[#This Row],[Order Date]])/3, 0)</f>
        <v>1</v>
      </c>
    </row>
    <row r="1188" spans="1:14">
      <c r="A1188" s="1" t="s">
        <v>926</v>
      </c>
      <c r="B1188" s="1">
        <v>26</v>
      </c>
      <c r="C1188" s="1">
        <v>-17</v>
      </c>
      <c r="D1188" s="1">
        <v>1</v>
      </c>
      <c r="E1188" s="1" t="s">
        <v>1076</v>
      </c>
      <c r="F1188" s="1" t="s">
        <v>1102</v>
      </c>
      <c r="G1188" s="7" t="str">
        <f>_xlfn.XLOOKUP(Order_Details[[#This Row],[Order ID]], List_of_orders[Order ID], List_of_orders[State])</f>
        <v>Delhi</v>
      </c>
      <c r="H1188" s="10">
        <f>_xlfn.XLOOKUP(Order_Details[[#This Row],[Order ID]], List_of_orders[Order ID], List_of_orders[Order Date (Clean)])</f>
        <v>43501</v>
      </c>
      <c r="I1188" s="7" t="str">
        <f>_xlfn.XLOOKUP(Order_Details[[#This Row],[Order ID]], List_of_orders[Order ID], List_of_orders[CustomerName])</f>
        <v>Diwakar</v>
      </c>
      <c r="J1188" s="7" t="str">
        <f>_xlfn.XLOOKUP(Order_Details[[#This Row],[Order ID]], List_of_orders[Order ID], List_of_orders[City])</f>
        <v>Delhi</v>
      </c>
      <c r="K1188" s="8" t="str">
        <f>TEXT(Order_Details[[#This Row],[Order Date]], "YY-MMM")</f>
        <v>19-Feb</v>
      </c>
      <c r="L1188" s="11">
        <f>Order_Details[[#This Row],[Profit]]/Order_Details[[#This Row],[Amount]]</f>
        <v>-0.65384615384615385</v>
      </c>
      <c r="M1188" s="8">
        <f>YEAR(Order_Details[[#This Row],[Order Date]])</f>
        <v>2019</v>
      </c>
      <c r="N1188" s="8">
        <f>ROUNDUP(MONTH(Order_Details[[#This Row],[Order Date]])/3, 0)</f>
        <v>1</v>
      </c>
    </row>
    <row r="1189" spans="1:14">
      <c r="A1189" s="1" t="s">
        <v>926</v>
      </c>
      <c r="B1189" s="1">
        <v>93</v>
      </c>
      <c r="C1189" s="1">
        <v>-65</v>
      </c>
      <c r="D1189" s="1">
        <v>4</v>
      </c>
      <c r="E1189" s="1" t="s">
        <v>1076</v>
      </c>
      <c r="F1189" s="1" t="s">
        <v>1102</v>
      </c>
      <c r="G1189" s="7" t="str">
        <f>_xlfn.XLOOKUP(Order_Details[[#This Row],[Order ID]], List_of_orders[Order ID], List_of_orders[State])</f>
        <v>Delhi</v>
      </c>
      <c r="H1189" s="10">
        <f>_xlfn.XLOOKUP(Order_Details[[#This Row],[Order ID]], List_of_orders[Order ID], List_of_orders[Order Date (Clean)])</f>
        <v>43501</v>
      </c>
      <c r="I1189" s="7" t="str">
        <f>_xlfn.XLOOKUP(Order_Details[[#This Row],[Order ID]], List_of_orders[Order ID], List_of_orders[CustomerName])</f>
        <v>Diwakar</v>
      </c>
      <c r="J1189" s="7" t="str">
        <f>_xlfn.XLOOKUP(Order_Details[[#This Row],[Order ID]], List_of_orders[Order ID], List_of_orders[City])</f>
        <v>Delhi</v>
      </c>
      <c r="K1189" s="8" t="str">
        <f>TEXT(Order_Details[[#This Row],[Order Date]], "YY-MMM")</f>
        <v>19-Feb</v>
      </c>
      <c r="L1189" s="11">
        <f>Order_Details[[#This Row],[Profit]]/Order_Details[[#This Row],[Amount]]</f>
        <v>-0.69892473118279574</v>
      </c>
      <c r="M1189" s="8">
        <f>YEAR(Order_Details[[#This Row],[Order Date]])</f>
        <v>2019</v>
      </c>
      <c r="N1189" s="8">
        <f>ROUNDUP(MONTH(Order_Details[[#This Row],[Order Date]])/3, 0)</f>
        <v>1</v>
      </c>
    </row>
    <row r="1190" spans="1:14">
      <c r="A1190" s="1" t="s">
        <v>926</v>
      </c>
      <c r="B1190" s="1">
        <v>152</v>
      </c>
      <c r="C1190" s="1">
        <v>-3</v>
      </c>
      <c r="D1190" s="1">
        <v>5</v>
      </c>
      <c r="E1190" s="1" t="s">
        <v>1076</v>
      </c>
      <c r="F1190" s="1" t="s">
        <v>1106</v>
      </c>
      <c r="G1190" s="7" t="str">
        <f>_xlfn.XLOOKUP(Order_Details[[#This Row],[Order ID]], List_of_orders[Order ID], List_of_orders[State])</f>
        <v>Delhi</v>
      </c>
      <c r="H1190" s="10">
        <f>_xlfn.XLOOKUP(Order_Details[[#This Row],[Order ID]], List_of_orders[Order ID], List_of_orders[Order Date (Clean)])</f>
        <v>43501</v>
      </c>
      <c r="I1190" s="7" t="str">
        <f>_xlfn.XLOOKUP(Order_Details[[#This Row],[Order ID]], List_of_orders[Order ID], List_of_orders[CustomerName])</f>
        <v>Diwakar</v>
      </c>
      <c r="J1190" s="7" t="str">
        <f>_xlfn.XLOOKUP(Order_Details[[#This Row],[Order ID]], List_of_orders[Order ID], List_of_orders[City])</f>
        <v>Delhi</v>
      </c>
      <c r="K1190" s="8" t="str">
        <f>TEXT(Order_Details[[#This Row],[Order Date]], "YY-MMM")</f>
        <v>19-Feb</v>
      </c>
      <c r="L1190" s="11">
        <f>Order_Details[[#This Row],[Profit]]/Order_Details[[#This Row],[Amount]]</f>
        <v>-1.9736842105263157E-2</v>
      </c>
      <c r="M1190" s="8">
        <f>YEAR(Order_Details[[#This Row],[Order Date]])</f>
        <v>2019</v>
      </c>
      <c r="N1190" s="8">
        <f>ROUNDUP(MONTH(Order_Details[[#This Row],[Order Date]])/3, 0)</f>
        <v>1</v>
      </c>
    </row>
    <row r="1191" spans="1:14">
      <c r="A1191" s="1" t="s">
        <v>926</v>
      </c>
      <c r="B1191" s="1">
        <v>51</v>
      </c>
      <c r="C1191" s="1">
        <v>-49</v>
      </c>
      <c r="D1191" s="1">
        <v>2</v>
      </c>
      <c r="E1191" s="1" t="s">
        <v>1077</v>
      </c>
      <c r="F1191" s="1" t="s">
        <v>1104</v>
      </c>
      <c r="G1191" s="7" t="str">
        <f>_xlfn.XLOOKUP(Order_Details[[#This Row],[Order ID]], List_of_orders[Order ID], List_of_orders[State])</f>
        <v>Delhi</v>
      </c>
      <c r="H1191" s="10">
        <f>_xlfn.XLOOKUP(Order_Details[[#This Row],[Order ID]], List_of_orders[Order ID], List_of_orders[Order Date (Clean)])</f>
        <v>43501</v>
      </c>
      <c r="I1191" s="7" t="str">
        <f>_xlfn.XLOOKUP(Order_Details[[#This Row],[Order ID]], List_of_orders[Order ID], List_of_orders[CustomerName])</f>
        <v>Diwakar</v>
      </c>
      <c r="J1191" s="7" t="str">
        <f>_xlfn.XLOOKUP(Order_Details[[#This Row],[Order ID]], List_of_orders[Order ID], List_of_orders[City])</f>
        <v>Delhi</v>
      </c>
      <c r="K1191" s="8" t="str">
        <f>TEXT(Order_Details[[#This Row],[Order Date]], "YY-MMM")</f>
        <v>19-Feb</v>
      </c>
      <c r="L1191" s="11">
        <f>Order_Details[[#This Row],[Profit]]/Order_Details[[#This Row],[Amount]]</f>
        <v>-0.96078431372549022</v>
      </c>
      <c r="M1191" s="8">
        <f>YEAR(Order_Details[[#This Row],[Order Date]])</f>
        <v>2019</v>
      </c>
      <c r="N1191" s="8">
        <f>ROUNDUP(MONTH(Order_Details[[#This Row],[Order Date]])/3, 0)</f>
        <v>1</v>
      </c>
    </row>
    <row r="1192" spans="1:14">
      <c r="A1192" s="1" t="s">
        <v>926</v>
      </c>
      <c r="B1192" s="1">
        <v>352</v>
      </c>
      <c r="C1192" s="1">
        <v>74</v>
      </c>
      <c r="D1192" s="1">
        <v>8</v>
      </c>
      <c r="E1192" s="1" t="s">
        <v>1076</v>
      </c>
      <c r="F1192" s="1" t="s">
        <v>1102</v>
      </c>
      <c r="G1192" s="7" t="str">
        <f>_xlfn.XLOOKUP(Order_Details[[#This Row],[Order ID]], List_of_orders[Order ID], List_of_orders[State])</f>
        <v>Delhi</v>
      </c>
      <c r="H1192" s="10">
        <f>_xlfn.XLOOKUP(Order_Details[[#This Row],[Order ID]], List_of_orders[Order ID], List_of_orders[Order Date (Clean)])</f>
        <v>43501</v>
      </c>
      <c r="I1192" s="7" t="str">
        <f>_xlfn.XLOOKUP(Order_Details[[#This Row],[Order ID]], List_of_orders[Order ID], List_of_orders[CustomerName])</f>
        <v>Diwakar</v>
      </c>
      <c r="J1192" s="7" t="str">
        <f>_xlfn.XLOOKUP(Order_Details[[#This Row],[Order ID]], List_of_orders[Order ID], List_of_orders[City])</f>
        <v>Delhi</v>
      </c>
      <c r="K1192" s="8" t="str">
        <f>TEXT(Order_Details[[#This Row],[Order Date]], "YY-MMM")</f>
        <v>19-Feb</v>
      </c>
      <c r="L1192" s="11">
        <f>Order_Details[[#This Row],[Profit]]/Order_Details[[#This Row],[Amount]]</f>
        <v>0.21022727272727273</v>
      </c>
      <c r="M1192" s="8">
        <f>YEAR(Order_Details[[#This Row],[Order Date]])</f>
        <v>2019</v>
      </c>
      <c r="N1192" s="8">
        <f>ROUNDUP(MONTH(Order_Details[[#This Row],[Order Date]])/3, 0)</f>
        <v>1</v>
      </c>
    </row>
    <row r="1193" spans="1:14">
      <c r="A1193" s="1" t="s">
        <v>926</v>
      </c>
      <c r="B1193" s="1">
        <v>129</v>
      </c>
      <c r="C1193" s="1">
        <v>11</v>
      </c>
      <c r="D1193" s="1">
        <v>2</v>
      </c>
      <c r="E1193" s="1" t="s">
        <v>1077</v>
      </c>
      <c r="F1193" s="1" t="s">
        <v>1105</v>
      </c>
      <c r="G1193" s="7" t="str">
        <f>_xlfn.XLOOKUP(Order_Details[[#This Row],[Order ID]], List_of_orders[Order ID], List_of_orders[State])</f>
        <v>Delhi</v>
      </c>
      <c r="H1193" s="10">
        <f>_xlfn.XLOOKUP(Order_Details[[#This Row],[Order ID]], List_of_orders[Order ID], List_of_orders[Order Date (Clean)])</f>
        <v>43501</v>
      </c>
      <c r="I1193" s="7" t="str">
        <f>_xlfn.XLOOKUP(Order_Details[[#This Row],[Order ID]], List_of_orders[Order ID], List_of_orders[CustomerName])</f>
        <v>Diwakar</v>
      </c>
      <c r="J1193" s="7" t="str">
        <f>_xlfn.XLOOKUP(Order_Details[[#This Row],[Order ID]], List_of_orders[Order ID], List_of_orders[City])</f>
        <v>Delhi</v>
      </c>
      <c r="K1193" s="8" t="str">
        <f>TEXT(Order_Details[[#This Row],[Order Date]], "YY-MMM")</f>
        <v>19-Feb</v>
      </c>
      <c r="L1193" s="11">
        <f>Order_Details[[#This Row],[Profit]]/Order_Details[[#This Row],[Amount]]</f>
        <v>8.5271317829457363E-2</v>
      </c>
      <c r="M1193" s="8">
        <f>YEAR(Order_Details[[#This Row],[Order Date]])</f>
        <v>2019</v>
      </c>
      <c r="N1193" s="8">
        <f>ROUNDUP(MONTH(Order_Details[[#This Row],[Order Date]])/3, 0)</f>
        <v>1</v>
      </c>
    </row>
    <row r="1194" spans="1:14">
      <c r="A1194" s="1" t="s">
        <v>926</v>
      </c>
      <c r="B1194" s="1">
        <v>223</v>
      </c>
      <c r="C1194" s="1">
        <v>62</v>
      </c>
      <c r="D1194" s="1">
        <v>7</v>
      </c>
      <c r="E1194" s="1" t="s">
        <v>1076</v>
      </c>
      <c r="F1194" s="1" t="s">
        <v>1111</v>
      </c>
      <c r="G1194" s="7" t="str">
        <f>_xlfn.XLOOKUP(Order_Details[[#This Row],[Order ID]], List_of_orders[Order ID], List_of_orders[State])</f>
        <v>Delhi</v>
      </c>
      <c r="H1194" s="10">
        <f>_xlfn.XLOOKUP(Order_Details[[#This Row],[Order ID]], List_of_orders[Order ID], List_of_orders[Order Date (Clean)])</f>
        <v>43501</v>
      </c>
      <c r="I1194" s="7" t="str">
        <f>_xlfn.XLOOKUP(Order_Details[[#This Row],[Order ID]], List_of_orders[Order ID], List_of_orders[CustomerName])</f>
        <v>Diwakar</v>
      </c>
      <c r="J1194" s="7" t="str">
        <f>_xlfn.XLOOKUP(Order_Details[[#This Row],[Order ID]], List_of_orders[Order ID], List_of_orders[City])</f>
        <v>Delhi</v>
      </c>
      <c r="K1194" s="8" t="str">
        <f>TEXT(Order_Details[[#This Row],[Order Date]], "YY-MMM")</f>
        <v>19-Feb</v>
      </c>
      <c r="L1194" s="11">
        <f>Order_Details[[#This Row],[Profit]]/Order_Details[[#This Row],[Amount]]</f>
        <v>0.27802690582959644</v>
      </c>
      <c r="M1194" s="8">
        <f>YEAR(Order_Details[[#This Row],[Order Date]])</f>
        <v>2019</v>
      </c>
      <c r="N1194" s="8">
        <f>ROUNDUP(MONTH(Order_Details[[#This Row],[Order Date]])/3, 0)</f>
        <v>1</v>
      </c>
    </row>
    <row r="1195" spans="1:14">
      <c r="A1195" s="1" t="s">
        <v>926</v>
      </c>
      <c r="B1195" s="1">
        <v>770</v>
      </c>
      <c r="C1195" s="1">
        <v>323</v>
      </c>
      <c r="D1195" s="1">
        <v>3</v>
      </c>
      <c r="E1195" s="1" t="s">
        <v>1077</v>
      </c>
      <c r="F1195" s="1" t="s">
        <v>1115</v>
      </c>
      <c r="G1195" s="7" t="str">
        <f>_xlfn.XLOOKUP(Order_Details[[#This Row],[Order ID]], List_of_orders[Order ID], List_of_orders[State])</f>
        <v>Delhi</v>
      </c>
      <c r="H1195" s="10">
        <f>_xlfn.XLOOKUP(Order_Details[[#This Row],[Order ID]], List_of_orders[Order ID], List_of_orders[Order Date (Clean)])</f>
        <v>43501</v>
      </c>
      <c r="I1195" s="7" t="str">
        <f>_xlfn.XLOOKUP(Order_Details[[#This Row],[Order ID]], List_of_orders[Order ID], List_of_orders[CustomerName])</f>
        <v>Diwakar</v>
      </c>
      <c r="J1195" s="7" t="str">
        <f>_xlfn.XLOOKUP(Order_Details[[#This Row],[Order ID]], List_of_orders[Order ID], List_of_orders[City])</f>
        <v>Delhi</v>
      </c>
      <c r="K1195" s="8" t="str">
        <f>TEXT(Order_Details[[#This Row],[Order Date]], "YY-MMM")</f>
        <v>19-Feb</v>
      </c>
      <c r="L1195" s="11">
        <f>Order_Details[[#This Row],[Profit]]/Order_Details[[#This Row],[Amount]]</f>
        <v>0.41948051948051945</v>
      </c>
      <c r="M1195" s="8">
        <f>YEAR(Order_Details[[#This Row],[Order Date]])</f>
        <v>2019</v>
      </c>
      <c r="N1195" s="8">
        <f>ROUNDUP(MONTH(Order_Details[[#This Row],[Order Date]])/3, 0)</f>
        <v>1</v>
      </c>
    </row>
    <row r="1196" spans="1:14">
      <c r="A1196" s="1" t="s">
        <v>926</v>
      </c>
      <c r="B1196" s="1">
        <v>222</v>
      </c>
      <c r="C1196" s="1">
        <v>74</v>
      </c>
      <c r="D1196" s="1">
        <v>5</v>
      </c>
      <c r="E1196" s="1" t="s">
        <v>1076</v>
      </c>
      <c r="F1196" s="1" t="s">
        <v>1103</v>
      </c>
      <c r="G1196" s="7" t="str">
        <f>_xlfn.XLOOKUP(Order_Details[[#This Row],[Order ID]], List_of_orders[Order ID], List_of_orders[State])</f>
        <v>Delhi</v>
      </c>
      <c r="H1196" s="10">
        <f>_xlfn.XLOOKUP(Order_Details[[#This Row],[Order ID]], List_of_orders[Order ID], List_of_orders[Order Date (Clean)])</f>
        <v>43501</v>
      </c>
      <c r="I1196" s="7" t="str">
        <f>_xlfn.XLOOKUP(Order_Details[[#This Row],[Order ID]], List_of_orders[Order ID], List_of_orders[CustomerName])</f>
        <v>Diwakar</v>
      </c>
      <c r="J1196" s="7" t="str">
        <f>_xlfn.XLOOKUP(Order_Details[[#This Row],[Order ID]], List_of_orders[Order ID], List_of_orders[City])</f>
        <v>Delhi</v>
      </c>
      <c r="K1196" s="8" t="str">
        <f>TEXT(Order_Details[[#This Row],[Order Date]], "YY-MMM")</f>
        <v>19-Feb</v>
      </c>
      <c r="L1196" s="11">
        <f>Order_Details[[#This Row],[Profit]]/Order_Details[[#This Row],[Amount]]</f>
        <v>0.33333333333333331</v>
      </c>
      <c r="M1196" s="8">
        <f>YEAR(Order_Details[[#This Row],[Order Date]])</f>
        <v>2019</v>
      </c>
      <c r="N1196" s="8">
        <f>ROUNDUP(MONTH(Order_Details[[#This Row],[Order Date]])/3, 0)</f>
        <v>1</v>
      </c>
    </row>
    <row r="1197" spans="1:14">
      <c r="A1197" s="1" t="s">
        <v>926</v>
      </c>
      <c r="B1197" s="1">
        <v>215</v>
      </c>
      <c r="C1197" s="1">
        <v>-30</v>
      </c>
      <c r="D1197" s="1">
        <v>2</v>
      </c>
      <c r="E1197" s="1" t="s">
        <v>1076</v>
      </c>
      <c r="F1197" s="1" t="s">
        <v>1106</v>
      </c>
      <c r="G1197" s="7" t="str">
        <f>_xlfn.XLOOKUP(Order_Details[[#This Row],[Order ID]], List_of_orders[Order ID], List_of_orders[State])</f>
        <v>Delhi</v>
      </c>
      <c r="H1197" s="10">
        <f>_xlfn.XLOOKUP(Order_Details[[#This Row],[Order ID]], List_of_orders[Order ID], List_of_orders[Order Date (Clean)])</f>
        <v>43501</v>
      </c>
      <c r="I1197" s="7" t="str">
        <f>_xlfn.XLOOKUP(Order_Details[[#This Row],[Order ID]], List_of_orders[Order ID], List_of_orders[CustomerName])</f>
        <v>Diwakar</v>
      </c>
      <c r="J1197" s="7" t="str">
        <f>_xlfn.XLOOKUP(Order_Details[[#This Row],[Order ID]], List_of_orders[Order ID], List_of_orders[City])</f>
        <v>Delhi</v>
      </c>
      <c r="K1197" s="8" t="str">
        <f>TEXT(Order_Details[[#This Row],[Order Date]], "YY-MMM")</f>
        <v>19-Feb</v>
      </c>
      <c r="L1197" s="11">
        <f>Order_Details[[#This Row],[Profit]]/Order_Details[[#This Row],[Amount]]</f>
        <v>-0.13953488372093023</v>
      </c>
      <c r="M1197" s="8">
        <f>YEAR(Order_Details[[#This Row],[Order Date]])</f>
        <v>2019</v>
      </c>
      <c r="N1197" s="8">
        <f>ROUNDUP(MONTH(Order_Details[[#This Row],[Order Date]])/3, 0)</f>
        <v>1</v>
      </c>
    </row>
    <row r="1198" spans="1:14">
      <c r="A1198" s="1" t="s">
        <v>926</v>
      </c>
      <c r="B1198" s="1">
        <v>109</v>
      </c>
      <c r="C1198" s="1">
        <v>40</v>
      </c>
      <c r="D1198" s="1">
        <v>1</v>
      </c>
      <c r="E1198" s="1" t="s">
        <v>1075</v>
      </c>
      <c r="F1198" s="1" t="s">
        <v>1116</v>
      </c>
      <c r="G1198" s="7" t="str">
        <f>_xlfn.XLOOKUP(Order_Details[[#This Row],[Order ID]], List_of_orders[Order ID], List_of_orders[State])</f>
        <v>Delhi</v>
      </c>
      <c r="H1198" s="10">
        <f>_xlfn.XLOOKUP(Order_Details[[#This Row],[Order ID]], List_of_orders[Order ID], List_of_orders[Order Date (Clean)])</f>
        <v>43501</v>
      </c>
      <c r="I1198" s="7" t="str">
        <f>_xlfn.XLOOKUP(Order_Details[[#This Row],[Order ID]], List_of_orders[Order ID], List_of_orders[CustomerName])</f>
        <v>Diwakar</v>
      </c>
      <c r="J1198" s="7" t="str">
        <f>_xlfn.XLOOKUP(Order_Details[[#This Row],[Order ID]], List_of_orders[Order ID], List_of_orders[City])</f>
        <v>Delhi</v>
      </c>
      <c r="K1198" s="8" t="str">
        <f>TEXT(Order_Details[[#This Row],[Order Date]], "YY-MMM")</f>
        <v>19-Feb</v>
      </c>
      <c r="L1198" s="11">
        <f>Order_Details[[#This Row],[Profit]]/Order_Details[[#This Row],[Amount]]</f>
        <v>0.3669724770642202</v>
      </c>
      <c r="M1198" s="8">
        <f>YEAR(Order_Details[[#This Row],[Order Date]])</f>
        <v>2019</v>
      </c>
      <c r="N1198" s="8">
        <f>ROUNDUP(MONTH(Order_Details[[#This Row],[Order Date]])/3, 0)</f>
        <v>1</v>
      </c>
    </row>
    <row r="1199" spans="1:14">
      <c r="A1199" s="1" t="s">
        <v>928</v>
      </c>
      <c r="B1199" s="1">
        <v>43</v>
      </c>
      <c r="C1199" s="1">
        <v>9</v>
      </c>
      <c r="D1199" s="1">
        <v>4</v>
      </c>
      <c r="E1199" s="1" t="s">
        <v>1076</v>
      </c>
      <c r="F1199" s="1" t="s">
        <v>1117</v>
      </c>
      <c r="G1199" s="7" t="str">
        <f>_xlfn.XLOOKUP(Order_Details[[#This Row],[Order ID]], List_of_orders[Order ID], List_of_orders[State])</f>
        <v>Delhi</v>
      </c>
      <c r="H1199" s="10">
        <f>_xlfn.XLOOKUP(Order_Details[[#This Row],[Order ID]], List_of_orders[Order ID], List_of_orders[Order Date (Clean)])</f>
        <v>43502</v>
      </c>
      <c r="I1199" s="7" t="str">
        <f>_xlfn.XLOOKUP(Order_Details[[#This Row],[Order ID]], List_of_orders[Order ID], List_of_orders[CustomerName])</f>
        <v>Shubham</v>
      </c>
      <c r="J1199" s="7" t="str">
        <f>_xlfn.XLOOKUP(Order_Details[[#This Row],[Order ID]], List_of_orders[Order ID], List_of_orders[City])</f>
        <v>Delhi</v>
      </c>
      <c r="K1199" s="8" t="str">
        <f>TEXT(Order_Details[[#This Row],[Order Date]], "YY-MMM")</f>
        <v>19-Feb</v>
      </c>
      <c r="L1199" s="11">
        <f>Order_Details[[#This Row],[Profit]]/Order_Details[[#This Row],[Amount]]</f>
        <v>0.20930232558139536</v>
      </c>
      <c r="M1199" s="8">
        <f>YEAR(Order_Details[[#This Row],[Order Date]])</f>
        <v>2019</v>
      </c>
      <c r="N1199" s="8">
        <f>ROUNDUP(MONTH(Order_Details[[#This Row],[Order Date]])/3, 0)</f>
        <v>1</v>
      </c>
    </row>
    <row r="1200" spans="1:14">
      <c r="A1200" s="1" t="s">
        <v>928</v>
      </c>
      <c r="B1200" s="1">
        <v>676</v>
      </c>
      <c r="C1200" s="1">
        <v>151</v>
      </c>
      <c r="D1200" s="1">
        <v>3</v>
      </c>
      <c r="E1200" s="1" t="s">
        <v>1077</v>
      </c>
      <c r="F1200" s="1" t="s">
        <v>1114</v>
      </c>
      <c r="G1200" s="7" t="str">
        <f>_xlfn.XLOOKUP(Order_Details[[#This Row],[Order ID]], List_of_orders[Order ID], List_of_orders[State])</f>
        <v>Delhi</v>
      </c>
      <c r="H1200" s="10">
        <f>_xlfn.XLOOKUP(Order_Details[[#This Row],[Order ID]], List_of_orders[Order ID], List_of_orders[Order Date (Clean)])</f>
        <v>43502</v>
      </c>
      <c r="I1200" s="7" t="str">
        <f>_xlfn.XLOOKUP(Order_Details[[#This Row],[Order ID]], List_of_orders[Order ID], List_of_orders[CustomerName])</f>
        <v>Shubham</v>
      </c>
      <c r="J1200" s="7" t="str">
        <f>_xlfn.XLOOKUP(Order_Details[[#This Row],[Order ID]], List_of_orders[Order ID], List_of_orders[City])</f>
        <v>Delhi</v>
      </c>
      <c r="K1200" s="8" t="str">
        <f>TEXT(Order_Details[[#This Row],[Order Date]], "YY-MMM")</f>
        <v>19-Feb</v>
      </c>
      <c r="L1200" s="11">
        <f>Order_Details[[#This Row],[Profit]]/Order_Details[[#This Row],[Amount]]</f>
        <v>0.22337278106508876</v>
      </c>
      <c r="M1200" s="8">
        <f>YEAR(Order_Details[[#This Row],[Order Date]])</f>
        <v>2019</v>
      </c>
      <c r="N1200" s="8">
        <f>ROUNDUP(MONTH(Order_Details[[#This Row],[Order Date]])/3, 0)</f>
        <v>1</v>
      </c>
    </row>
    <row r="1201" spans="1:14">
      <c r="A1201" s="1" t="s">
        <v>928</v>
      </c>
      <c r="B1201" s="1">
        <v>597</v>
      </c>
      <c r="C1201" s="1">
        <v>93</v>
      </c>
      <c r="D1201" s="1">
        <v>4</v>
      </c>
      <c r="E1201" s="1" t="s">
        <v>1075</v>
      </c>
      <c r="F1201" s="1" t="s">
        <v>1108</v>
      </c>
      <c r="G1201" s="7" t="str">
        <f>_xlfn.XLOOKUP(Order_Details[[#This Row],[Order ID]], List_of_orders[Order ID], List_of_orders[State])</f>
        <v>Delhi</v>
      </c>
      <c r="H1201" s="10">
        <f>_xlfn.XLOOKUP(Order_Details[[#This Row],[Order ID]], List_of_orders[Order ID], List_of_orders[Order Date (Clean)])</f>
        <v>43502</v>
      </c>
      <c r="I1201" s="7" t="str">
        <f>_xlfn.XLOOKUP(Order_Details[[#This Row],[Order ID]], List_of_orders[Order ID], List_of_orders[CustomerName])</f>
        <v>Shubham</v>
      </c>
      <c r="J1201" s="7" t="str">
        <f>_xlfn.XLOOKUP(Order_Details[[#This Row],[Order ID]], List_of_orders[Order ID], List_of_orders[City])</f>
        <v>Delhi</v>
      </c>
      <c r="K1201" s="8" t="str">
        <f>TEXT(Order_Details[[#This Row],[Order Date]], "YY-MMM")</f>
        <v>19-Feb</v>
      </c>
      <c r="L1201" s="11">
        <f>Order_Details[[#This Row],[Profit]]/Order_Details[[#This Row],[Amount]]</f>
        <v>0.15577889447236182</v>
      </c>
      <c r="M1201" s="8">
        <f>YEAR(Order_Details[[#This Row],[Order Date]])</f>
        <v>2019</v>
      </c>
      <c r="N1201" s="8">
        <f>ROUNDUP(MONTH(Order_Details[[#This Row],[Order Date]])/3, 0)</f>
        <v>1</v>
      </c>
    </row>
    <row r="1202" spans="1:14">
      <c r="A1202" s="1" t="s">
        <v>929</v>
      </c>
      <c r="B1202" s="1">
        <v>13</v>
      </c>
      <c r="C1202" s="1">
        <v>0</v>
      </c>
      <c r="D1202" s="1">
        <v>2</v>
      </c>
      <c r="E1202" s="1" t="s">
        <v>1076</v>
      </c>
      <c r="F1202" s="1" t="s">
        <v>1103</v>
      </c>
      <c r="G1202" s="7" t="str">
        <f>_xlfn.XLOOKUP(Order_Details[[#This Row],[Order ID]], List_of_orders[Order ID], List_of_orders[State])</f>
        <v>Delhi</v>
      </c>
      <c r="H1202" s="10">
        <f>_xlfn.XLOOKUP(Order_Details[[#This Row],[Order ID]], List_of_orders[Order ID], List_of_orders[Order Date (Clean)])</f>
        <v>43503</v>
      </c>
      <c r="I1202" s="7" t="str">
        <f>_xlfn.XLOOKUP(Order_Details[[#This Row],[Order ID]], List_of_orders[Order ID], List_of_orders[CustomerName])</f>
        <v>Patil</v>
      </c>
      <c r="J1202" s="7" t="str">
        <f>_xlfn.XLOOKUP(Order_Details[[#This Row],[Order ID]], List_of_orders[Order ID], List_of_orders[City])</f>
        <v>Delhi</v>
      </c>
      <c r="K1202" s="8" t="str">
        <f>TEXT(Order_Details[[#This Row],[Order Date]], "YY-MMM")</f>
        <v>19-Feb</v>
      </c>
      <c r="L1202" s="11">
        <f>Order_Details[[#This Row],[Profit]]/Order_Details[[#This Row],[Amount]]</f>
        <v>0</v>
      </c>
      <c r="M1202" s="8">
        <f>YEAR(Order_Details[[#This Row],[Order Date]])</f>
        <v>2019</v>
      </c>
      <c r="N1202" s="8">
        <f>ROUNDUP(MONTH(Order_Details[[#This Row],[Order Date]])/3, 0)</f>
        <v>1</v>
      </c>
    </row>
    <row r="1203" spans="1:14">
      <c r="A1203" s="1" t="s">
        <v>929</v>
      </c>
      <c r="B1203" s="1">
        <v>149</v>
      </c>
      <c r="C1203" s="1">
        <v>17</v>
      </c>
      <c r="D1203" s="1">
        <v>4</v>
      </c>
      <c r="E1203" s="1" t="s">
        <v>1075</v>
      </c>
      <c r="F1203" s="1" t="s">
        <v>1116</v>
      </c>
      <c r="G1203" s="7" t="str">
        <f>_xlfn.XLOOKUP(Order_Details[[#This Row],[Order ID]], List_of_orders[Order ID], List_of_orders[State])</f>
        <v>Delhi</v>
      </c>
      <c r="H1203" s="10">
        <f>_xlfn.XLOOKUP(Order_Details[[#This Row],[Order ID]], List_of_orders[Order ID], List_of_orders[Order Date (Clean)])</f>
        <v>43503</v>
      </c>
      <c r="I1203" s="7" t="str">
        <f>_xlfn.XLOOKUP(Order_Details[[#This Row],[Order ID]], List_of_orders[Order ID], List_of_orders[CustomerName])</f>
        <v>Patil</v>
      </c>
      <c r="J1203" s="7" t="str">
        <f>_xlfn.XLOOKUP(Order_Details[[#This Row],[Order ID]], List_of_orders[Order ID], List_of_orders[City])</f>
        <v>Delhi</v>
      </c>
      <c r="K1203" s="8" t="str">
        <f>TEXT(Order_Details[[#This Row],[Order Date]], "YY-MMM")</f>
        <v>19-Feb</v>
      </c>
      <c r="L1203" s="11">
        <f>Order_Details[[#This Row],[Profit]]/Order_Details[[#This Row],[Amount]]</f>
        <v>0.11409395973154363</v>
      </c>
      <c r="M1203" s="8">
        <f>YEAR(Order_Details[[#This Row],[Order Date]])</f>
        <v>2019</v>
      </c>
      <c r="N1203" s="8">
        <f>ROUNDUP(MONTH(Order_Details[[#This Row],[Order Date]])/3, 0)</f>
        <v>1</v>
      </c>
    </row>
    <row r="1204" spans="1:14">
      <c r="A1204" s="1" t="s">
        <v>929</v>
      </c>
      <c r="B1204" s="1">
        <v>8</v>
      </c>
      <c r="C1204" s="1">
        <v>2</v>
      </c>
      <c r="D1204" s="1">
        <v>2</v>
      </c>
      <c r="E1204" s="1" t="s">
        <v>1076</v>
      </c>
      <c r="F1204" s="1" t="s">
        <v>1117</v>
      </c>
      <c r="G1204" s="7" t="str">
        <f>_xlfn.XLOOKUP(Order_Details[[#This Row],[Order ID]], List_of_orders[Order ID], List_of_orders[State])</f>
        <v>Delhi</v>
      </c>
      <c r="H1204" s="10">
        <f>_xlfn.XLOOKUP(Order_Details[[#This Row],[Order ID]], List_of_orders[Order ID], List_of_orders[Order Date (Clean)])</f>
        <v>43503</v>
      </c>
      <c r="I1204" s="7" t="str">
        <f>_xlfn.XLOOKUP(Order_Details[[#This Row],[Order ID]], List_of_orders[Order ID], List_of_orders[CustomerName])</f>
        <v>Patil</v>
      </c>
      <c r="J1204" s="7" t="str">
        <f>_xlfn.XLOOKUP(Order_Details[[#This Row],[Order ID]], List_of_orders[Order ID], List_of_orders[City])</f>
        <v>Delhi</v>
      </c>
      <c r="K1204" s="8" t="str">
        <f>TEXT(Order_Details[[#This Row],[Order Date]], "YY-MMM")</f>
        <v>19-Feb</v>
      </c>
      <c r="L1204" s="11">
        <f>Order_Details[[#This Row],[Profit]]/Order_Details[[#This Row],[Amount]]</f>
        <v>0.25</v>
      </c>
      <c r="M1204" s="8">
        <f>YEAR(Order_Details[[#This Row],[Order Date]])</f>
        <v>2019</v>
      </c>
      <c r="N1204" s="8">
        <f>ROUNDUP(MONTH(Order_Details[[#This Row],[Order Date]])/3, 0)</f>
        <v>1</v>
      </c>
    </row>
    <row r="1205" spans="1:14">
      <c r="A1205" s="1" t="s">
        <v>929</v>
      </c>
      <c r="B1205" s="1">
        <v>50</v>
      </c>
      <c r="C1205" s="1">
        <v>9</v>
      </c>
      <c r="D1205" s="1">
        <v>6</v>
      </c>
      <c r="E1205" s="1" t="s">
        <v>1076</v>
      </c>
      <c r="F1205" s="1" t="s">
        <v>1117</v>
      </c>
      <c r="G1205" s="7" t="str">
        <f>_xlfn.XLOOKUP(Order_Details[[#This Row],[Order ID]], List_of_orders[Order ID], List_of_orders[State])</f>
        <v>Delhi</v>
      </c>
      <c r="H1205" s="10">
        <f>_xlfn.XLOOKUP(Order_Details[[#This Row],[Order ID]], List_of_orders[Order ID], List_of_orders[Order Date (Clean)])</f>
        <v>43503</v>
      </c>
      <c r="I1205" s="7" t="str">
        <f>_xlfn.XLOOKUP(Order_Details[[#This Row],[Order ID]], List_of_orders[Order ID], List_of_orders[CustomerName])</f>
        <v>Patil</v>
      </c>
      <c r="J1205" s="7" t="str">
        <f>_xlfn.XLOOKUP(Order_Details[[#This Row],[Order ID]], List_of_orders[Order ID], List_of_orders[City])</f>
        <v>Delhi</v>
      </c>
      <c r="K1205" s="8" t="str">
        <f>TEXT(Order_Details[[#This Row],[Order Date]], "YY-MMM")</f>
        <v>19-Feb</v>
      </c>
      <c r="L1205" s="11">
        <f>Order_Details[[#This Row],[Profit]]/Order_Details[[#This Row],[Amount]]</f>
        <v>0.18</v>
      </c>
      <c r="M1205" s="8">
        <f>YEAR(Order_Details[[#This Row],[Order Date]])</f>
        <v>2019</v>
      </c>
      <c r="N1205" s="8">
        <f>ROUNDUP(MONTH(Order_Details[[#This Row],[Order Date]])/3, 0)</f>
        <v>1</v>
      </c>
    </row>
    <row r="1206" spans="1:14">
      <c r="A1206" s="1" t="s">
        <v>931</v>
      </c>
      <c r="B1206" s="1">
        <v>80</v>
      </c>
      <c r="C1206" s="1">
        <v>22</v>
      </c>
      <c r="D1206" s="1">
        <v>3</v>
      </c>
      <c r="E1206" s="1" t="s">
        <v>1076</v>
      </c>
      <c r="F1206" s="1" t="s">
        <v>1102</v>
      </c>
      <c r="G1206" s="7" t="str">
        <f>_xlfn.XLOOKUP(Order_Details[[#This Row],[Order ID]], List_of_orders[Order ID], List_of_orders[State])</f>
        <v>Delhi</v>
      </c>
      <c r="H1206" s="10">
        <f>_xlfn.XLOOKUP(Order_Details[[#This Row],[Order ID]], List_of_orders[Order ID], List_of_orders[Order Date (Clean)])</f>
        <v>43504</v>
      </c>
      <c r="I1206" s="7" t="str">
        <f>_xlfn.XLOOKUP(Order_Details[[#This Row],[Order ID]], List_of_orders[Order ID], List_of_orders[CustomerName])</f>
        <v>Harsh</v>
      </c>
      <c r="J1206" s="7" t="str">
        <f>_xlfn.XLOOKUP(Order_Details[[#This Row],[Order ID]], List_of_orders[Order ID], List_of_orders[City])</f>
        <v>Delhi</v>
      </c>
      <c r="K1206" s="8" t="str">
        <f>TEXT(Order_Details[[#This Row],[Order Date]], "YY-MMM")</f>
        <v>19-Feb</v>
      </c>
      <c r="L1206" s="11">
        <f>Order_Details[[#This Row],[Profit]]/Order_Details[[#This Row],[Amount]]</f>
        <v>0.27500000000000002</v>
      </c>
      <c r="M1206" s="8">
        <f>YEAR(Order_Details[[#This Row],[Order Date]])</f>
        <v>2019</v>
      </c>
      <c r="N1206" s="8">
        <f>ROUNDUP(MONTH(Order_Details[[#This Row],[Order Date]])/3, 0)</f>
        <v>1</v>
      </c>
    </row>
    <row r="1207" spans="1:14">
      <c r="A1207" s="1" t="s">
        <v>931</v>
      </c>
      <c r="B1207" s="1">
        <v>276</v>
      </c>
      <c r="C1207" s="1">
        <v>52</v>
      </c>
      <c r="D1207" s="1">
        <v>5</v>
      </c>
      <c r="E1207" s="1" t="s">
        <v>1076</v>
      </c>
      <c r="F1207" s="1" t="s">
        <v>1106</v>
      </c>
      <c r="G1207" s="7" t="str">
        <f>_xlfn.XLOOKUP(Order_Details[[#This Row],[Order ID]], List_of_orders[Order ID], List_of_orders[State])</f>
        <v>Delhi</v>
      </c>
      <c r="H1207" s="10">
        <f>_xlfn.XLOOKUP(Order_Details[[#This Row],[Order ID]], List_of_orders[Order ID], List_of_orders[Order Date (Clean)])</f>
        <v>43504</v>
      </c>
      <c r="I1207" s="7" t="str">
        <f>_xlfn.XLOOKUP(Order_Details[[#This Row],[Order ID]], List_of_orders[Order ID], List_of_orders[CustomerName])</f>
        <v>Harsh</v>
      </c>
      <c r="J1207" s="7" t="str">
        <f>_xlfn.XLOOKUP(Order_Details[[#This Row],[Order ID]], List_of_orders[Order ID], List_of_orders[City])</f>
        <v>Delhi</v>
      </c>
      <c r="K1207" s="8" t="str">
        <f>TEXT(Order_Details[[#This Row],[Order Date]], "YY-MMM")</f>
        <v>19-Feb</v>
      </c>
      <c r="L1207" s="11">
        <f>Order_Details[[#This Row],[Profit]]/Order_Details[[#This Row],[Amount]]</f>
        <v>0.18840579710144928</v>
      </c>
      <c r="M1207" s="8">
        <f>YEAR(Order_Details[[#This Row],[Order Date]])</f>
        <v>2019</v>
      </c>
      <c r="N1207" s="8">
        <f>ROUNDUP(MONTH(Order_Details[[#This Row],[Order Date]])/3, 0)</f>
        <v>1</v>
      </c>
    </row>
    <row r="1208" spans="1:14">
      <c r="A1208" s="1" t="s">
        <v>931</v>
      </c>
      <c r="B1208" s="1">
        <v>71</v>
      </c>
      <c r="C1208" s="1">
        <v>19</v>
      </c>
      <c r="D1208" s="1">
        <v>3</v>
      </c>
      <c r="E1208" s="1" t="s">
        <v>1076</v>
      </c>
      <c r="F1208" s="1" t="s">
        <v>1110</v>
      </c>
      <c r="G1208" s="7" t="str">
        <f>_xlfn.XLOOKUP(Order_Details[[#This Row],[Order ID]], List_of_orders[Order ID], List_of_orders[State])</f>
        <v>Delhi</v>
      </c>
      <c r="H1208" s="10">
        <f>_xlfn.XLOOKUP(Order_Details[[#This Row],[Order ID]], List_of_orders[Order ID], List_of_orders[Order Date (Clean)])</f>
        <v>43504</v>
      </c>
      <c r="I1208" s="7" t="str">
        <f>_xlfn.XLOOKUP(Order_Details[[#This Row],[Order ID]], List_of_orders[Order ID], List_of_orders[CustomerName])</f>
        <v>Harsh</v>
      </c>
      <c r="J1208" s="7" t="str">
        <f>_xlfn.XLOOKUP(Order_Details[[#This Row],[Order ID]], List_of_orders[Order ID], List_of_orders[City])</f>
        <v>Delhi</v>
      </c>
      <c r="K1208" s="8" t="str">
        <f>TEXT(Order_Details[[#This Row],[Order Date]], "YY-MMM")</f>
        <v>19-Feb</v>
      </c>
      <c r="L1208" s="11">
        <f>Order_Details[[#This Row],[Profit]]/Order_Details[[#This Row],[Amount]]</f>
        <v>0.26760563380281688</v>
      </c>
      <c r="M1208" s="8">
        <f>YEAR(Order_Details[[#This Row],[Order Date]])</f>
        <v>2019</v>
      </c>
      <c r="N1208" s="8">
        <f>ROUNDUP(MONTH(Order_Details[[#This Row],[Order Date]])/3, 0)</f>
        <v>1</v>
      </c>
    </row>
    <row r="1209" spans="1:14">
      <c r="A1209" s="1" t="s">
        <v>931</v>
      </c>
      <c r="B1209" s="1">
        <v>141</v>
      </c>
      <c r="C1209" s="1">
        <v>7</v>
      </c>
      <c r="D1209" s="1">
        <v>7</v>
      </c>
      <c r="E1209" s="1" t="s">
        <v>1076</v>
      </c>
      <c r="F1209" s="1" t="s">
        <v>1106</v>
      </c>
      <c r="G1209" s="7" t="str">
        <f>_xlfn.XLOOKUP(Order_Details[[#This Row],[Order ID]], List_of_orders[Order ID], List_of_orders[State])</f>
        <v>Delhi</v>
      </c>
      <c r="H1209" s="10">
        <f>_xlfn.XLOOKUP(Order_Details[[#This Row],[Order ID]], List_of_orders[Order ID], List_of_orders[Order Date (Clean)])</f>
        <v>43504</v>
      </c>
      <c r="I1209" s="7" t="str">
        <f>_xlfn.XLOOKUP(Order_Details[[#This Row],[Order ID]], List_of_orders[Order ID], List_of_orders[CustomerName])</f>
        <v>Harsh</v>
      </c>
      <c r="J1209" s="7" t="str">
        <f>_xlfn.XLOOKUP(Order_Details[[#This Row],[Order ID]], List_of_orders[Order ID], List_of_orders[City])</f>
        <v>Delhi</v>
      </c>
      <c r="K1209" s="8" t="str">
        <f>TEXT(Order_Details[[#This Row],[Order Date]], "YY-MMM")</f>
        <v>19-Feb</v>
      </c>
      <c r="L1209" s="11">
        <f>Order_Details[[#This Row],[Profit]]/Order_Details[[#This Row],[Amount]]</f>
        <v>4.9645390070921988E-2</v>
      </c>
      <c r="M1209" s="8">
        <f>YEAR(Order_Details[[#This Row],[Order Date]])</f>
        <v>2019</v>
      </c>
      <c r="N1209" s="8">
        <f>ROUNDUP(MONTH(Order_Details[[#This Row],[Order Date]])/3, 0)</f>
        <v>1</v>
      </c>
    </row>
    <row r="1210" spans="1:14">
      <c r="A1210" s="1" t="s">
        <v>931</v>
      </c>
      <c r="B1210" s="1">
        <v>113</v>
      </c>
      <c r="C1210" s="1">
        <v>28</v>
      </c>
      <c r="D1210" s="1">
        <v>2</v>
      </c>
      <c r="E1210" s="1" t="s">
        <v>1076</v>
      </c>
      <c r="F1210" s="1" t="s">
        <v>1106</v>
      </c>
      <c r="G1210" s="7" t="str">
        <f>_xlfn.XLOOKUP(Order_Details[[#This Row],[Order ID]], List_of_orders[Order ID], List_of_orders[State])</f>
        <v>Delhi</v>
      </c>
      <c r="H1210" s="10">
        <f>_xlfn.XLOOKUP(Order_Details[[#This Row],[Order ID]], List_of_orders[Order ID], List_of_orders[Order Date (Clean)])</f>
        <v>43504</v>
      </c>
      <c r="I1210" s="7" t="str">
        <f>_xlfn.XLOOKUP(Order_Details[[#This Row],[Order ID]], List_of_orders[Order ID], List_of_orders[CustomerName])</f>
        <v>Harsh</v>
      </c>
      <c r="J1210" s="7" t="str">
        <f>_xlfn.XLOOKUP(Order_Details[[#This Row],[Order ID]], List_of_orders[Order ID], List_of_orders[City])</f>
        <v>Delhi</v>
      </c>
      <c r="K1210" s="8" t="str">
        <f>TEXT(Order_Details[[#This Row],[Order Date]], "YY-MMM")</f>
        <v>19-Feb</v>
      </c>
      <c r="L1210" s="11">
        <f>Order_Details[[#This Row],[Profit]]/Order_Details[[#This Row],[Amount]]</f>
        <v>0.24778761061946902</v>
      </c>
      <c r="M1210" s="8">
        <f>YEAR(Order_Details[[#This Row],[Order Date]])</f>
        <v>2019</v>
      </c>
      <c r="N1210" s="8">
        <f>ROUNDUP(MONTH(Order_Details[[#This Row],[Order Date]])/3, 0)</f>
        <v>1</v>
      </c>
    </row>
    <row r="1211" spans="1:14">
      <c r="A1211" s="1" t="s">
        <v>932</v>
      </c>
      <c r="B1211" s="1">
        <v>315</v>
      </c>
      <c r="C1211" s="1">
        <v>-8</v>
      </c>
      <c r="D1211" s="1">
        <v>3</v>
      </c>
      <c r="E1211" s="1" t="s">
        <v>1075</v>
      </c>
      <c r="F1211" s="1" t="s">
        <v>1108</v>
      </c>
      <c r="G1211" s="7" t="str">
        <f>_xlfn.XLOOKUP(Order_Details[[#This Row],[Order ID]], List_of_orders[Order ID], List_of_orders[State])</f>
        <v>Madhya Pradesh</v>
      </c>
      <c r="H1211" s="10">
        <f>_xlfn.XLOOKUP(Order_Details[[#This Row],[Order ID]], List_of_orders[Order ID], List_of_orders[Order Date (Clean)])</f>
        <v>43504</v>
      </c>
      <c r="I1211" s="7" t="str">
        <f>_xlfn.XLOOKUP(Order_Details[[#This Row],[Order ID]], List_of_orders[Order ID], List_of_orders[CustomerName])</f>
        <v>Hitesh</v>
      </c>
      <c r="J1211" s="7" t="str">
        <f>_xlfn.XLOOKUP(Order_Details[[#This Row],[Order ID]], List_of_orders[Order ID], List_of_orders[City])</f>
        <v>Bhopal</v>
      </c>
      <c r="K1211" s="8" t="str">
        <f>TEXT(Order_Details[[#This Row],[Order Date]], "YY-MMM")</f>
        <v>19-Feb</v>
      </c>
      <c r="L1211" s="11">
        <f>Order_Details[[#This Row],[Profit]]/Order_Details[[#This Row],[Amount]]</f>
        <v>-2.5396825396825397E-2</v>
      </c>
      <c r="M1211" s="8">
        <f>YEAR(Order_Details[[#This Row],[Order Date]])</f>
        <v>2019</v>
      </c>
      <c r="N1211" s="8">
        <f>ROUNDUP(MONTH(Order_Details[[#This Row],[Order Date]])/3, 0)</f>
        <v>1</v>
      </c>
    </row>
    <row r="1212" spans="1:14">
      <c r="A1212" s="1" t="s">
        <v>932</v>
      </c>
      <c r="B1212" s="1">
        <v>128</v>
      </c>
      <c r="C1212" s="1">
        <v>47</v>
      </c>
      <c r="D1212" s="1">
        <v>4</v>
      </c>
      <c r="E1212" s="1" t="s">
        <v>1076</v>
      </c>
      <c r="F1212" s="1" t="s">
        <v>1103</v>
      </c>
      <c r="G1212" s="7" t="str">
        <f>_xlfn.XLOOKUP(Order_Details[[#This Row],[Order ID]], List_of_orders[Order ID], List_of_orders[State])</f>
        <v>Madhya Pradesh</v>
      </c>
      <c r="H1212" s="10">
        <f>_xlfn.XLOOKUP(Order_Details[[#This Row],[Order ID]], List_of_orders[Order ID], List_of_orders[Order Date (Clean)])</f>
        <v>43504</v>
      </c>
      <c r="I1212" s="7" t="str">
        <f>_xlfn.XLOOKUP(Order_Details[[#This Row],[Order ID]], List_of_orders[Order ID], List_of_orders[CustomerName])</f>
        <v>Hitesh</v>
      </c>
      <c r="J1212" s="7" t="str">
        <f>_xlfn.XLOOKUP(Order_Details[[#This Row],[Order ID]], List_of_orders[Order ID], List_of_orders[City])</f>
        <v>Bhopal</v>
      </c>
      <c r="K1212" s="8" t="str">
        <f>TEXT(Order_Details[[#This Row],[Order Date]], "YY-MMM")</f>
        <v>19-Feb</v>
      </c>
      <c r="L1212" s="11">
        <f>Order_Details[[#This Row],[Profit]]/Order_Details[[#This Row],[Amount]]</f>
        <v>0.3671875</v>
      </c>
      <c r="M1212" s="8">
        <f>YEAR(Order_Details[[#This Row],[Order Date]])</f>
        <v>2019</v>
      </c>
      <c r="N1212" s="8">
        <f>ROUNDUP(MONTH(Order_Details[[#This Row],[Order Date]])/3, 0)</f>
        <v>1</v>
      </c>
    </row>
    <row r="1213" spans="1:14">
      <c r="A1213" s="1" t="s">
        <v>932</v>
      </c>
      <c r="B1213" s="1">
        <v>652</v>
      </c>
      <c r="C1213" s="1">
        <v>13</v>
      </c>
      <c r="D1213" s="1">
        <v>6</v>
      </c>
      <c r="E1213" s="1" t="s">
        <v>1075</v>
      </c>
      <c r="F1213" s="1" t="s">
        <v>1116</v>
      </c>
      <c r="G1213" s="7" t="str">
        <f>_xlfn.XLOOKUP(Order_Details[[#This Row],[Order ID]], List_of_orders[Order ID], List_of_orders[State])</f>
        <v>Madhya Pradesh</v>
      </c>
      <c r="H1213" s="10">
        <f>_xlfn.XLOOKUP(Order_Details[[#This Row],[Order ID]], List_of_orders[Order ID], List_of_orders[Order Date (Clean)])</f>
        <v>43504</v>
      </c>
      <c r="I1213" s="7" t="str">
        <f>_xlfn.XLOOKUP(Order_Details[[#This Row],[Order ID]], List_of_orders[Order ID], List_of_orders[CustomerName])</f>
        <v>Hitesh</v>
      </c>
      <c r="J1213" s="7" t="str">
        <f>_xlfn.XLOOKUP(Order_Details[[#This Row],[Order ID]], List_of_orders[Order ID], List_of_orders[City])</f>
        <v>Bhopal</v>
      </c>
      <c r="K1213" s="8" t="str">
        <f>TEXT(Order_Details[[#This Row],[Order Date]], "YY-MMM")</f>
        <v>19-Feb</v>
      </c>
      <c r="L1213" s="11">
        <f>Order_Details[[#This Row],[Profit]]/Order_Details[[#This Row],[Amount]]</f>
        <v>1.9938650306748466E-2</v>
      </c>
      <c r="M1213" s="8">
        <f>YEAR(Order_Details[[#This Row],[Order Date]])</f>
        <v>2019</v>
      </c>
      <c r="N1213" s="8">
        <f>ROUNDUP(MONTH(Order_Details[[#This Row],[Order Date]])/3, 0)</f>
        <v>1</v>
      </c>
    </row>
    <row r="1214" spans="1:14">
      <c r="A1214" s="1" t="s">
        <v>932</v>
      </c>
      <c r="B1214" s="1">
        <v>114</v>
      </c>
      <c r="C1214" s="1">
        <v>41</v>
      </c>
      <c r="D1214" s="1">
        <v>6</v>
      </c>
      <c r="E1214" s="1" t="s">
        <v>1075</v>
      </c>
      <c r="F1214" s="1" t="s">
        <v>1116</v>
      </c>
      <c r="G1214" s="7" t="str">
        <f>_xlfn.XLOOKUP(Order_Details[[#This Row],[Order ID]], List_of_orders[Order ID], List_of_orders[State])</f>
        <v>Madhya Pradesh</v>
      </c>
      <c r="H1214" s="10">
        <f>_xlfn.XLOOKUP(Order_Details[[#This Row],[Order ID]], List_of_orders[Order ID], List_of_orders[Order Date (Clean)])</f>
        <v>43504</v>
      </c>
      <c r="I1214" s="7" t="str">
        <f>_xlfn.XLOOKUP(Order_Details[[#This Row],[Order ID]], List_of_orders[Order ID], List_of_orders[CustomerName])</f>
        <v>Hitesh</v>
      </c>
      <c r="J1214" s="7" t="str">
        <f>_xlfn.XLOOKUP(Order_Details[[#This Row],[Order ID]], List_of_orders[Order ID], List_of_orders[City])</f>
        <v>Bhopal</v>
      </c>
      <c r="K1214" s="8" t="str">
        <f>TEXT(Order_Details[[#This Row],[Order Date]], "YY-MMM")</f>
        <v>19-Feb</v>
      </c>
      <c r="L1214" s="11">
        <f>Order_Details[[#This Row],[Profit]]/Order_Details[[#This Row],[Amount]]</f>
        <v>0.35964912280701755</v>
      </c>
      <c r="M1214" s="8">
        <f>YEAR(Order_Details[[#This Row],[Order Date]])</f>
        <v>2019</v>
      </c>
      <c r="N1214" s="8">
        <f>ROUNDUP(MONTH(Order_Details[[#This Row],[Order Date]])/3, 0)</f>
        <v>1</v>
      </c>
    </row>
    <row r="1215" spans="1:14">
      <c r="A1215" s="1" t="s">
        <v>932</v>
      </c>
      <c r="B1215" s="1">
        <v>79</v>
      </c>
      <c r="C1215" s="1">
        <v>16</v>
      </c>
      <c r="D1215" s="1">
        <v>3</v>
      </c>
      <c r="E1215" s="1" t="s">
        <v>1076</v>
      </c>
      <c r="F1215" s="1" t="s">
        <v>1110</v>
      </c>
      <c r="G1215" s="7" t="str">
        <f>_xlfn.XLOOKUP(Order_Details[[#This Row],[Order ID]], List_of_orders[Order ID], List_of_orders[State])</f>
        <v>Madhya Pradesh</v>
      </c>
      <c r="H1215" s="10">
        <f>_xlfn.XLOOKUP(Order_Details[[#This Row],[Order ID]], List_of_orders[Order ID], List_of_orders[Order Date (Clean)])</f>
        <v>43504</v>
      </c>
      <c r="I1215" s="7" t="str">
        <f>_xlfn.XLOOKUP(Order_Details[[#This Row],[Order ID]], List_of_orders[Order ID], List_of_orders[CustomerName])</f>
        <v>Hitesh</v>
      </c>
      <c r="J1215" s="7" t="str">
        <f>_xlfn.XLOOKUP(Order_Details[[#This Row],[Order ID]], List_of_orders[Order ID], List_of_orders[City])</f>
        <v>Bhopal</v>
      </c>
      <c r="K1215" s="8" t="str">
        <f>TEXT(Order_Details[[#This Row],[Order Date]], "YY-MMM")</f>
        <v>19-Feb</v>
      </c>
      <c r="L1215" s="11">
        <f>Order_Details[[#This Row],[Profit]]/Order_Details[[#This Row],[Amount]]</f>
        <v>0.20253164556962025</v>
      </c>
      <c r="M1215" s="8">
        <f>YEAR(Order_Details[[#This Row],[Order Date]])</f>
        <v>2019</v>
      </c>
      <c r="N1215" s="8">
        <f>ROUNDUP(MONTH(Order_Details[[#This Row],[Order Date]])/3, 0)</f>
        <v>1</v>
      </c>
    </row>
    <row r="1216" spans="1:14">
      <c r="A1216" s="1" t="s">
        <v>932</v>
      </c>
      <c r="B1216" s="1">
        <v>498</v>
      </c>
      <c r="C1216" s="1">
        <v>-116</v>
      </c>
      <c r="D1216" s="1">
        <v>4</v>
      </c>
      <c r="E1216" s="1" t="s">
        <v>1076</v>
      </c>
      <c r="F1216" s="1" t="s">
        <v>1106</v>
      </c>
      <c r="G1216" s="7" t="str">
        <f>_xlfn.XLOOKUP(Order_Details[[#This Row],[Order ID]], List_of_orders[Order ID], List_of_orders[State])</f>
        <v>Madhya Pradesh</v>
      </c>
      <c r="H1216" s="10">
        <f>_xlfn.XLOOKUP(Order_Details[[#This Row],[Order ID]], List_of_orders[Order ID], List_of_orders[Order Date (Clean)])</f>
        <v>43504</v>
      </c>
      <c r="I1216" s="7" t="str">
        <f>_xlfn.XLOOKUP(Order_Details[[#This Row],[Order ID]], List_of_orders[Order ID], List_of_orders[CustomerName])</f>
        <v>Hitesh</v>
      </c>
      <c r="J1216" s="7" t="str">
        <f>_xlfn.XLOOKUP(Order_Details[[#This Row],[Order ID]], List_of_orders[Order ID], List_of_orders[City])</f>
        <v>Bhopal</v>
      </c>
      <c r="K1216" s="8" t="str">
        <f>TEXT(Order_Details[[#This Row],[Order Date]], "YY-MMM")</f>
        <v>19-Feb</v>
      </c>
      <c r="L1216" s="11">
        <f>Order_Details[[#This Row],[Profit]]/Order_Details[[#This Row],[Amount]]</f>
        <v>-0.23293172690763053</v>
      </c>
      <c r="M1216" s="8">
        <f>YEAR(Order_Details[[#This Row],[Order Date]])</f>
        <v>2019</v>
      </c>
      <c r="N1216" s="8">
        <f>ROUNDUP(MONTH(Order_Details[[#This Row],[Order Date]])/3, 0)</f>
        <v>1</v>
      </c>
    </row>
    <row r="1217" spans="1:14">
      <c r="A1217" s="1" t="s">
        <v>932</v>
      </c>
      <c r="B1217" s="1">
        <v>1745</v>
      </c>
      <c r="C1217" s="1">
        <v>122</v>
      </c>
      <c r="D1217" s="1">
        <v>2</v>
      </c>
      <c r="E1217" s="1" t="s">
        <v>1075</v>
      </c>
      <c r="F1217" s="1" t="s">
        <v>1113</v>
      </c>
      <c r="G1217" s="7" t="str">
        <f>_xlfn.XLOOKUP(Order_Details[[#This Row],[Order ID]], List_of_orders[Order ID], List_of_orders[State])</f>
        <v>Madhya Pradesh</v>
      </c>
      <c r="H1217" s="10">
        <f>_xlfn.XLOOKUP(Order_Details[[#This Row],[Order ID]], List_of_orders[Order ID], List_of_orders[Order Date (Clean)])</f>
        <v>43504</v>
      </c>
      <c r="I1217" s="7" t="str">
        <f>_xlfn.XLOOKUP(Order_Details[[#This Row],[Order ID]], List_of_orders[Order ID], List_of_orders[CustomerName])</f>
        <v>Hitesh</v>
      </c>
      <c r="J1217" s="7" t="str">
        <f>_xlfn.XLOOKUP(Order_Details[[#This Row],[Order ID]], List_of_orders[Order ID], List_of_orders[City])</f>
        <v>Bhopal</v>
      </c>
      <c r="K1217" s="8" t="str">
        <f>TEXT(Order_Details[[#This Row],[Order Date]], "YY-MMM")</f>
        <v>19-Feb</v>
      </c>
      <c r="L1217" s="11">
        <f>Order_Details[[#This Row],[Profit]]/Order_Details[[#This Row],[Amount]]</f>
        <v>6.9914040114613177E-2</v>
      </c>
      <c r="M1217" s="8">
        <f>YEAR(Order_Details[[#This Row],[Order Date]])</f>
        <v>2019</v>
      </c>
      <c r="N1217" s="8">
        <f>ROUNDUP(MONTH(Order_Details[[#This Row],[Order Date]])/3, 0)</f>
        <v>1</v>
      </c>
    </row>
    <row r="1218" spans="1:14">
      <c r="A1218" s="1" t="s">
        <v>932</v>
      </c>
      <c r="B1218" s="1">
        <v>17</v>
      </c>
      <c r="C1218" s="1">
        <v>2</v>
      </c>
      <c r="D1218" s="1">
        <v>2</v>
      </c>
      <c r="E1218" s="1" t="s">
        <v>1076</v>
      </c>
      <c r="F1218" s="1" t="s">
        <v>1117</v>
      </c>
      <c r="G1218" s="7" t="str">
        <f>_xlfn.XLOOKUP(Order_Details[[#This Row],[Order ID]], List_of_orders[Order ID], List_of_orders[State])</f>
        <v>Madhya Pradesh</v>
      </c>
      <c r="H1218" s="10">
        <f>_xlfn.XLOOKUP(Order_Details[[#This Row],[Order ID]], List_of_orders[Order ID], List_of_orders[Order Date (Clean)])</f>
        <v>43504</v>
      </c>
      <c r="I1218" s="7" t="str">
        <f>_xlfn.XLOOKUP(Order_Details[[#This Row],[Order ID]], List_of_orders[Order ID], List_of_orders[CustomerName])</f>
        <v>Hitesh</v>
      </c>
      <c r="J1218" s="7" t="str">
        <f>_xlfn.XLOOKUP(Order_Details[[#This Row],[Order ID]], List_of_orders[Order ID], List_of_orders[City])</f>
        <v>Bhopal</v>
      </c>
      <c r="K1218" s="8" t="str">
        <f>TEXT(Order_Details[[#This Row],[Order Date]], "YY-MMM")</f>
        <v>19-Feb</v>
      </c>
      <c r="L1218" s="11">
        <f>Order_Details[[#This Row],[Profit]]/Order_Details[[#This Row],[Amount]]</f>
        <v>0.11764705882352941</v>
      </c>
      <c r="M1218" s="8">
        <f>YEAR(Order_Details[[#This Row],[Order Date]])</f>
        <v>2019</v>
      </c>
      <c r="N1218" s="8">
        <f>ROUNDUP(MONTH(Order_Details[[#This Row],[Order Date]])/3, 0)</f>
        <v>1</v>
      </c>
    </row>
    <row r="1219" spans="1:14">
      <c r="A1219" s="1" t="s">
        <v>934</v>
      </c>
      <c r="B1219" s="1">
        <v>147</v>
      </c>
      <c r="C1219" s="1">
        <v>44</v>
      </c>
      <c r="D1219" s="1">
        <v>3</v>
      </c>
      <c r="E1219" s="1" t="s">
        <v>1076</v>
      </c>
      <c r="F1219" s="1" t="s">
        <v>1106</v>
      </c>
      <c r="G1219" s="7" t="str">
        <f>_xlfn.XLOOKUP(Order_Details[[#This Row],[Order ID]], List_of_orders[Order ID], List_of_orders[State])</f>
        <v>Rajasthan</v>
      </c>
      <c r="H1219" s="10">
        <f>_xlfn.XLOOKUP(Order_Details[[#This Row],[Order ID]], List_of_orders[Order ID], List_of_orders[Order Date (Clean)])</f>
        <v>43504</v>
      </c>
      <c r="I1219" s="7" t="str">
        <f>_xlfn.XLOOKUP(Order_Details[[#This Row],[Order ID]], List_of_orders[Order ID], List_of_orders[CustomerName])</f>
        <v>Nandita</v>
      </c>
      <c r="J1219" s="7" t="str">
        <f>_xlfn.XLOOKUP(Order_Details[[#This Row],[Order ID]], List_of_orders[Order ID], List_of_orders[City])</f>
        <v>Jaipur</v>
      </c>
      <c r="K1219" s="8" t="str">
        <f>TEXT(Order_Details[[#This Row],[Order Date]], "YY-MMM")</f>
        <v>19-Feb</v>
      </c>
      <c r="L1219" s="11">
        <f>Order_Details[[#This Row],[Profit]]/Order_Details[[#This Row],[Amount]]</f>
        <v>0.29931972789115646</v>
      </c>
      <c r="M1219" s="8">
        <f>YEAR(Order_Details[[#This Row],[Order Date]])</f>
        <v>2019</v>
      </c>
      <c r="N1219" s="8">
        <f>ROUNDUP(MONTH(Order_Details[[#This Row],[Order Date]])/3, 0)</f>
        <v>1</v>
      </c>
    </row>
    <row r="1220" spans="1:14">
      <c r="A1220" s="1" t="s">
        <v>934</v>
      </c>
      <c r="B1220" s="1">
        <v>162</v>
      </c>
      <c r="C1220" s="1">
        <v>73</v>
      </c>
      <c r="D1220" s="1">
        <v>2</v>
      </c>
      <c r="E1220" s="1" t="s">
        <v>1077</v>
      </c>
      <c r="F1220" s="1" t="s">
        <v>1104</v>
      </c>
      <c r="G1220" s="7" t="str">
        <f>_xlfn.XLOOKUP(Order_Details[[#This Row],[Order ID]], List_of_orders[Order ID], List_of_orders[State])</f>
        <v>Rajasthan</v>
      </c>
      <c r="H1220" s="10">
        <f>_xlfn.XLOOKUP(Order_Details[[#This Row],[Order ID]], List_of_orders[Order ID], List_of_orders[Order Date (Clean)])</f>
        <v>43504</v>
      </c>
      <c r="I1220" s="7" t="str">
        <f>_xlfn.XLOOKUP(Order_Details[[#This Row],[Order ID]], List_of_orders[Order ID], List_of_orders[CustomerName])</f>
        <v>Nandita</v>
      </c>
      <c r="J1220" s="7" t="str">
        <f>_xlfn.XLOOKUP(Order_Details[[#This Row],[Order ID]], List_of_orders[Order ID], List_of_orders[City])</f>
        <v>Jaipur</v>
      </c>
      <c r="K1220" s="8" t="str">
        <f>TEXT(Order_Details[[#This Row],[Order Date]], "YY-MMM")</f>
        <v>19-Feb</v>
      </c>
      <c r="L1220" s="11">
        <f>Order_Details[[#This Row],[Profit]]/Order_Details[[#This Row],[Amount]]</f>
        <v>0.45061728395061729</v>
      </c>
      <c r="M1220" s="8">
        <f>YEAR(Order_Details[[#This Row],[Order Date]])</f>
        <v>2019</v>
      </c>
      <c r="N1220" s="8">
        <f>ROUNDUP(MONTH(Order_Details[[#This Row],[Order Date]])/3, 0)</f>
        <v>1</v>
      </c>
    </row>
    <row r="1221" spans="1:14">
      <c r="A1221" s="1" t="s">
        <v>936</v>
      </c>
      <c r="B1221" s="1">
        <v>87</v>
      </c>
      <c r="C1221" s="1">
        <v>10</v>
      </c>
      <c r="D1221" s="1">
        <v>3</v>
      </c>
      <c r="E1221" s="1" t="s">
        <v>1076</v>
      </c>
      <c r="F1221" s="1" t="s">
        <v>1102</v>
      </c>
      <c r="G1221" s="7" t="str">
        <f>_xlfn.XLOOKUP(Order_Details[[#This Row],[Order ID]], List_of_orders[Order ID], List_of_orders[State])</f>
        <v>West Bengal</v>
      </c>
      <c r="H1221" s="10">
        <f>_xlfn.XLOOKUP(Order_Details[[#This Row],[Order ID]], List_of_orders[Order ID], List_of_orders[Order Date (Clean)])</f>
        <v>43504</v>
      </c>
      <c r="I1221" s="7" t="str">
        <f>_xlfn.XLOOKUP(Order_Details[[#This Row],[Order ID]], List_of_orders[Order ID], List_of_orders[CustomerName])</f>
        <v>Parnavi</v>
      </c>
      <c r="J1221" s="7" t="str">
        <f>_xlfn.XLOOKUP(Order_Details[[#This Row],[Order ID]], List_of_orders[Order ID], List_of_orders[City])</f>
        <v>Kolkata</v>
      </c>
      <c r="K1221" s="8" t="str">
        <f>TEXT(Order_Details[[#This Row],[Order Date]], "YY-MMM")</f>
        <v>19-Feb</v>
      </c>
      <c r="L1221" s="11">
        <f>Order_Details[[#This Row],[Profit]]/Order_Details[[#This Row],[Amount]]</f>
        <v>0.11494252873563218</v>
      </c>
      <c r="M1221" s="8">
        <f>YEAR(Order_Details[[#This Row],[Order Date]])</f>
        <v>2019</v>
      </c>
      <c r="N1221" s="8">
        <f>ROUNDUP(MONTH(Order_Details[[#This Row],[Order Date]])/3, 0)</f>
        <v>1</v>
      </c>
    </row>
    <row r="1222" spans="1:14">
      <c r="A1222" s="1" t="s">
        <v>938</v>
      </c>
      <c r="B1222" s="1">
        <v>1301</v>
      </c>
      <c r="C1222" s="1">
        <v>573</v>
      </c>
      <c r="D1222" s="1">
        <v>5</v>
      </c>
      <c r="E1222" s="1" t="s">
        <v>1077</v>
      </c>
      <c r="F1222" s="1" t="s">
        <v>1115</v>
      </c>
      <c r="G1222" s="7" t="str">
        <f>_xlfn.XLOOKUP(Order_Details[[#This Row],[Order ID]], List_of_orders[Order ID], List_of_orders[State])</f>
        <v>Karnataka</v>
      </c>
      <c r="H1222" s="10">
        <f>_xlfn.XLOOKUP(Order_Details[[#This Row],[Order ID]], List_of_orders[Order ID], List_of_orders[Order Date (Clean)])</f>
        <v>43505</v>
      </c>
      <c r="I1222" s="7" t="str">
        <f>_xlfn.XLOOKUP(Order_Details[[#This Row],[Order ID]], List_of_orders[Order ID], List_of_orders[CustomerName])</f>
        <v>Arpita</v>
      </c>
      <c r="J1222" s="7" t="str">
        <f>_xlfn.XLOOKUP(Order_Details[[#This Row],[Order ID]], List_of_orders[Order ID], List_of_orders[City])</f>
        <v>Bangalore</v>
      </c>
      <c r="K1222" s="8" t="str">
        <f>TEXT(Order_Details[[#This Row],[Order Date]], "YY-MMM")</f>
        <v>19-Feb</v>
      </c>
      <c r="L1222" s="11">
        <f>Order_Details[[#This Row],[Profit]]/Order_Details[[#This Row],[Amount]]</f>
        <v>0.4404304381245196</v>
      </c>
      <c r="M1222" s="8">
        <f>YEAR(Order_Details[[#This Row],[Order Date]])</f>
        <v>2019</v>
      </c>
      <c r="N1222" s="8">
        <f>ROUNDUP(MONTH(Order_Details[[#This Row],[Order Date]])/3, 0)</f>
        <v>1</v>
      </c>
    </row>
    <row r="1223" spans="1:14">
      <c r="A1223" s="1" t="s">
        <v>940</v>
      </c>
      <c r="B1223" s="1">
        <v>311</v>
      </c>
      <c r="C1223" s="1">
        <v>72</v>
      </c>
      <c r="D1223" s="1">
        <v>2</v>
      </c>
      <c r="E1223" s="1" t="s">
        <v>1075</v>
      </c>
      <c r="F1223" s="1" t="s">
        <v>1101</v>
      </c>
      <c r="G1223" s="7" t="str">
        <f>_xlfn.XLOOKUP(Order_Details[[#This Row],[Order ID]], List_of_orders[Order ID], List_of_orders[State])</f>
        <v>Jammu and Kashmir</v>
      </c>
      <c r="H1223" s="10">
        <f>_xlfn.XLOOKUP(Order_Details[[#This Row],[Order ID]], List_of_orders[Order ID], List_of_orders[Order Date (Clean)])</f>
        <v>43505</v>
      </c>
      <c r="I1223" s="7" t="str">
        <f>_xlfn.XLOOKUP(Order_Details[[#This Row],[Order ID]], List_of_orders[Order ID], List_of_orders[CustomerName])</f>
        <v>Shubham</v>
      </c>
      <c r="J1223" s="7" t="str">
        <f>_xlfn.XLOOKUP(Order_Details[[#This Row],[Order ID]], List_of_orders[Order ID], List_of_orders[City])</f>
        <v>Kashmir</v>
      </c>
      <c r="K1223" s="8" t="str">
        <f>TEXT(Order_Details[[#This Row],[Order Date]], "YY-MMM")</f>
        <v>19-Feb</v>
      </c>
      <c r="L1223" s="11">
        <f>Order_Details[[#This Row],[Profit]]/Order_Details[[#This Row],[Amount]]</f>
        <v>0.23151125401929259</v>
      </c>
      <c r="M1223" s="8">
        <f>YEAR(Order_Details[[#This Row],[Order Date]])</f>
        <v>2019</v>
      </c>
      <c r="N1223" s="8">
        <f>ROUNDUP(MONTH(Order_Details[[#This Row],[Order Date]])/3, 0)</f>
        <v>1</v>
      </c>
    </row>
    <row r="1224" spans="1:14">
      <c r="A1224" s="1" t="s">
        <v>941</v>
      </c>
      <c r="B1224" s="1">
        <v>22</v>
      </c>
      <c r="C1224" s="1">
        <v>4</v>
      </c>
      <c r="D1224" s="1">
        <v>1</v>
      </c>
      <c r="E1224" s="1" t="s">
        <v>1076</v>
      </c>
      <c r="F1224" s="1" t="s">
        <v>1102</v>
      </c>
      <c r="G1224" s="7" t="str">
        <f>_xlfn.XLOOKUP(Order_Details[[#This Row],[Order ID]], List_of_orders[Order ID], List_of_orders[State])</f>
        <v>Tamil Nadu</v>
      </c>
      <c r="H1224" s="10">
        <f>_xlfn.XLOOKUP(Order_Details[[#This Row],[Order ID]], List_of_orders[Order ID], List_of_orders[Order Date (Clean)])</f>
        <v>43505</v>
      </c>
      <c r="I1224" s="7" t="str">
        <f>_xlfn.XLOOKUP(Order_Details[[#This Row],[Order ID]], List_of_orders[Order ID], List_of_orders[CustomerName])</f>
        <v>Kalyani</v>
      </c>
      <c r="J1224" s="7" t="str">
        <f>_xlfn.XLOOKUP(Order_Details[[#This Row],[Order ID]], List_of_orders[Order ID], List_of_orders[City])</f>
        <v>Chennai</v>
      </c>
      <c r="K1224" s="8" t="str">
        <f>TEXT(Order_Details[[#This Row],[Order Date]], "YY-MMM")</f>
        <v>19-Feb</v>
      </c>
      <c r="L1224" s="11">
        <f>Order_Details[[#This Row],[Profit]]/Order_Details[[#This Row],[Amount]]</f>
        <v>0.18181818181818182</v>
      </c>
      <c r="M1224" s="8">
        <f>YEAR(Order_Details[[#This Row],[Order Date]])</f>
        <v>2019</v>
      </c>
      <c r="N1224" s="8">
        <f>ROUNDUP(MONTH(Order_Details[[#This Row],[Order Date]])/3, 0)</f>
        <v>1</v>
      </c>
    </row>
    <row r="1225" spans="1:14">
      <c r="A1225" s="1" t="s">
        <v>941</v>
      </c>
      <c r="B1225" s="1">
        <v>206</v>
      </c>
      <c r="C1225" s="1">
        <v>51</v>
      </c>
      <c r="D1225" s="1">
        <v>4</v>
      </c>
      <c r="E1225" s="1" t="s">
        <v>1076</v>
      </c>
      <c r="F1225" s="1" t="s">
        <v>1103</v>
      </c>
      <c r="G1225" s="7" t="str">
        <f>_xlfn.XLOOKUP(Order_Details[[#This Row],[Order ID]], List_of_orders[Order ID], List_of_orders[State])</f>
        <v>Tamil Nadu</v>
      </c>
      <c r="H1225" s="10">
        <f>_xlfn.XLOOKUP(Order_Details[[#This Row],[Order ID]], List_of_orders[Order ID], List_of_orders[Order Date (Clean)])</f>
        <v>43505</v>
      </c>
      <c r="I1225" s="7" t="str">
        <f>_xlfn.XLOOKUP(Order_Details[[#This Row],[Order ID]], List_of_orders[Order ID], List_of_orders[CustomerName])</f>
        <v>Kalyani</v>
      </c>
      <c r="J1225" s="7" t="str">
        <f>_xlfn.XLOOKUP(Order_Details[[#This Row],[Order ID]], List_of_orders[Order ID], List_of_orders[City])</f>
        <v>Chennai</v>
      </c>
      <c r="K1225" s="8" t="str">
        <f>TEXT(Order_Details[[#This Row],[Order Date]], "YY-MMM")</f>
        <v>19-Feb</v>
      </c>
      <c r="L1225" s="11">
        <f>Order_Details[[#This Row],[Profit]]/Order_Details[[#This Row],[Amount]]</f>
        <v>0.24757281553398058</v>
      </c>
      <c r="M1225" s="8">
        <f>YEAR(Order_Details[[#This Row],[Order Date]])</f>
        <v>2019</v>
      </c>
      <c r="N1225" s="8">
        <f>ROUNDUP(MONTH(Order_Details[[#This Row],[Order Date]])/3, 0)</f>
        <v>1</v>
      </c>
    </row>
    <row r="1226" spans="1:14">
      <c r="A1226" s="1" t="s">
        <v>941</v>
      </c>
      <c r="B1226" s="1">
        <v>57</v>
      </c>
      <c r="C1226" s="1">
        <v>24</v>
      </c>
      <c r="D1226" s="1">
        <v>5</v>
      </c>
      <c r="E1226" s="1" t="s">
        <v>1076</v>
      </c>
      <c r="F1226" s="1" t="s">
        <v>1112</v>
      </c>
      <c r="G1226" s="7" t="str">
        <f>_xlfn.XLOOKUP(Order_Details[[#This Row],[Order ID]], List_of_orders[Order ID], List_of_orders[State])</f>
        <v>Tamil Nadu</v>
      </c>
      <c r="H1226" s="10">
        <f>_xlfn.XLOOKUP(Order_Details[[#This Row],[Order ID]], List_of_orders[Order ID], List_of_orders[Order Date (Clean)])</f>
        <v>43505</v>
      </c>
      <c r="I1226" s="7" t="str">
        <f>_xlfn.XLOOKUP(Order_Details[[#This Row],[Order ID]], List_of_orders[Order ID], List_of_orders[CustomerName])</f>
        <v>Kalyani</v>
      </c>
      <c r="J1226" s="7" t="str">
        <f>_xlfn.XLOOKUP(Order_Details[[#This Row],[Order ID]], List_of_orders[Order ID], List_of_orders[City])</f>
        <v>Chennai</v>
      </c>
      <c r="K1226" s="8" t="str">
        <f>TEXT(Order_Details[[#This Row],[Order Date]], "YY-MMM")</f>
        <v>19-Feb</v>
      </c>
      <c r="L1226" s="11">
        <f>Order_Details[[#This Row],[Profit]]/Order_Details[[#This Row],[Amount]]</f>
        <v>0.42105263157894735</v>
      </c>
      <c r="M1226" s="8">
        <f>YEAR(Order_Details[[#This Row],[Order Date]])</f>
        <v>2019</v>
      </c>
      <c r="N1226" s="8">
        <f>ROUNDUP(MONTH(Order_Details[[#This Row],[Order Date]])/3, 0)</f>
        <v>1</v>
      </c>
    </row>
    <row r="1227" spans="1:14">
      <c r="A1227" s="1" t="s">
        <v>941</v>
      </c>
      <c r="B1227" s="1">
        <v>10</v>
      </c>
      <c r="C1227" s="1">
        <v>-1</v>
      </c>
      <c r="D1227" s="1">
        <v>1</v>
      </c>
      <c r="E1227" s="1" t="s">
        <v>1076</v>
      </c>
      <c r="F1227" s="1" t="s">
        <v>1106</v>
      </c>
      <c r="G1227" s="7" t="str">
        <f>_xlfn.XLOOKUP(Order_Details[[#This Row],[Order ID]], List_of_orders[Order ID], List_of_orders[State])</f>
        <v>Tamil Nadu</v>
      </c>
      <c r="H1227" s="10">
        <f>_xlfn.XLOOKUP(Order_Details[[#This Row],[Order ID]], List_of_orders[Order ID], List_of_orders[Order Date (Clean)])</f>
        <v>43505</v>
      </c>
      <c r="I1227" s="7" t="str">
        <f>_xlfn.XLOOKUP(Order_Details[[#This Row],[Order ID]], List_of_orders[Order ID], List_of_orders[CustomerName])</f>
        <v>Kalyani</v>
      </c>
      <c r="J1227" s="7" t="str">
        <f>_xlfn.XLOOKUP(Order_Details[[#This Row],[Order ID]], List_of_orders[Order ID], List_of_orders[City])</f>
        <v>Chennai</v>
      </c>
      <c r="K1227" s="8" t="str">
        <f>TEXT(Order_Details[[#This Row],[Order Date]], "YY-MMM")</f>
        <v>19-Feb</v>
      </c>
      <c r="L1227" s="11">
        <f>Order_Details[[#This Row],[Profit]]/Order_Details[[#This Row],[Amount]]</f>
        <v>-0.1</v>
      </c>
      <c r="M1227" s="8">
        <f>YEAR(Order_Details[[#This Row],[Order Date]])</f>
        <v>2019</v>
      </c>
      <c r="N1227" s="8">
        <f>ROUNDUP(MONTH(Order_Details[[#This Row],[Order Date]])/3, 0)</f>
        <v>1</v>
      </c>
    </row>
    <row r="1228" spans="1:14">
      <c r="A1228" s="1" t="s">
        <v>943</v>
      </c>
      <c r="B1228" s="1">
        <v>285</v>
      </c>
      <c r="C1228" s="1">
        <v>128</v>
      </c>
      <c r="D1228" s="1">
        <v>2</v>
      </c>
      <c r="E1228" s="1" t="s">
        <v>1077</v>
      </c>
      <c r="F1228" s="1" t="s">
        <v>1114</v>
      </c>
      <c r="G1228" s="7" t="str">
        <f>_xlfn.XLOOKUP(Order_Details[[#This Row],[Order ID]], List_of_orders[Order ID], List_of_orders[State])</f>
        <v>Uttar Pradesh</v>
      </c>
      <c r="H1228" s="10">
        <f>_xlfn.XLOOKUP(Order_Details[[#This Row],[Order ID]], List_of_orders[Order ID], List_of_orders[Order Date (Clean)])</f>
        <v>43506</v>
      </c>
      <c r="I1228" s="7" t="str">
        <f>_xlfn.XLOOKUP(Order_Details[[#This Row],[Order ID]], List_of_orders[Order ID], List_of_orders[CustomerName])</f>
        <v>Komal</v>
      </c>
      <c r="J1228" s="7" t="str">
        <f>_xlfn.XLOOKUP(Order_Details[[#This Row],[Order ID]], List_of_orders[Order ID], List_of_orders[City])</f>
        <v>Lucknow</v>
      </c>
      <c r="K1228" s="8" t="str">
        <f>TEXT(Order_Details[[#This Row],[Order Date]], "YY-MMM")</f>
        <v>19-Feb</v>
      </c>
      <c r="L1228" s="11">
        <f>Order_Details[[#This Row],[Profit]]/Order_Details[[#This Row],[Amount]]</f>
        <v>0.44912280701754387</v>
      </c>
      <c r="M1228" s="8">
        <f>YEAR(Order_Details[[#This Row],[Order Date]])</f>
        <v>2019</v>
      </c>
      <c r="N1228" s="8">
        <f>ROUNDUP(MONTH(Order_Details[[#This Row],[Order Date]])/3, 0)</f>
        <v>1</v>
      </c>
    </row>
    <row r="1229" spans="1:14">
      <c r="A1229" s="1" t="s">
        <v>943</v>
      </c>
      <c r="B1229" s="1">
        <v>195</v>
      </c>
      <c r="C1229" s="1">
        <v>12</v>
      </c>
      <c r="D1229" s="1">
        <v>9</v>
      </c>
      <c r="E1229" s="1" t="s">
        <v>1076</v>
      </c>
      <c r="F1229" s="1" t="s">
        <v>1111</v>
      </c>
      <c r="G1229" s="7" t="str">
        <f>_xlfn.XLOOKUP(Order_Details[[#This Row],[Order ID]], List_of_orders[Order ID], List_of_orders[State])</f>
        <v>Uttar Pradesh</v>
      </c>
      <c r="H1229" s="10">
        <f>_xlfn.XLOOKUP(Order_Details[[#This Row],[Order ID]], List_of_orders[Order ID], List_of_orders[Order Date (Clean)])</f>
        <v>43506</v>
      </c>
      <c r="I1229" s="7" t="str">
        <f>_xlfn.XLOOKUP(Order_Details[[#This Row],[Order ID]], List_of_orders[Order ID], List_of_orders[CustomerName])</f>
        <v>Komal</v>
      </c>
      <c r="J1229" s="7" t="str">
        <f>_xlfn.XLOOKUP(Order_Details[[#This Row],[Order ID]], List_of_orders[Order ID], List_of_orders[City])</f>
        <v>Lucknow</v>
      </c>
      <c r="K1229" s="8" t="str">
        <f>TEXT(Order_Details[[#This Row],[Order Date]], "YY-MMM")</f>
        <v>19-Feb</v>
      </c>
      <c r="L1229" s="11">
        <f>Order_Details[[#This Row],[Profit]]/Order_Details[[#This Row],[Amount]]</f>
        <v>6.1538461538461542E-2</v>
      </c>
      <c r="M1229" s="8">
        <f>YEAR(Order_Details[[#This Row],[Order Date]])</f>
        <v>2019</v>
      </c>
      <c r="N1229" s="8">
        <f>ROUNDUP(MONTH(Order_Details[[#This Row],[Order Date]])/3, 0)</f>
        <v>1</v>
      </c>
    </row>
    <row r="1230" spans="1:14">
      <c r="A1230" s="1" t="s">
        <v>944</v>
      </c>
      <c r="B1230" s="1">
        <v>527</v>
      </c>
      <c r="C1230" s="1">
        <v>26</v>
      </c>
      <c r="D1230" s="1">
        <v>3</v>
      </c>
      <c r="E1230" s="1" t="s">
        <v>1077</v>
      </c>
      <c r="F1230" s="1" t="s">
        <v>1104</v>
      </c>
      <c r="G1230" s="7" t="str">
        <f>_xlfn.XLOOKUP(Order_Details[[#This Row],[Order ID]], List_of_orders[Order ID], List_of_orders[State])</f>
        <v>Bihar</v>
      </c>
      <c r="H1230" s="10">
        <f>_xlfn.XLOOKUP(Order_Details[[#This Row],[Order ID]], List_of_orders[Order ID], List_of_orders[Order Date (Clean)])</f>
        <v>43507</v>
      </c>
      <c r="I1230" s="7" t="str">
        <f>_xlfn.XLOOKUP(Order_Details[[#This Row],[Order ID]], List_of_orders[Order ID], List_of_orders[CustomerName])</f>
        <v>Kartikay</v>
      </c>
      <c r="J1230" s="7" t="str">
        <f>_xlfn.XLOOKUP(Order_Details[[#This Row],[Order ID]], List_of_orders[Order ID], List_of_orders[City])</f>
        <v>Patna</v>
      </c>
      <c r="K1230" s="8" t="str">
        <f>TEXT(Order_Details[[#This Row],[Order Date]], "YY-MMM")</f>
        <v>19-Feb</v>
      </c>
      <c r="L1230" s="11">
        <f>Order_Details[[#This Row],[Profit]]/Order_Details[[#This Row],[Amount]]</f>
        <v>4.9335863377609111E-2</v>
      </c>
      <c r="M1230" s="8">
        <f>YEAR(Order_Details[[#This Row],[Order Date]])</f>
        <v>2019</v>
      </c>
      <c r="N1230" s="8">
        <f>ROUNDUP(MONTH(Order_Details[[#This Row],[Order Date]])/3, 0)</f>
        <v>1</v>
      </c>
    </row>
    <row r="1231" spans="1:14">
      <c r="A1231" s="1" t="s">
        <v>944</v>
      </c>
      <c r="B1231" s="1">
        <v>29</v>
      </c>
      <c r="C1231" s="1">
        <v>3</v>
      </c>
      <c r="D1231" s="1">
        <v>2</v>
      </c>
      <c r="E1231" s="1" t="s">
        <v>1076</v>
      </c>
      <c r="F1231" s="1" t="s">
        <v>1102</v>
      </c>
      <c r="G1231" s="7" t="str">
        <f>_xlfn.XLOOKUP(Order_Details[[#This Row],[Order ID]], List_of_orders[Order ID], List_of_orders[State])</f>
        <v>Bihar</v>
      </c>
      <c r="H1231" s="10">
        <f>_xlfn.XLOOKUP(Order_Details[[#This Row],[Order ID]], List_of_orders[Order ID], List_of_orders[Order Date (Clean)])</f>
        <v>43507</v>
      </c>
      <c r="I1231" s="7" t="str">
        <f>_xlfn.XLOOKUP(Order_Details[[#This Row],[Order ID]], List_of_orders[Order ID], List_of_orders[CustomerName])</f>
        <v>Kartikay</v>
      </c>
      <c r="J1231" s="7" t="str">
        <f>_xlfn.XLOOKUP(Order_Details[[#This Row],[Order ID]], List_of_orders[Order ID], List_of_orders[City])</f>
        <v>Patna</v>
      </c>
      <c r="K1231" s="8" t="str">
        <f>TEXT(Order_Details[[#This Row],[Order Date]], "YY-MMM")</f>
        <v>19-Feb</v>
      </c>
      <c r="L1231" s="11">
        <f>Order_Details[[#This Row],[Profit]]/Order_Details[[#This Row],[Amount]]</f>
        <v>0.10344827586206896</v>
      </c>
      <c r="M1231" s="8">
        <f>YEAR(Order_Details[[#This Row],[Order Date]])</f>
        <v>2019</v>
      </c>
      <c r="N1231" s="8">
        <f>ROUNDUP(MONTH(Order_Details[[#This Row],[Order Date]])/3, 0)</f>
        <v>1</v>
      </c>
    </row>
    <row r="1232" spans="1:14">
      <c r="A1232" s="1" t="s">
        <v>944</v>
      </c>
      <c r="B1232" s="1">
        <v>85</v>
      </c>
      <c r="C1232" s="1">
        <v>13</v>
      </c>
      <c r="D1232" s="1">
        <v>2</v>
      </c>
      <c r="E1232" s="1" t="s">
        <v>1076</v>
      </c>
      <c r="F1232" s="1" t="s">
        <v>1111</v>
      </c>
      <c r="G1232" s="7" t="str">
        <f>_xlfn.XLOOKUP(Order_Details[[#This Row],[Order ID]], List_of_orders[Order ID], List_of_orders[State])</f>
        <v>Bihar</v>
      </c>
      <c r="H1232" s="10">
        <f>_xlfn.XLOOKUP(Order_Details[[#This Row],[Order ID]], List_of_orders[Order ID], List_of_orders[Order Date (Clean)])</f>
        <v>43507</v>
      </c>
      <c r="I1232" s="7" t="str">
        <f>_xlfn.XLOOKUP(Order_Details[[#This Row],[Order ID]], List_of_orders[Order ID], List_of_orders[CustomerName])</f>
        <v>Kartikay</v>
      </c>
      <c r="J1232" s="7" t="str">
        <f>_xlfn.XLOOKUP(Order_Details[[#This Row],[Order ID]], List_of_orders[Order ID], List_of_orders[City])</f>
        <v>Patna</v>
      </c>
      <c r="K1232" s="8" t="str">
        <f>TEXT(Order_Details[[#This Row],[Order Date]], "YY-MMM")</f>
        <v>19-Feb</v>
      </c>
      <c r="L1232" s="11">
        <f>Order_Details[[#This Row],[Profit]]/Order_Details[[#This Row],[Amount]]</f>
        <v>0.15294117647058825</v>
      </c>
      <c r="M1232" s="8">
        <f>YEAR(Order_Details[[#This Row],[Order Date]])</f>
        <v>2019</v>
      </c>
      <c r="N1232" s="8">
        <f>ROUNDUP(MONTH(Order_Details[[#This Row],[Order Date]])/3, 0)</f>
        <v>1</v>
      </c>
    </row>
    <row r="1233" spans="1:14">
      <c r="A1233" s="1" t="s">
        <v>944</v>
      </c>
      <c r="B1233" s="1">
        <v>18</v>
      </c>
      <c r="C1233" s="1">
        <v>2</v>
      </c>
      <c r="D1233" s="1">
        <v>3</v>
      </c>
      <c r="E1233" s="1" t="s">
        <v>1076</v>
      </c>
      <c r="F1233" s="1" t="s">
        <v>1103</v>
      </c>
      <c r="G1233" s="7" t="str">
        <f>_xlfn.XLOOKUP(Order_Details[[#This Row],[Order ID]], List_of_orders[Order ID], List_of_orders[State])</f>
        <v>Bihar</v>
      </c>
      <c r="H1233" s="10">
        <f>_xlfn.XLOOKUP(Order_Details[[#This Row],[Order ID]], List_of_orders[Order ID], List_of_orders[Order Date (Clean)])</f>
        <v>43507</v>
      </c>
      <c r="I1233" s="7" t="str">
        <f>_xlfn.XLOOKUP(Order_Details[[#This Row],[Order ID]], List_of_orders[Order ID], List_of_orders[CustomerName])</f>
        <v>Kartikay</v>
      </c>
      <c r="J1233" s="7" t="str">
        <f>_xlfn.XLOOKUP(Order_Details[[#This Row],[Order ID]], List_of_orders[Order ID], List_of_orders[City])</f>
        <v>Patna</v>
      </c>
      <c r="K1233" s="8" t="str">
        <f>TEXT(Order_Details[[#This Row],[Order Date]], "YY-MMM")</f>
        <v>19-Feb</v>
      </c>
      <c r="L1233" s="11">
        <f>Order_Details[[#This Row],[Profit]]/Order_Details[[#This Row],[Amount]]</f>
        <v>0.1111111111111111</v>
      </c>
      <c r="M1233" s="8">
        <f>YEAR(Order_Details[[#This Row],[Order Date]])</f>
        <v>2019</v>
      </c>
      <c r="N1233" s="8">
        <f>ROUNDUP(MONTH(Order_Details[[#This Row],[Order Date]])/3, 0)</f>
        <v>1</v>
      </c>
    </row>
    <row r="1234" spans="1:14">
      <c r="A1234" s="1" t="s">
        <v>944</v>
      </c>
      <c r="B1234" s="1">
        <v>176</v>
      </c>
      <c r="C1234" s="1">
        <v>-13</v>
      </c>
      <c r="D1234" s="1">
        <v>5</v>
      </c>
      <c r="E1234" s="1" t="s">
        <v>1075</v>
      </c>
      <c r="F1234" s="1" t="s">
        <v>1116</v>
      </c>
      <c r="G1234" s="7" t="str">
        <f>_xlfn.XLOOKUP(Order_Details[[#This Row],[Order ID]], List_of_orders[Order ID], List_of_orders[State])</f>
        <v>Bihar</v>
      </c>
      <c r="H1234" s="10">
        <f>_xlfn.XLOOKUP(Order_Details[[#This Row],[Order ID]], List_of_orders[Order ID], List_of_orders[Order Date (Clean)])</f>
        <v>43507</v>
      </c>
      <c r="I1234" s="7" t="str">
        <f>_xlfn.XLOOKUP(Order_Details[[#This Row],[Order ID]], List_of_orders[Order ID], List_of_orders[CustomerName])</f>
        <v>Kartikay</v>
      </c>
      <c r="J1234" s="7" t="str">
        <f>_xlfn.XLOOKUP(Order_Details[[#This Row],[Order ID]], List_of_orders[Order ID], List_of_orders[City])</f>
        <v>Patna</v>
      </c>
      <c r="K1234" s="8" t="str">
        <f>TEXT(Order_Details[[#This Row],[Order Date]], "YY-MMM")</f>
        <v>19-Feb</v>
      </c>
      <c r="L1234" s="11">
        <f>Order_Details[[#This Row],[Profit]]/Order_Details[[#This Row],[Amount]]</f>
        <v>-7.3863636363636367E-2</v>
      </c>
      <c r="M1234" s="8">
        <f>YEAR(Order_Details[[#This Row],[Order Date]])</f>
        <v>2019</v>
      </c>
      <c r="N1234" s="8">
        <f>ROUNDUP(MONTH(Order_Details[[#This Row],[Order Date]])/3, 0)</f>
        <v>1</v>
      </c>
    </row>
    <row r="1235" spans="1:14">
      <c r="A1235" s="1" t="s">
        <v>944</v>
      </c>
      <c r="B1235" s="1">
        <v>55</v>
      </c>
      <c r="C1235" s="1">
        <v>3</v>
      </c>
      <c r="D1235" s="1">
        <v>3</v>
      </c>
      <c r="E1235" s="1" t="s">
        <v>1076</v>
      </c>
      <c r="F1235" s="1" t="s">
        <v>1110</v>
      </c>
      <c r="G1235" s="7" t="str">
        <f>_xlfn.XLOOKUP(Order_Details[[#This Row],[Order ID]], List_of_orders[Order ID], List_of_orders[State])</f>
        <v>Bihar</v>
      </c>
      <c r="H1235" s="10">
        <f>_xlfn.XLOOKUP(Order_Details[[#This Row],[Order ID]], List_of_orders[Order ID], List_of_orders[Order Date (Clean)])</f>
        <v>43507</v>
      </c>
      <c r="I1235" s="7" t="str">
        <f>_xlfn.XLOOKUP(Order_Details[[#This Row],[Order ID]], List_of_orders[Order ID], List_of_orders[CustomerName])</f>
        <v>Kartikay</v>
      </c>
      <c r="J1235" s="7" t="str">
        <f>_xlfn.XLOOKUP(Order_Details[[#This Row],[Order ID]], List_of_orders[Order ID], List_of_orders[City])</f>
        <v>Patna</v>
      </c>
      <c r="K1235" s="8" t="str">
        <f>TEXT(Order_Details[[#This Row],[Order Date]], "YY-MMM")</f>
        <v>19-Feb</v>
      </c>
      <c r="L1235" s="11">
        <f>Order_Details[[#This Row],[Profit]]/Order_Details[[#This Row],[Amount]]</f>
        <v>5.4545454545454543E-2</v>
      </c>
      <c r="M1235" s="8">
        <f>YEAR(Order_Details[[#This Row],[Order Date]])</f>
        <v>2019</v>
      </c>
      <c r="N1235" s="8">
        <f>ROUNDUP(MONTH(Order_Details[[#This Row],[Order Date]])/3, 0)</f>
        <v>1</v>
      </c>
    </row>
    <row r="1236" spans="1:14">
      <c r="A1236" s="1" t="s">
        <v>946</v>
      </c>
      <c r="B1236" s="1">
        <v>93</v>
      </c>
      <c r="C1236" s="1">
        <v>44</v>
      </c>
      <c r="D1236" s="1">
        <v>2</v>
      </c>
      <c r="E1236" s="1" t="s">
        <v>1076</v>
      </c>
      <c r="F1236" s="1" t="s">
        <v>1102</v>
      </c>
      <c r="G1236" s="7" t="str">
        <f>_xlfn.XLOOKUP(Order_Details[[#This Row],[Order ID]], List_of_orders[Order ID], List_of_orders[State])</f>
        <v>Gujarat</v>
      </c>
      <c r="H1236" s="10">
        <f>_xlfn.XLOOKUP(Order_Details[[#This Row],[Order ID]], List_of_orders[Order ID], List_of_orders[Order Date (Clean)])</f>
        <v>43508</v>
      </c>
      <c r="I1236" s="7" t="str">
        <f>_xlfn.XLOOKUP(Order_Details[[#This Row],[Order ID]], List_of_orders[Order ID], List_of_orders[CustomerName])</f>
        <v>Bharat</v>
      </c>
      <c r="J1236" s="7" t="str">
        <f>_xlfn.XLOOKUP(Order_Details[[#This Row],[Order ID]], List_of_orders[Order ID], List_of_orders[City])</f>
        <v>Ahmedabad</v>
      </c>
      <c r="K1236" s="8" t="str">
        <f>TEXT(Order_Details[[#This Row],[Order Date]], "YY-MMM")</f>
        <v>19-Feb</v>
      </c>
      <c r="L1236" s="11">
        <f>Order_Details[[#This Row],[Profit]]/Order_Details[[#This Row],[Amount]]</f>
        <v>0.4731182795698925</v>
      </c>
      <c r="M1236" s="8">
        <f>YEAR(Order_Details[[#This Row],[Order Date]])</f>
        <v>2019</v>
      </c>
      <c r="N1236" s="8">
        <f>ROUNDUP(MONTH(Order_Details[[#This Row],[Order Date]])/3, 0)</f>
        <v>1</v>
      </c>
    </row>
    <row r="1237" spans="1:14">
      <c r="A1237" s="1" t="s">
        <v>947</v>
      </c>
      <c r="B1237" s="1">
        <v>21</v>
      </c>
      <c r="C1237" s="1">
        <v>8</v>
      </c>
      <c r="D1237" s="1">
        <v>2</v>
      </c>
      <c r="E1237" s="1" t="s">
        <v>1076</v>
      </c>
      <c r="F1237" s="1" t="s">
        <v>1106</v>
      </c>
      <c r="G1237" s="7" t="str">
        <f>_xlfn.XLOOKUP(Order_Details[[#This Row],[Order ID]], List_of_orders[Order ID], List_of_orders[State])</f>
        <v>Maharashtra</v>
      </c>
      <c r="H1237" s="10">
        <f>_xlfn.XLOOKUP(Order_Details[[#This Row],[Order ID]], List_of_orders[Order ID], List_of_orders[Order Date (Clean)])</f>
        <v>43509</v>
      </c>
      <c r="I1237" s="7" t="str">
        <f>_xlfn.XLOOKUP(Order_Details[[#This Row],[Order ID]], List_of_orders[Order ID], List_of_orders[CustomerName])</f>
        <v>Pearl</v>
      </c>
      <c r="J1237" s="7" t="str">
        <f>_xlfn.XLOOKUP(Order_Details[[#This Row],[Order ID]], List_of_orders[Order ID], List_of_orders[City])</f>
        <v>Pune</v>
      </c>
      <c r="K1237" s="8" t="str">
        <f>TEXT(Order_Details[[#This Row],[Order Date]], "YY-MMM")</f>
        <v>19-Feb</v>
      </c>
      <c r="L1237" s="11">
        <f>Order_Details[[#This Row],[Profit]]/Order_Details[[#This Row],[Amount]]</f>
        <v>0.38095238095238093</v>
      </c>
      <c r="M1237" s="8">
        <f>YEAR(Order_Details[[#This Row],[Order Date]])</f>
        <v>2019</v>
      </c>
      <c r="N1237" s="8">
        <f>ROUNDUP(MONTH(Order_Details[[#This Row],[Order Date]])/3, 0)</f>
        <v>1</v>
      </c>
    </row>
    <row r="1238" spans="1:14">
      <c r="A1238" s="1" t="s">
        <v>949</v>
      </c>
      <c r="B1238" s="1">
        <v>29</v>
      </c>
      <c r="C1238" s="1">
        <v>10</v>
      </c>
      <c r="D1238" s="1">
        <v>3</v>
      </c>
      <c r="E1238" s="1" t="s">
        <v>1076</v>
      </c>
      <c r="F1238" s="1" t="s">
        <v>1117</v>
      </c>
      <c r="G1238" s="7" t="str">
        <f>_xlfn.XLOOKUP(Order_Details[[#This Row],[Order ID]], List_of_orders[Order ID], List_of_orders[State])</f>
        <v>Madhya Pradesh</v>
      </c>
      <c r="H1238" s="10">
        <f>_xlfn.XLOOKUP(Order_Details[[#This Row],[Order ID]], List_of_orders[Order ID], List_of_orders[Order Date (Clean)])</f>
        <v>43509</v>
      </c>
      <c r="I1238" s="7" t="str">
        <f>_xlfn.XLOOKUP(Order_Details[[#This Row],[Order ID]], List_of_orders[Order ID], List_of_orders[CustomerName])</f>
        <v>Jahan</v>
      </c>
      <c r="J1238" s="7" t="str">
        <f>_xlfn.XLOOKUP(Order_Details[[#This Row],[Order ID]], List_of_orders[Order ID], List_of_orders[City])</f>
        <v>Bhopal</v>
      </c>
      <c r="K1238" s="8" t="str">
        <f>TEXT(Order_Details[[#This Row],[Order Date]], "YY-MMM")</f>
        <v>19-Feb</v>
      </c>
      <c r="L1238" s="11">
        <f>Order_Details[[#This Row],[Profit]]/Order_Details[[#This Row],[Amount]]</f>
        <v>0.34482758620689657</v>
      </c>
      <c r="M1238" s="8">
        <f>YEAR(Order_Details[[#This Row],[Order Date]])</f>
        <v>2019</v>
      </c>
      <c r="N1238" s="8">
        <f>ROUNDUP(MONTH(Order_Details[[#This Row],[Order Date]])/3, 0)</f>
        <v>1</v>
      </c>
    </row>
    <row r="1239" spans="1:14">
      <c r="A1239" s="1" t="s">
        <v>950</v>
      </c>
      <c r="B1239" s="1">
        <v>406</v>
      </c>
      <c r="C1239" s="1">
        <v>97</v>
      </c>
      <c r="D1239" s="1">
        <v>7</v>
      </c>
      <c r="E1239" s="1" t="s">
        <v>1075</v>
      </c>
      <c r="F1239" s="1" t="s">
        <v>1108</v>
      </c>
      <c r="G1239" s="7" t="str">
        <f>_xlfn.XLOOKUP(Order_Details[[#This Row],[Order ID]], List_of_orders[Order ID], List_of_orders[State])</f>
        <v>Rajasthan</v>
      </c>
      <c r="H1239" s="10">
        <f>_xlfn.XLOOKUP(Order_Details[[#This Row],[Order ID]], List_of_orders[Order ID], List_of_orders[Order Date (Clean)])</f>
        <v>43509</v>
      </c>
      <c r="I1239" s="7" t="str">
        <f>_xlfn.XLOOKUP(Order_Details[[#This Row],[Order ID]], List_of_orders[Order ID], List_of_orders[CustomerName])</f>
        <v>Divsha</v>
      </c>
      <c r="J1239" s="7" t="str">
        <f>_xlfn.XLOOKUP(Order_Details[[#This Row],[Order ID]], List_of_orders[Order ID], List_of_orders[City])</f>
        <v>Jaipur</v>
      </c>
      <c r="K1239" s="8" t="str">
        <f>TEXT(Order_Details[[#This Row],[Order Date]], "YY-MMM")</f>
        <v>19-Feb</v>
      </c>
      <c r="L1239" s="11">
        <f>Order_Details[[#This Row],[Profit]]/Order_Details[[#This Row],[Amount]]</f>
        <v>0.23891625615763548</v>
      </c>
      <c r="M1239" s="8">
        <f>YEAR(Order_Details[[#This Row],[Order Date]])</f>
        <v>2019</v>
      </c>
      <c r="N1239" s="8">
        <f>ROUNDUP(MONTH(Order_Details[[#This Row],[Order Date]])/3, 0)</f>
        <v>1</v>
      </c>
    </row>
    <row r="1240" spans="1:14">
      <c r="A1240" s="1" t="s">
        <v>950</v>
      </c>
      <c r="B1240" s="1">
        <v>278</v>
      </c>
      <c r="C1240" s="1">
        <v>39</v>
      </c>
      <c r="D1240" s="1">
        <v>5</v>
      </c>
      <c r="E1240" s="1" t="s">
        <v>1075</v>
      </c>
      <c r="F1240" s="1" t="s">
        <v>1108</v>
      </c>
      <c r="G1240" s="7" t="str">
        <f>_xlfn.XLOOKUP(Order_Details[[#This Row],[Order ID]], List_of_orders[Order ID], List_of_orders[State])</f>
        <v>Rajasthan</v>
      </c>
      <c r="H1240" s="10">
        <f>_xlfn.XLOOKUP(Order_Details[[#This Row],[Order ID]], List_of_orders[Order ID], List_of_orders[Order Date (Clean)])</f>
        <v>43509</v>
      </c>
      <c r="I1240" s="7" t="str">
        <f>_xlfn.XLOOKUP(Order_Details[[#This Row],[Order ID]], List_of_orders[Order ID], List_of_orders[CustomerName])</f>
        <v>Divsha</v>
      </c>
      <c r="J1240" s="7" t="str">
        <f>_xlfn.XLOOKUP(Order_Details[[#This Row],[Order ID]], List_of_orders[Order ID], List_of_orders[City])</f>
        <v>Jaipur</v>
      </c>
      <c r="K1240" s="8" t="str">
        <f>TEXT(Order_Details[[#This Row],[Order Date]], "YY-MMM")</f>
        <v>19-Feb</v>
      </c>
      <c r="L1240" s="11">
        <f>Order_Details[[#This Row],[Profit]]/Order_Details[[#This Row],[Amount]]</f>
        <v>0.14028776978417265</v>
      </c>
      <c r="M1240" s="8">
        <f>YEAR(Order_Details[[#This Row],[Order Date]])</f>
        <v>2019</v>
      </c>
      <c r="N1240" s="8">
        <f>ROUNDUP(MONTH(Order_Details[[#This Row],[Order Date]])/3, 0)</f>
        <v>1</v>
      </c>
    </row>
    <row r="1241" spans="1:14">
      <c r="A1241" s="1" t="s">
        <v>951</v>
      </c>
      <c r="B1241" s="1">
        <v>128</v>
      </c>
      <c r="C1241" s="1">
        <v>55</v>
      </c>
      <c r="D1241" s="1">
        <v>1</v>
      </c>
      <c r="E1241" s="1" t="s">
        <v>1076</v>
      </c>
      <c r="F1241" s="1" t="s">
        <v>1106</v>
      </c>
      <c r="G1241" s="7" t="str">
        <f>_xlfn.XLOOKUP(Order_Details[[#This Row],[Order ID]], List_of_orders[Order ID], List_of_orders[State])</f>
        <v>West Bengal</v>
      </c>
      <c r="H1241" s="10">
        <f>_xlfn.XLOOKUP(Order_Details[[#This Row],[Order ID]], List_of_orders[Order ID], List_of_orders[Order Date (Clean)])</f>
        <v>43510</v>
      </c>
      <c r="I1241" s="7" t="str">
        <f>_xlfn.XLOOKUP(Order_Details[[#This Row],[Order ID]], List_of_orders[Order ID], List_of_orders[CustomerName])</f>
        <v>Kasheen</v>
      </c>
      <c r="J1241" s="7" t="str">
        <f>_xlfn.XLOOKUP(Order_Details[[#This Row],[Order ID]], List_of_orders[Order ID], List_of_orders[City])</f>
        <v>Kolkata</v>
      </c>
      <c r="K1241" s="8" t="str">
        <f>TEXT(Order_Details[[#This Row],[Order Date]], "YY-MMM")</f>
        <v>19-Feb</v>
      </c>
      <c r="L1241" s="11">
        <f>Order_Details[[#This Row],[Profit]]/Order_Details[[#This Row],[Amount]]</f>
        <v>0.4296875</v>
      </c>
      <c r="M1241" s="8">
        <f>YEAR(Order_Details[[#This Row],[Order Date]])</f>
        <v>2019</v>
      </c>
      <c r="N1241" s="8">
        <f>ROUNDUP(MONTH(Order_Details[[#This Row],[Order Date]])/3, 0)</f>
        <v>1</v>
      </c>
    </row>
    <row r="1242" spans="1:14">
      <c r="A1242" s="1" t="s">
        <v>953</v>
      </c>
      <c r="B1242" s="1">
        <v>74</v>
      </c>
      <c r="C1242" s="1">
        <v>9</v>
      </c>
      <c r="D1242" s="1">
        <v>3</v>
      </c>
      <c r="E1242" s="1" t="s">
        <v>1076</v>
      </c>
      <c r="F1242" s="1" t="s">
        <v>1111</v>
      </c>
      <c r="G1242" s="7" t="str">
        <f>_xlfn.XLOOKUP(Order_Details[[#This Row],[Order ID]], List_of_orders[Order ID], List_of_orders[State])</f>
        <v>Karnataka</v>
      </c>
      <c r="H1242" s="10">
        <f>_xlfn.XLOOKUP(Order_Details[[#This Row],[Order ID]], List_of_orders[Order ID], List_of_orders[Order Date (Clean)])</f>
        <v>43510</v>
      </c>
      <c r="I1242" s="7" t="str">
        <f>_xlfn.XLOOKUP(Order_Details[[#This Row],[Order ID]], List_of_orders[Order ID], List_of_orders[CustomerName])</f>
        <v>Hazel</v>
      </c>
      <c r="J1242" s="7" t="str">
        <f>_xlfn.XLOOKUP(Order_Details[[#This Row],[Order ID]], List_of_orders[Order ID], List_of_orders[City])</f>
        <v>Bangalore</v>
      </c>
      <c r="K1242" s="8" t="str">
        <f>TEXT(Order_Details[[#This Row],[Order Date]], "YY-MMM")</f>
        <v>19-Feb</v>
      </c>
      <c r="L1242" s="11">
        <f>Order_Details[[#This Row],[Profit]]/Order_Details[[#This Row],[Amount]]</f>
        <v>0.12162162162162163</v>
      </c>
      <c r="M1242" s="8">
        <f>YEAR(Order_Details[[#This Row],[Order Date]])</f>
        <v>2019</v>
      </c>
      <c r="N1242" s="8">
        <f>ROUNDUP(MONTH(Order_Details[[#This Row],[Order Date]])/3, 0)</f>
        <v>1</v>
      </c>
    </row>
    <row r="1243" spans="1:14">
      <c r="A1243" s="1" t="s">
        <v>953</v>
      </c>
      <c r="B1243" s="1">
        <v>202</v>
      </c>
      <c r="C1243" s="1">
        <v>4</v>
      </c>
      <c r="D1243" s="1">
        <v>4</v>
      </c>
      <c r="E1243" s="1" t="s">
        <v>1076</v>
      </c>
      <c r="F1243" s="1" t="s">
        <v>1103</v>
      </c>
      <c r="G1243" s="7" t="str">
        <f>_xlfn.XLOOKUP(Order_Details[[#This Row],[Order ID]], List_of_orders[Order ID], List_of_orders[State])</f>
        <v>Karnataka</v>
      </c>
      <c r="H1243" s="10">
        <f>_xlfn.XLOOKUP(Order_Details[[#This Row],[Order ID]], List_of_orders[Order ID], List_of_orders[Order Date (Clean)])</f>
        <v>43510</v>
      </c>
      <c r="I1243" s="7" t="str">
        <f>_xlfn.XLOOKUP(Order_Details[[#This Row],[Order ID]], List_of_orders[Order ID], List_of_orders[CustomerName])</f>
        <v>Hazel</v>
      </c>
      <c r="J1243" s="7" t="str">
        <f>_xlfn.XLOOKUP(Order_Details[[#This Row],[Order ID]], List_of_orders[Order ID], List_of_orders[City])</f>
        <v>Bangalore</v>
      </c>
      <c r="K1243" s="8" t="str">
        <f>TEXT(Order_Details[[#This Row],[Order Date]], "YY-MMM")</f>
        <v>19-Feb</v>
      </c>
      <c r="L1243" s="11">
        <f>Order_Details[[#This Row],[Profit]]/Order_Details[[#This Row],[Amount]]</f>
        <v>1.9801980198019802E-2</v>
      </c>
      <c r="M1243" s="8">
        <f>YEAR(Order_Details[[#This Row],[Order Date]])</f>
        <v>2019</v>
      </c>
      <c r="N1243" s="8">
        <f>ROUNDUP(MONTH(Order_Details[[#This Row],[Order Date]])/3, 0)</f>
        <v>1</v>
      </c>
    </row>
    <row r="1244" spans="1:14">
      <c r="A1244" s="1" t="s">
        <v>953</v>
      </c>
      <c r="B1244" s="1">
        <v>429</v>
      </c>
      <c r="C1244" s="1">
        <v>61</v>
      </c>
      <c r="D1244" s="1">
        <v>3</v>
      </c>
      <c r="E1244" s="1" t="s">
        <v>1077</v>
      </c>
      <c r="F1244" s="1" t="s">
        <v>1104</v>
      </c>
      <c r="G1244" s="7" t="str">
        <f>_xlfn.XLOOKUP(Order_Details[[#This Row],[Order ID]], List_of_orders[Order ID], List_of_orders[State])</f>
        <v>Karnataka</v>
      </c>
      <c r="H1244" s="10">
        <f>_xlfn.XLOOKUP(Order_Details[[#This Row],[Order ID]], List_of_orders[Order ID], List_of_orders[Order Date (Clean)])</f>
        <v>43510</v>
      </c>
      <c r="I1244" s="7" t="str">
        <f>_xlfn.XLOOKUP(Order_Details[[#This Row],[Order ID]], List_of_orders[Order ID], List_of_orders[CustomerName])</f>
        <v>Hazel</v>
      </c>
      <c r="J1244" s="7" t="str">
        <f>_xlfn.XLOOKUP(Order_Details[[#This Row],[Order ID]], List_of_orders[Order ID], List_of_orders[City])</f>
        <v>Bangalore</v>
      </c>
      <c r="K1244" s="8" t="str">
        <f>TEXT(Order_Details[[#This Row],[Order Date]], "YY-MMM")</f>
        <v>19-Feb</v>
      </c>
      <c r="L1244" s="11">
        <f>Order_Details[[#This Row],[Profit]]/Order_Details[[#This Row],[Amount]]</f>
        <v>0.14219114219114218</v>
      </c>
      <c r="M1244" s="8">
        <f>YEAR(Order_Details[[#This Row],[Order Date]])</f>
        <v>2019</v>
      </c>
      <c r="N1244" s="8">
        <f>ROUNDUP(MONTH(Order_Details[[#This Row],[Order Date]])/3, 0)</f>
        <v>1</v>
      </c>
    </row>
    <row r="1245" spans="1:14">
      <c r="A1245" s="1" t="s">
        <v>953</v>
      </c>
      <c r="B1245" s="1">
        <v>134</v>
      </c>
      <c r="C1245" s="1">
        <v>-13</v>
      </c>
      <c r="D1245" s="1">
        <v>3</v>
      </c>
      <c r="E1245" s="1" t="s">
        <v>1077</v>
      </c>
      <c r="F1245" s="1" t="s">
        <v>1104</v>
      </c>
      <c r="G1245" s="7" t="str">
        <f>_xlfn.XLOOKUP(Order_Details[[#This Row],[Order ID]], List_of_orders[Order ID], List_of_orders[State])</f>
        <v>Karnataka</v>
      </c>
      <c r="H1245" s="10">
        <f>_xlfn.XLOOKUP(Order_Details[[#This Row],[Order ID]], List_of_orders[Order ID], List_of_orders[Order Date (Clean)])</f>
        <v>43510</v>
      </c>
      <c r="I1245" s="7" t="str">
        <f>_xlfn.XLOOKUP(Order_Details[[#This Row],[Order ID]], List_of_orders[Order ID], List_of_orders[CustomerName])</f>
        <v>Hazel</v>
      </c>
      <c r="J1245" s="7" t="str">
        <f>_xlfn.XLOOKUP(Order_Details[[#This Row],[Order ID]], List_of_orders[Order ID], List_of_orders[City])</f>
        <v>Bangalore</v>
      </c>
      <c r="K1245" s="8" t="str">
        <f>TEXT(Order_Details[[#This Row],[Order Date]], "YY-MMM")</f>
        <v>19-Feb</v>
      </c>
      <c r="L1245" s="11">
        <f>Order_Details[[#This Row],[Profit]]/Order_Details[[#This Row],[Amount]]</f>
        <v>-9.7014925373134331E-2</v>
      </c>
      <c r="M1245" s="8">
        <f>YEAR(Order_Details[[#This Row],[Order Date]])</f>
        <v>2019</v>
      </c>
      <c r="N1245" s="8">
        <f>ROUNDUP(MONTH(Order_Details[[#This Row],[Order Date]])/3, 0)</f>
        <v>1</v>
      </c>
    </row>
    <row r="1246" spans="1:14">
      <c r="A1246" s="1" t="s">
        <v>954</v>
      </c>
      <c r="B1246" s="1">
        <v>78</v>
      </c>
      <c r="C1246" s="1">
        <v>7</v>
      </c>
      <c r="D1246" s="1">
        <v>1</v>
      </c>
      <c r="E1246" s="1" t="s">
        <v>1075</v>
      </c>
      <c r="F1246" s="1" t="s">
        <v>1108</v>
      </c>
      <c r="G1246" s="7" t="str">
        <f>_xlfn.XLOOKUP(Order_Details[[#This Row],[Order ID]], List_of_orders[Order ID], List_of_orders[State])</f>
        <v>Jammu and Kashmir</v>
      </c>
      <c r="H1246" s="10">
        <f>_xlfn.XLOOKUP(Order_Details[[#This Row],[Order ID]], List_of_orders[Order ID], List_of_orders[Order Date (Clean)])</f>
        <v>43510</v>
      </c>
      <c r="I1246" s="7" t="str">
        <f>_xlfn.XLOOKUP(Order_Details[[#This Row],[Order ID]], List_of_orders[Order ID], List_of_orders[CustomerName])</f>
        <v>Sonakshi</v>
      </c>
      <c r="J1246" s="7" t="str">
        <f>_xlfn.XLOOKUP(Order_Details[[#This Row],[Order ID]], List_of_orders[Order ID], List_of_orders[City])</f>
        <v>Kashmir</v>
      </c>
      <c r="K1246" s="8" t="str">
        <f>TEXT(Order_Details[[#This Row],[Order Date]], "YY-MMM")</f>
        <v>19-Feb</v>
      </c>
      <c r="L1246" s="11">
        <f>Order_Details[[#This Row],[Profit]]/Order_Details[[#This Row],[Amount]]</f>
        <v>8.9743589743589744E-2</v>
      </c>
      <c r="M1246" s="8">
        <f>YEAR(Order_Details[[#This Row],[Order Date]])</f>
        <v>2019</v>
      </c>
      <c r="N1246" s="8">
        <f>ROUNDUP(MONTH(Order_Details[[#This Row],[Order Date]])/3, 0)</f>
        <v>1</v>
      </c>
    </row>
    <row r="1247" spans="1:14">
      <c r="A1247" s="1" t="s">
        <v>955</v>
      </c>
      <c r="B1247" s="1">
        <v>326</v>
      </c>
      <c r="C1247" s="1">
        <v>107</v>
      </c>
      <c r="D1247" s="1">
        <v>3</v>
      </c>
      <c r="E1247" s="1" t="s">
        <v>1075</v>
      </c>
      <c r="F1247" s="1" t="s">
        <v>1116</v>
      </c>
      <c r="G1247" s="7" t="str">
        <f>_xlfn.XLOOKUP(Order_Details[[#This Row],[Order ID]], List_of_orders[Order ID], List_of_orders[State])</f>
        <v>Tamil Nadu</v>
      </c>
      <c r="H1247" s="10">
        <f>_xlfn.XLOOKUP(Order_Details[[#This Row],[Order ID]], List_of_orders[Order ID], List_of_orders[Order Date (Clean)])</f>
        <v>43510</v>
      </c>
      <c r="I1247" s="7" t="str">
        <f>_xlfn.XLOOKUP(Order_Details[[#This Row],[Order ID]], List_of_orders[Order ID], List_of_orders[CustomerName])</f>
        <v>Aarushi</v>
      </c>
      <c r="J1247" s="7" t="str">
        <f>_xlfn.XLOOKUP(Order_Details[[#This Row],[Order ID]], List_of_orders[Order ID], List_of_orders[City])</f>
        <v>Chennai</v>
      </c>
      <c r="K1247" s="8" t="str">
        <f>TEXT(Order_Details[[#This Row],[Order Date]], "YY-MMM")</f>
        <v>19-Feb</v>
      </c>
      <c r="L1247" s="11">
        <f>Order_Details[[#This Row],[Profit]]/Order_Details[[#This Row],[Amount]]</f>
        <v>0.32822085889570551</v>
      </c>
      <c r="M1247" s="8">
        <f>YEAR(Order_Details[[#This Row],[Order Date]])</f>
        <v>2019</v>
      </c>
      <c r="N1247" s="8">
        <f>ROUNDUP(MONTH(Order_Details[[#This Row],[Order Date]])/3, 0)</f>
        <v>1</v>
      </c>
    </row>
    <row r="1248" spans="1:14">
      <c r="A1248" s="1" t="s">
        <v>955</v>
      </c>
      <c r="B1248" s="1">
        <v>61</v>
      </c>
      <c r="C1248" s="1">
        <v>8</v>
      </c>
      <c r="D1248" s="1">
        <v>4</v>
      </c>
      <c r="E1248" s="1" t="s">
        <v>1076</v>
      </c>
      <c r="F1248" s="1" t="s">
        <v>1103</v>
      </c>
      <c r="G1248" s="7" t="str">
        <f>_xlfn.XLOOKUP(Order_Details[[#This Row],[Order ID]], List_of_orders[Order ID], List_of_orders[State])</f>
        <v>Tamil Nadu</v>
      </c>
      <c r="H1248" s="10">
        <f>_xlfn.XLOOKUP(Order_Details[[#This Row],[Order ID]], List_of_orders[Order ID], List_of_orders[Order Date (Clean)])</f>
        <v>43510</v>
      </c>
      <c r="I1248" s="7" t="str">
        <f>_xlfn.XLOOKUP(Order_Details[[#This Row],[Order ID]], List_of_orders[Order ID], List_of_orders[CustomerName])</f>
        <v>Aarushi</v>
      </c>
      <c r="J1248" s="7" t="str">
        <f>_xlfn.XLOOKUP(Order_Details[[#This Row],[Order ID]], List_of_orders[Order ID], List_of_orders[City])</f>
        <v>Chennai</v>
      </c>
      <c r="K1248" s="8" t="str">
        <f>TEXT(Order_Details[[#This Row],[Order Date]], "YY-MMM")</f>
        <v>19-Feb</v>
      </c>
      <c r="L1248" s="11">
        <f>Order_Details[[#This Row],[Profit]]/Order_Details[[#This Row],[Amount]]</f>
        <v>0.13114754098360656</v>
      </c>
      <c r="M1248" s="8">
        <f>YEAR(Order_Details[[#This Row],[Order Date]])</f>
        <v>2019</v>
      </c>
      <c r="N1248" s="8">
        <f>ROUNDUP(MONTH(Order_Details[[#This Row],[Order Date]])/3, 0)</f>
        <v>1</v>
      </c>
    </row>
    <row r="1249" spans="1:14">
      <c r="A1249" s="1" t="s">
        <v>956</v>
      </c>
      <c r="B1249" s="1">
        <v>585</v>
      </c>
      <c r="C1249" s="1">
        <v>175</v>
      </c>
      <c r="D1249" s="1">
        <v>13</v>
      </c>
      <c r="E1249" s="1" t="s">
        <v>1076</v>
      </c>
      <c r="F1249" s="1" t="s">
        <v>1110</v>
      </c>
      <c r="G1249" s="7" t="str">
        <f>_xlfn.XLOOKUP(Order_Details[[#This Row],[Order ID]], List_of_orders[Order ID], List_of_orders[State])</f>
        <v>Uttar Pradesh</v>
      </c>
      <c r="H1249" s="10">
        <f>_xlfn.XLOOKUP(Order_Details[[#This Row],[Order ID]], List_of_orders[Order ID], List_of_orders[Order Date (Clean)])</f>
        <v>43511</v>
      </c>
      <c r="I1249" s="7" t="str">
        <f>_xlfn.XLOOKUP(Order_Details[[#This Row],[Order ID]], List_of_orders[Order ID], List_of_orders[CustomerName])</f>
        <v>Jitesh</v>
      </c>
      <c r="J1249" s="7" t="str">
        <f>_xlfn.XLOOKUP(Order_Details[[#This Row],[Order ID]], List_of_orders[Order ID], List_of_orders[City])</f>
        <v>Lucknow</v>
      </c>
      <c r="K1249" s="8" t="str">
        <f>TEXT(Order_Details[[#This Row],[Order Date]], "YY-MMM")</f>
        <v>19-Feb</v>
      </c>
      <c r="L1249" s="11">
        <f>Order_Details[[#This Row],[Profit]]/Order_Details[[#This Row],[Amount]]</f>
        <v>0.29914529914529914</v>
      </c>
      <c r="M1249" s="8">
        <f>YEAR(Order_Details[[#This Row],[Order Date]])</f>
        <v>2019</v>
      </c>
      <c r="N1249" s="8">
        <f>ROUNDUP(MONTH(Order_Details[[#This Row],[Order Date]])/3, 0)</f>
        <v>1</v>
      </c>
    </row>
    <row r="1250" spans="1:14">
      <c r="A1250" s="1" t="s">
        <v>958</v>
      </c>
      <c r="B1250" s="1">
        <v>319</v>
      </c>
      <c r="C1250" s="1">
        <v>102</v>
      </c>
      <c r="D1250" s="1">
        <v>6</v>
      </c>
      <c r="E1250" s="1" t="s">
        <v>1077</v>
      </c>
      <c r="F1250" s="1" t="s">
        <v>1115</v>
      </c>
      <c r="G1250" s="7" t="str">
        <f>_xlfn.XLOOKUP(Order_Details[[#This Row],[Order ID]], List_of_orders[Order ID], List_of_orders[State])</f>
        <v>Bihar</v>
      </c>
      <c r="H1250" s="10">
        <f>_xlfn.XLOOKUP(Order_Details[[#This Row],[Order ID]], List_of_orders[Order ID], List_of_orders[Order Date (Clean)])</f>
        <v>43512</v>
      </c>
      <c r="I1250" s="7" t="str">
        <f>_xlfn.XLOOKUP(Order_Details[[#This Row],[Order ID]], List_of_orders[Order ID], List_of_orders[CustomerName])</f>
        <v>Yogesh</v>
      </c>
      <c r="J1250" s="7" t="str">
        <f>_xlfn.XLOOKUP(Order_Details[[#This Row],[Order ID]], List_of_orders[Order ID], List_of_orders[City])</f>
        <v>Patna</v>
      </c>
      <c r="K1250" s="8" t="str">
        <f>TEXT(Order_Details[[#This Row],[Order Date]], "YY-MMM")</f>
        <v>19-Feb</v>
      </c>
      <c r="L1250" s="11">
        <f>Order_Details[[#This Row],[Profit]]/Order_Details[[#This Row],[Amount]]</f>
        <v>0.31974921630094044</v>
      </c>
      <c r="M1250" s="8">
        <f>YEAR(Order_Details[[#This Row],[Order Date]])</f>
        <v>2019</v>
      </c>
      <c r="N1250" s="8">
        <f>ROUNDUP(MONTH(Order_Details[[#This Row],[Order Date]])/3, 0)</f>
        <v>1</v>
      </c>
    </row>
    <row r="1251" spans="1:14">
      <c r="A1251" s="1" t="s">
        <v>960</v>
      </c>
      <c r="B1251" s="1">
        <v>122</v>
      </c>
      <c r="C1251" s="1">
        <v>59</v>
      </c>
      <c r="D1251" s="1">
        <v>7</v>
      </c>
      <c r="E1251" s="1" t="s">
        <v>1075</v>
      </c>
      <c r="F1251" s="1" t="s">
        <v>1116</v>
      </c>
      <c r="G1251" s="7" t="str">
        <f>_xlfn.XLOOKUP(Order_Details[[#This Row],[Order ID]], List_of_orders[Order ID], List_of_orders[State])</f>
        <v xml:space="preserve">Kerala </v>
      </c>
      <c r="H1251" s="10">
        <f>_xlfn.XLOOKUP(Order_Details[[#This Row],[Order ID]], List_of_orders[Order ID], List_of_orders[Order Date (Clean)])</f>
        <v>43513</v>
      </c>
      <c r="I1251" s="7" t="str">
        <f>_xlfn.XLOOKUP(Order_Details[[#This Row],[Order ID]], List_of_orders[Order ID], List_of_orders[CustomerName])</f>
        <v>Anita</v>
      </c>
      <c r="J1251" s="7" t="str">
        <f>_xlfn.XLOOKUP(Order_Details[[#This Row],[Order ID]], List_of_orders[Order ID], List_of_orders[City])</f>
        <v>Thiruvananthapuram</v>
      </c>
      <c r="K1251" s="8" t="str">
        <f>TEXT(Order_Details[[#This Row],[Order Date]], "YY-MMM")</f>
        <v>19-Feb</v>
      </c>
      <c r="L1251" s="11">
        <f>Order_Details[[#This Row],[Profit]]/Order_Details[[#This Row],[Amount]]</f>
        <v>0.48360655737704916</v>
      </c>
      <c r="M1251" s="8">
        <f>YEAR(Order_Details[[#This Row],[Order Date]])</f>
        <v>2019</v>
      </c>
      <c r="N1251" s="8">
        <f>ROUNDUP(MONTH(Order_Details[[#This Row],[Order Date]])/3, 0)</f>
        <v>1</v>
      </c>
    </row>
    <row r="1252" spans="1:14">
      <c r="A1252" s="1" t="s">
        <v>960</v>
      </c>
      <c r="B1252" s="1">
        <v>49</v>
      </c>
      <c r="C1252" s="1">
        <v>21</v>
      </c>
      <c r="D1252" s="1">
        <v>1</v>
      </c>
      <c r="E1252" s="1" t="s">
        <v>1076</v>
      </c>
      <c r="F1252" s="1" t="s">
        <v>1102</v>
      </c>
      <c r="G1252" s="7" t="str">
        <f>_xlfn.XLOOKUP(Order_Details[[#This Row],[Order ID]], List_of_orders[Order ID], List_of_orders[State])</f>
        <v xml:space="preserve">Kerala </v>
      </c>
      <c r="H1252" s="10">
        <f>_xlfn.XLOOKUP(Order_Details[[#This Row],[Order ID]], List_of_orders[Order ID], List_of_orders[Order Date (Clean)])</f>
        <v>43513</v>
      </c>
      <c r="I1252" s="7" t="str">
        <f>_xlfn.XLOOKUP(Order_Details[[#This Row],[Order ID]], List_of_orders[Order ID], List_of_orders[CustomerName])</f>
        <v>Anita</v>
      </c>
      <c r="J1252" s="7" t="str">
        <f>_xlfn.XLOOKUP(Order_Details[[#This Row],[Order ID]], List_of_orders[Order ID], List_of_orders[City])</f>
        <v>Thiruvananthapuram</v>
      </c>
      <c r="K1252" s="8" t="str">
        <f>TEXT(Order_Details[[#This Row],[Order Date]], "YY-MMM")</f>
        <v>19-Feb</v>
      </c>
      <c r="L1252" s="11">
        <f>Order_Details[[#This Row],[Profit]]/Order_Details[[#This Row],[Amount]]</f>
        <v>0.42857142857142855</v>
      </c>
      <c r="M1252" s="8">
        <f>YEAR(Order_Details[[#This Row],[Order Date]])</f>
        <v>2019</v>
      </c>
      <c r="N1252" s="8">
        <f>ROUNDUP(MONTH(Order_Details[[#This Row],[Order Date]])/3, 0)</f>
        <v>1</v>
      </c>
    </row>
    <row r="1253" spans="1:14">
      <c r="A1253" s="1" t="s">
        <v>960</v>
      </c>
      <c r="B1253" s="1">
        <v>21</v>
      </c>
      <c r="C1253" s="1">
        <v>-12</v>
      </c>
      <c r="D1253" s="1">
        <v>3</v>
      </c>
      <c r="E1253" s="1" t="s">
        <v>1076</v>
      </c>
      <c r="F1253" s="1" t="s">
        <v>1103</v>
      </c>
      <c r="G1253" s="7" t="str">
        <f>_xlfn.XLOOKUP(Order_Details[[#This Row],[Order ID]], List_of_orders[Order ID], List_of_orders[State])</f>
        <v xml:space="preserve">Kerala </v>
      </c>
      <c r="H1253" s="10">
        <f>_xlfn.XLOOKUP(Order_Details[[#This Row],[Order ID]], List_of_orders[Order ID], List_of_orders[Order Date (Clean)])</f>
        <v>43513</v>
      </c>
      <c r="I1253" s="7" t="str">
        <f>_xlfn.XLOOKUP(Order_Details[[#This Row],[Order ID]], List_of_orders[Order ID], List_of_orders[CustomerName])</f>
        <v>Anita</v>
      </c>
      <c r="J1253" s="7" t="str">
        <f>_xlfn.XLOOKUP(Order_Details[[#This Row],[Order ID]], List_of_orders[Order ID], List_of_orders[City])</f>
        <v>Thiruvananthapuram</v>
      </c>
      <c r="K1253" s="8" t="str">
        <f>TEXT(Order_Details[[#This Row],[Order Date]], "YY-MMM")</f>
        <v>19-Feb</v>
      </c>
      <c r="L1253" s="11">
        <f>Order_Details[[#This Row],[Profit]]/Order_Details[[#This Row],[Amount]]</f>
        <v>-0.5714285714285714</v>
      </c>
      <c r="M1253" s="8">
        <f>YEAR(Order_Details[[#This Row],[Order Date]])</f>
        <v>2019</v>
      </c>
      <c r="N1253" s="8">
        <f>ROUNDUP(MONTH(Order_Details[[#This Row],[Order Date]])/3, 0)</f>
        <v>1</v>
      </c>
    </row>
    <row r="1254" spans="1:14">
      <c r="A1254" s="1" t="s">
        <v>962</v>
      </c>
      <c r="B1254" s="1">
        <v>1824</v>
      </c>
      <c r="C1254" s="1">
        <v>-1303</v>
      </c>
      <c r="D1254" s="1">
        <v>8</v>
      </c>
      <c r="E1254" s="1" t="s">
        <v>1077</v>
      </c>
      <c r="F1254" s="1" t="s">
        <v>1105</v>
      </c>
      <c r="G1254" s="7" t="str">
        <f>_xlfn.XLOOKUP(Order_Details[[#This Row],[Order ID]], List_of_orders[Order ID], List_of_orders[State])</f>
        <v>Punjab</v>
      </c>
      <c r="H1254" s="10">
        <f>_xlfn.XLOOKUP(Order_Details[[#This Row],[Order ID]], List_of_orders[Order ID], List_of_orders[Order Date (Clean)])</f>
        <v>43514</v>
      </c>
      <c r="I1254" s="7" t="str">
        <f>_xlfn.XLOOKUP(Order_Details[[#This Row],[Order ID]], List_of_orders[Order ID], List_of_orders[CustomerName])</f>
        <v>Shrichand</v>
      </c>
      <c r="J1254" s="7" t="str">
        <f>_xlfn.XLOOKUP(Order_Details[[#This Row],[Order ID]], List_of_orders[Order ID], List_of_orders[City])</f>
        <v>Chandigarh</v>
      </c>
      <c r="K1254" s="8" t="str">
        <f>TEXT(Order_Details[[#This Row],[Order Date]], "YY-MMM")</f>
        <v>19-Feb</v>
      </c>
      <c r="L1254" s="11">
        <f>Order_Details[[#This Row],[Profit]]/Order_Details[[#This Row],[Amount]]</f>
        <v>-0.71436403508771928</v>
      </c>
      <c r="M1254" s="8">
        <f>YEAR(Order_Details[[#This Row],[Order Date]])</f>
        <v>2019</v>
      </c>
      <c r="N1254" s="8">
        <f>ROUNDUP(MONTH(Order_Details[[#This Row],[Order Date]])/3, 0)</f>
        <v>1</v>
      </c>
    </row>
    <row r="1255" spans="1:14">
      <c r="A1255" s="1" t="s">
        <v>964</v>
      </c>
      <c r="B1255" s="1">
        <v>1117</v>
      </c>
      <c r="C1255" s="1">
        <v>447</v>
      </c>
      <c r="D1255" s="1">
        <v>10</v>
      </c>
      <c r="E1255" s="1" t="s">
        <v>1075</v>
      </c>
      <c r="F1255" s="1" t="s">
        <v>1101</v>
      </c>
      <c r="G1255" s="7" t="str">
        <f>_xlfn.XLOOKUP(Order_Details[[#This Row],[Order ID]], List_of_orders[Order ID], List_of_orders[State])</f>
        <v>Haryana</v>
      </c>
      <c r="H1255" s="10">
        <f>_xlfn.XLOOKUP(Order_Details[[#This Row],[Order ID]], List_of_orders[Order ID], List_of_orders[Order Date (Clean)])</f>
        <v>43515</v>
      </c>
      <c r="I1255" s="7" t="str">
        <f>_xlfn.XLOOKUP(Order_Details[[#This Row],[Order ID]], List_of_orders[Order ID], List_of_orders[CustomerName])</f>
        <v>Mukesh</v>
      </c>
      <c r="J1255" s="7" t="str">
        <f>_xlfn.XLOOKUP(Order_Details[[#This Row],[Order ID]], List_of_orders[Order ID], List_of_orders[City])</f>
        <v>Chandigarh</v>
      </c>
      <c r="K1255" s="8" t="str">
        <f>TEXT(Order_Details[[#This Row],[Order Date]], "YY-MMM")</f>
        <v>19-Feb</v>
      </c>
      <c r="L1255" s="11">
        <f>Order_Details[[#This Row],[Profit]]/Order_Details[[#This Row],[Amount]]</f>
        <v>0.40017905102954343</v>
      </c>
      <c r="M1255" s="8">
        <f>YEAR(Order_Details[[#This Row],[Order Date]])</f>
        <v>2019</v>
      </c>
      <c r="N1255" s="8">
        <f>ROUNDUP(MONTH(Order_Details[[#This Row],[Order Date]])/3, 0)</f>
        <v>1</v>
      </c>
    </row>
    <row r="1256" spans="1:14">
      <c r="A1256" s="1" t="s">
        <v>964</v>
      </c>
      <c r="B1256" s="1">
        <v>29</v>
      </c>
      <c r="C1256" s="1">
        <v>0</v>
      </c>
      <c r="D1256" s="1">
        <v>3</v>
      </c>
      <c r="E1256" s="1" t="s">
        <v>1075</v>
      </c>
      <c r="F1256" s="1" t="s">
        <v>1116</v>
      </c>
      <c r="G1256" s="7" t="str">
        <f>_xlfn.XLOOKUP(Order_Details[[#This Row],[Order ID]], List_of_orders[Order ID], List_of_orders[State])</f>
        <v>Haryana</v>
      </c>
      <c r="H1256" s="10">
        <f>_xlfn.XLOOKUP(Order_Details[[#This Row],[Order ID]], List_of_orders[Order ID], List_of_orders[Order Date (Clean)])</f>
        <v>43515</v>
      </c>
      <c r="I1256" s="7" t="str">
        <f>_xlfn.XLOOKUP(Order_Details[[#This Row],[Order ID]], List_of_orders[Order ID], List_of_orders[CustomerName])</f>
        <v>Mukesh</v>
      </c>
      <c r="J1256" s="7" t="str">
        <f>_xlfn.XLOOKUP(Order_Details[[#This Row],[Order ID]], List_of_orders[Order ID], List_of_orders[City])</f>
        <v>Chandigarh</v>
      </c>
      <c r="K1256" s="8" t="str">
        <f>TEXT(Order_Details[[#This Row],[Order Date]], "YY-MMM")</f>
        <v>19-Feb</v>
      </c>
      <c r="L1256" s="11">
        <f>Order_Details[[#This Row],[Profit]]/Order_Details[[#This Row],[Amount]]</f>
        <v>0</v>
      </c>
      <c r="M1256" s="8">
        <f>YEAR(Order_Details[[#This Row],[Order Date]])</f>
        <v>2019</v>
      </c>
      <c r="N1256" s="8">
        <f>ROUNDUP(MONTH(Order_Details[[#This Row],[Order Date]])/3, 0)</f>
        <v>1</v>
      </c>
    </row>
    <row r="1257" spans="1:14">
      <c r="A1257" s="1" t="s">
        <v>964</v>
      </c>
      <c r="B1257" s="1">
        <v>66</v>
      </c>
      <c r="C1257" s="1">
        <v>22</v>
      </c>
      <c r="D1257" s="1">
        <v>3</v>
      </c>
      <c r="E1257" s="1" t="s">
        <v>1076</v>
      </c>
      <c r="F1257" s="1" t="s">
        <v>1102</v>
      </c>
      <c r="G1257" s="7" t="str">
        <f>_xlfn.XLOOKUP(Order_Details[[#This Row],[Order ID]], List_of_orders[Order ID], List_of_orders[State])</f>
        <v>Haryana</v>
      </c>
      <c r="H1257" s="10">
        <f>_xlfn.XLOOKUP(Order_Details[[#This Row],[Order ID]], List_of_orders[Order ID], List_of_orders[Order Date (Clean)])</f>
        <v>43515</v>
      </c>
      <c r="I1257" s="7" t="str">
        <f>_xlfn.XLOOKUP(Order_Details[[#This Row],[Order ID]], List_of_orders[Order ID], List_of_orders[CustomerName])</f>
        <v>Mukesh</v>
      </c>
      <c r="J1257" s="7" t="str">
        <f>_xlfn.XLOOKUP(Order_Details[[#This Row],[Order ID]], List_of_orders[Order ID], List_of_orders[City])</f>
        <v>Chandigarh</v>
      </c>
      <c r="K1257" s="8" t="str">
        <f>TEXT(Order_Details[[#This Row],[Order Date]], "YY-MMM")</f>
        <v>19-Feb</v>
      </c>
      <c r="L1257" s="11">
        <f>Order_Details[[#This Row],[Profit]]/Order_Details[[#This Row],[Amount]]</f>
        <v>0.33333333333333331</v>
      </c>
      <c r="M1257" s="8">
        <f>YEAR(Order_Details[[#This Row],[Order Date]])</f>
        <v>2019</v>
      </c>
      <c r="N1257" s="8">
        <f>ROUNDUP(MONTH(Order_Details[[#This Row],[Order Date]])/3, 0)</f>
        <v>1</v>
      </c>
    </row>
    <row r="1258" spans="1:14">
      <c r="A1258" s="1" t="s">
        <v>964</v>
      </c>
      <c r="B1258" s="1">
        <v>59</v>
      </c>
      <c r="C1258" s="1">
        <v>21</v>
      </c>
      <c r="D1258" s="1">
        <v>2</v>
      </c>
      <c r="E1258" s="1" t="s">
        <v>1076</v>
      </c>
      <c r="F1258" s="1" t="s">
        <v>1102</v>
      </c>
      <c r="G1258" s="7" t="str">
        <f>_xlfn.XLOOKUP(Order_Details[[#This Row],[Order ID]], List_of_orders[Order ID], List_of_orders[State])</f>
        <v>Haryana</v>
      </c>
      <c r="H1258" s="10">
        <f>_xlfn.XLOOKUP(Order_Details[[#This Row],[Order ID]], List_of_orders[Order ID], List_of_orders[Order Date (Clean)])</f>
        <v>43515</v>
      </c>
      <c r="I1258" s="7" t="str">
        <f>_xlfn.XLOOKUP(Order_Details[[#This Row],[Order ID]], List_of_orders[Order ID], List_of_orders[CustomerName])</f>
        <v>Mukesh</v>
      </c>
      <c r="J1258" s="7" t="str">
        <f>_xlfn.XLOOKUP(Order_Details[[#This Row],[Order ID]], List_of_orders[Order ID], List_of_orders[City])</f>
        <v>Chandigarh</v>
      </c>
      <c r="K1258" s="8" t="str">
        <f>TEXT(Order_Details[[#This Row],[Order Date]], "YY-MMM")</f>
        <v>19-Feb</v>
      </c>
      <c r="L1258" s="11">
        <f>Order_Details[[#This Row],[Profit]]/Order_Details[[#This Row],[Amount]]</f>
        <v>0.3559322033898305</v>
      </c>
      <c r="M1258" s="8">
        <f>YEAR(Order_Details[[#This Row],[Order Date]])</f>
        <v>2019</v>
      </c>
      <c r="N1258" s="8">
        <f>ROUNDUP(MONTH(Order_Details[[#This Row],[Order Date]])/3, 0)</f>
        <v>1</v>
      </c>
    </row>
    <row r="1259" spans="1:14">
      <c r="A1259" s="1" t="s">
        <v>966</v>
      </c>
      <c r="B1259" s="1">
        <v>168</v>
      </c>
      <c r="C1259" s="1">
        <v>18</v>
      </c>
      <c r="D1259" s="1">
        <v>6</v>
      </c>
      <c r="E1259" s="1" t="s">
        <v>1076</v>
      </c>
      <c r="F1259" s="1" t="s">
        <v>1102</v>
      </c>
      <c r="G1259" s="7" t="str">
        <f>_xlfn.XLOOKUP(Order_Details[[#This Row],[Order ID]], List_of_orders[Order ID], List_of_orders[State])</f>
        <v>Himachal Pradesh</v>
      </c>
      <c r="H1259" s="10">
        <f>_xlfn.XLOOKUP(Order_Details[[#This Row],[Order ID]], List_of_orders[Order ID], List_of_orders[Order Date (Clean)])</f>
        <v>43515</v>
      </c>
      <c r="I1259" s="7" t="str">
        <f>_xlfn.XLOOKUP(Order_Details[[#This Row],[Order ID]], List_of_orders[Order ID], List_of_orders[CustomerName])</f>
        <v>Vandana</v>
      </c>
      <c r="J1259" s="7" t="str">
        <f>_xlfn.XLOOKUP(Order_Details[[#This Row],[Order ID]], List_of_orders[Order ID], List_of_orders[City])</f>
        <v>Simla</v>
      </c>
      <c r="K1259" s="8" t="str">
        <f>TEXT(Order_Details[[#This Row],[Order Date]], "YY-MMM")</f>
        <v>19-Feb</v>
      </c>
      <c r="L1259" s="11">
        <f>Order_Details[[#This Row],[Profit]]/Order_Details[[#This Row],[Amount]]</f>
        <v>0.10714285714285714</v>
      </c>
      <c r="M1259" s="8">
        <f>YEAR(Order_Details[[#This Row],[Order Date]])</f>
        <v>2019</v>
      </c>
      <c r="N1259" s="8">
        <f>ROUNDUP(MONTH(Order_Details[[#This Row],[Order Date]])/3, 0)</f>
        <v>1</v>
      </c>
    </row>
    <row r="1260" spans="1:14">
      <c r="A1260" s="1" t="s">
        <v>967</v>
      </c>
      <c r="B1260" s="1">
        <v>155</v>
      </c>
      <c r="C1260" s="1">
        <v>5</v>
      </c>
      <c r="D1260" s="1">
        <v>3</v>
      </c>
      <c r="E1260" s="1" t="s">
        <v>1076</v>
      </c>
      <c r="F1260" s="1" t="s">
        <v>1102</v>
      </c>
      <c r="G1260" s="7" t="str">
        <f>_xlfn.XLOOKUP(Order_Details[[#This Row],[Order ID]], List_of_orders[Order ID], List_of_orders[State])</f>
        <v>Sikkim</v>
      </c>
      <c r="H1260" s="10">
        <f>_xlfn.XLOOKUP(Order_Details[[#This Row],[Order ID]], List_of_orders[Order ID], List_of_orders[Order Date (Clean)])</f>
        <v>43515</v>
      </c>
      <c r="I1260" s="7" t="str">
        <f>_xlfn.XLOOKUP(Order_Details[[#This Row],[Order ID]], List_of_orders[Order ID], List_of_orders[CustomerName])</f>
        <v>Bhavna</v>
      </c>
      <c r="J1260" s="7" t="str">
        <f>_xlfn.XLOOKUP(Order_Details[[#This Row],[Order ID]], List_of_orders[Order ID], List_of_orders[City])</f>
        <v>Gangtok</v>
      </c>
      <c r="K1260" s="8" t="str">
        <f>TEXT(Order_Details[[#This Row],[Order Date]], "YY-MMM")</f>
        <v>19-Feb</v>
      </c>
      <c r="L1260" s="11">
        <f>Order_Details[[#This Row],[Profit]]/Order_Details[[#This Row],[Amount]]</f>
        <v>3.2258064516129031E-2</v>
      </c>
      <c r="M1260" s="8">
        <f>YEAR(Order_Details[[#This Row],[Order Date]])</f>
        <v>2019</v>
      </c>
      <c r="N1260" s="8">
        <f>ROUNDUP(MONTH(Order_Details[[#This Row],[Order Date]])/3, 0)</f>
        <v>1</v>
      </c>
    </row>
    <row r="1261" spans="1:14">
      <c r="A1261" s="1" t="s">
        <v>967</v>
      </c>
      <c r="B1261" s="1">
        <v>32</v>
      </c>
      <c r="C1261" s="1">
        <v>1</v>
      </c>
      <c r="D1261" s="1">
        <v>2</v>
      </c>
      <c r="E1261" s="1" t="s">
        <v>1076</v>
      </c>
      <c r="F1261" s="1" t="s">
        <v>1102</v>
      </c>
      <c r="G1261" s="7" t="str">
        <f>_xlfn.XLOOKUP(Order_Details[[#This Row],[Order ID]], List_of_orders[Order ID], List_of_orders[State])</f>
        <v>Sikkim</v>
      </c>
      <c r="H1261" s="10">
        <f>_xlfn.XLOOKUP(Order_Details[[#This Row],[Order ID]], List_of_orders[Order ID], List_of_orders[Order Date (Clean)])</f>
        <v>43515</v>
      </c>
      <c r="I1261" s="7" t="str">
        <f>_xlfn.XLOOKUP(Order_Details[[#This Row],[Order ID]], List_of_orders[Order ID], List_of_orders[CustomerName])</f>
        <v>Bhavna</v>
      </c>
      <c r="J1261" s="7" t="str">
        <f>_xlfn.XLOOKUP(Order_Details[[#This Row],[Order ID]], List_of_orders[Order ID], List_of_orders[City])</f>
        <v>Gangtok</v>
      </c>
      <c r="K1261" s="8" t="str">
        <f>TEXT(Order_Details[[#This Row],[Order Date]], "YY-MMM")</f>
        <v>19-Feb</v>
      </c>
      <c r="L1261" s="11">
        <f>Order_Details[[#This Row],[Profit]]/Order_Details[[#This Row],[Amount]]</f>
        <v>3.125E-2</v>
      </c>
      <c r="M1261" s="8">
        <f>YEAR(Order_Details[[#This Row],[Order Date]])</f>
        <v>2019</v>
      </c>
      <c r="N1261" s="8">
        <f>ROUNDUP(MONTH(Order_Details[[#This Row],[Order Date]])/3, 0)</f>
        <v>1</v>
      </c>
    </row>
    <row r="1262" spans="1:14">
      <c r="A1262" s="1" t="s">
        <v>967</v>
      </c>
      <c r="B1262" s="1">
        <v>41</v>
      </c>
      <c r="C1262" s="1">
        <v>19</v>
      </c>
      <c r="D1262" s="1">
        <v>5</v>
      </c>
      <c r="E1262" s="1" t="s">
        <v>1076</v>
      </c>
      <c r="F1262" s="1" t="s">
        <v>1103</v>
      </c>
      <c r="G1262" s="7" t="str">
        <f>_xlfn.XLOOKUP(Order_Details[[#This Row],[Order ID]], List_of_orders[Order ID], List_of_orders[State])</f>
        <v>Sikkim</v>
      </c>
      <c r="H1262" s="10">
        <f>_xlfn.XLOOKUP(Order_Details[[#This Row],[Order ID]], List_of_orders[Order ID], List_of_orders[Order Date (Clean)])</f>
        <v>43515</v>
      </c>
      <c r="I1262" s="7" t="str">
        <f>_xlfn.XLOOKUP(Order_Details[[#This Row],[Order ID]], List_of_orders[Order ID], List_of_orders[CustomerName])</f>
        <v>Bhavna</v>
      </c>
      <c r="J1262" s="7" t="str">
        <f>_xlfn.XLOOKUP(Order_Details[[#This Row],[Order ID]], List_of_orders[Order ID], List_of_orders[City])</f>
        <v>Gangtok</v>
      </c>
      <c r="K1262" s="8" t="str">
        <f>TEXT(Order_Details[[#This Row],[Order Date]], "YY-MMM")</f>
        <v>19-Feb</v>
      </c>
      <c r="L1262" s="11">
        <f>Order_Details[[#This Row],[Profit]]/Order_Details[[#This Row],[Amount]]</f>
        <v>0.46341463414634149</v>
      </c>
      <c r="M1262" s="8">
        <f>YEAR(Order_Details[[#This Row],[Order Date]])</f>
        <v>2019</v>
      </c>
      <c r="N1262" s="8">
        <f>ROUNDUP(MONTH(Order_Details[[#This Row],[Order Date]])/3, 0)</f>
        <v>1</v>
      </c>
    </row>
    <row r="1263" spans="1:14">
      <c r="A1263" s="1" t="s">
        <v>968</v>
      </c>
      <c r="B1263" s="1">
        <v>255</v>
      </c>
      <c r="C1263" s="1">
        <v>76</v>
      </c>
      <c r="D1263" s="1">
        <v>9</v>
      </c>
      <c r="E1263" s="1" t="s">
        <v>1076</v>
      </c>
      <c r="F1263" s="1" t="s">
        <v>1103</v>
      </c>
      <c r="G1263" s="7" t="str">
        <f>_xlfn.XLOOKUP(Order_Details[[#This Row],[Order ID]], List_of_orders[Order ID], List_of_orders[State])</f>
        <v>Goa</v>
      </c>
      <c r="H1263" s="10">
        <f>_xlfn.XLOOKUP(Order_Details[[#This Row],[Order ID]], List_of_orders[Order ID], List_of_orders[Order Date (Clean)])</f>
        <v>43515</v>
      </c>
      <c r="I1263" s="7" t="str">
        <f>_xlfn.XLOOKUP(Order_Details[[#This Row],[Order ID]], List_of_orders[Order ID], List_of_orders[CustomerName])</f>
        <v>Kanak</v>
      </c>
      <c r="J1263" s="7" t="str">
        <f>_xlfn.XLOOKUP(Order_Details[[#This Row],[Order ID]], List_of_orders[Order ID], List_of_orders[City])</f>
        <v>Goa</v>
      </c>
      <c r="K1263" s="8" t="str">
        <f>TEXT(Order_Details[[#This Row],[Order Date]], "YY-MMM")</f>
        <v>19-Feb</v>
      </c>
      <c r="L1263" s="11">
        <f>Order_Details[[#This Row],[Profit]]/Order_Details[[#This Row],[Amount]]</f>
        <v>0.29803921568627451</v>
      </c>
      <c r="M1263" s="8">
        <f>YEAR(Order_Details[[#This Row],[Order Date]])</f>
        <v>2019</v>
      </c>
      <c r="N1263" s="8">
        <f>ROUNDUP(MONTH(Order_Details[[#This Row],[Order Date]])/3, 0)</f>
        <v>1</v>
      </c>
    </row>
    <row r="1264" spans="1:14">
      <c r="A1264" s="1" t="s">
        <v>968</v>
      </c>
      <c r="B1264" s="1">
        <v>25</v>
      </c>
      <c r="C1264" s="1">
        <v>2</v>
      </c>
      <c r="D1264" s="1">
        <v>3</v>
      </c>
      <c r="E1264" s="1" t="s">
        <v>1076</v>
      </c>
      <c r="F1264" s="1" t="s">
        <v>1109</v>
      </c>
      <c r="G1264" s="7" t="str">
        <f>_xlfn.XLOOKUP(Order_Details[[#This Row],[Order ID]], List_of_orders[Order ID], List_of_orders[State])</f>
        <v>Goa</v>
      </c>
      <c r="H1264" s="10">
        <f>_xlfn.XLOOKUP(Order_Details[[#This Row],[Order ID]], List_of_orders[Order ID], List_of_orders[Order Date (Clean)])</f>
        <v>43515</v>
      </c>
      <c r="I1264" s="7" t="str">
        <f>_xlfn.XLOOKUP(Order_Details[[#This Row],[Order ID]], List_of_orders[Order ID], List_of_orders[CustomerName])</f>
        <v>Kanak</v>
      </c>
      <c r="J1264" s="7" t="str">
        <f>_xlfn.XLOOKUP(Order_Details[[#This Row],[Order ID]], List_of_orders[Order ID], List_of_orders[City])</f>
        <v>Goa</v>
      </c>
      <c r="K1264" s="8" t="str">
        <f>TEXT(Order_Details[[#This Row],[Order Date]], "YY-MMM")</f>
        <v>19-Feb</v>
      </c>
      <c r="L1264" s="11">
        <f>Order_Details[[#This Row],[Profit]]/Order_Details[[#This Row],[Amount]]</f>
        <v>0.08</v>
      </c>
      <c r="M1264" s="8">
        <f>YEAR(Order_Details[[#This Row],[Order Date]])</f>
        <v>2019</v>
      </c>
      <c r="N1264" s="8">
        <f>ROUNDUP(MONTH(Order_Details[[#This Row],[Order Date]])/3, 0)</f>
        <v>1</v>
      </c>
    </row>
    <row r="1265" spans="1:14">
      <c r="A1265" s="1" t="s">
        <v>969</v>
      </c>
      <c r="B1265" s="1">
        <v>54</v>
      </c>
      <c r="C1265" s="1">
        <v>8</v>
      </c>
      <c r="D1265" s="1">
        <v>4</v>
      </c>
      <c r="E1265" s="1" t="s">
        <v>1076</v>
      </c>
      <c r="F1265" s="1" t="s">
        <v>1110</v>
      </c>
      <c r="G1265" s="7" t="str">
        <f>_xlfn.XLOOKUP(Order_Details[[#This Row],[Order ID]], List_of_orders[Order ID], List_of_orders[State])</f>
        <v>Nagaland</v>
      </c>
      <c r="H1265" s="10">
        <f>_xlfn.XLOOKUP(Order_Details[[#This Row],[Order ID]], List_of_orders[Order ID], List_of_orders[Order Date (Clean)])</f>
        <v>43516</v>
      </c>
      <c r="I1265" s="7" t="str">
        <f>_xlfn.XLOOKUP(Order_Details[[#This Row],[Order ID]], List_of_orders[Order ID], List_of_orders[CustomerName])</f>
        <v>Sagar</v>
      </c>
      <c r="J1265" s="7" t="str">
        <f>_xlfn.XLOOKUP(Order_Details[[#This Row],[Order ID]], List_of_orders[Order ID], List_of_orders[City])</f>
        <v>Kohima</v>
      </c>
      <c r="K1265" s="8" t="str">
        <f>TEXT(Order_Details[[#This Row],[Order Date]], "YY-MMM")</f>
        <v>19-Feb</v>
      </c>
      <c r="L1265" s="11">
        <f>Order_Details[[#This Row],[Profit]]/Order_Details[[#This Row],[Amount]]</f>
        <v>0.14814814814814814</v>
      </c>
      <c r="M1265" s="8">
        <f>YEAR(Order_Details[[#This Row],[Order Date]])</f>
        <v>2019</v>
      </c>
      <c r="N1265" s="8">
        <f>ROUNDUP(MONTH(Order_Details[[#This Row],[Order Date]])/3, 0)</f>
        <v>1</v>
      </c>
    </row>
    <row r="1266" spans="1:14">
      <c r="A1266" s="1" t="s">
        <v>971</v>
      </c>
      <c r="B1266" s="1">
        <v>77</v>
      </c>
      <c r="C1266" s="1">
        <v>36</v>
      </c>
      <c r="D1266" s="1">
        <v>2</v>
      </c>
      <c r="E1266" s="1" t="s">
        <v>1076</v>
      </c>
      <c r="F1266" s="1" t="s">
        <v>1111</v>
      </c>
      <c r="G1266" s="7" t="str">
        <f>_xlfn.XLOOKUP(Order_Details[[#This Row],[Order ID]], List_of_orders[Order ID], List_of_orders[State])</f>
        <v>Andhra Pradesh</v>
      </c>
      <c r="H1266" s="10">
        <f>_xlfn.XLOOKUP(Order_Details[[#This Row],[Order ID]], List_of_orders[Order ID], List_of_orders[Order Date (Clean)])</f>
        <v>43516</v>
      </c>
      <c r="I1266" s="7" t="str">
        <f>_xlfn.XLOOKUP(Order_Details[[#This Row],[Order ID]], List_of_orders[Order ID], List_of_orders[CustomerName])</f>
        <v>Manju</v>
      </c>
      <c r="J1266" s="7" t="str">
        <f>_xlfn.XLOOKUP(Order_Details[[#This Row],[Order ID]], List_of_orders[Order ID], List_of_orders[City])</f>
        <v>Hyderabad</v>
      </c>
      <c r="K1266" s="8" t="str">
        <f>TEXT(Order_Details[[#This Row],[Order Date]], "YY-MMM")</f>
        <v>19-Feb</v>
      </c>
      <c r="L1266" s="11">
        <f>Order_Details[[#This Row],[Profit]]/Order_Details[[#This Row],[Amount]]</f>
        <v>0.46753246753246752</v>
      </c>
      <c r="M1266" s="8">
        <f>YEAR(Order_Details[[#This Row],[Order Date]])</f>
        <v>2019</v>
      </c>
      <c r="N1266" s="8">
        <f>ROUNDUP(MONTH(Order_Details[[#This Row],[Order Date]])/3, 0)</f>
        <v>1</v>
      </c>
    </row>
    <row r="1267" spans="1:14">
      <c r="A1267" s="1" t="s">
        <v>971</v>
      </c>
      <c r="B1267" s="1">
        <v>115</v>
      </c>
      <c r="C1267" s="1">
        <v>0</v>
      </c>
      <c r="D1267" s="1">
        <v>1</v>
      </c>
      <c r="E1267" s="1" t="s">
        <v>1077</v>
      </c>
      <c r="F1267" s="1" t="s">
        <v>1115</v>
      </c>
      <c r="G1267" s="7" t="str">
        <f>_xlfn.XLOOKUP(Order_Details[[#This Row],[Order ID]], List_of_orders[Order ID], List_of_orders[State])</f>
        <v>Andhra Pradesh</v>
      </c>
      <c r="H1267" s="10">
        <f>_xlfn.XLOOKUP(Order_Details[[#This Row],[Order ID]], List_of_orders[Order ID], List_of_orders[Order Date (Clean)])</f>
        <v>43516</v>
      </c>
      <c r="I1267" s="7" t="str">
        <f>_xlfn.XLOOKUP(Order_Details[[#This Row],[Order ID]], List_of_orders[Order ID], List_of_orders[CustomerName])</f>
        <v>Manju</v>
      </c>
      <c r="J1267" s="7" t="str">
        <f>_xlfn.XLOOKUP(Order_Details[[#This Row],[Order ID]], List_of_orders[Order ID], List_of_orders[City])</f>
        <v>Hyderabad</v>
      </c>
      <c r="K1267" s="8" t="str">
        <f>TEXT(Order_Details[[#This Row],[Order Date]], "YY-MMM")</f>
        <v>19-Feb</v>
      </c>
      <c r="L1267" s="11">
        <f>Order_Details[[#This Row],[Profit]]/Order_Details[[#This Row],[Amount]]</f>
        <v>0</v>
      </c>
      <c r="M1267" s="8">
        <f>YEAR(Order_Details[[#This Row],[Order Date]])</f>
        <v>2019</v>
      </c>
      <c r="N1267" s="8">
        <f>ROUNDUP(MONTH(Order_Details[[#This Row],[Order Date]])/3, 0)</f>
        <v>1</v>
      </c>
    </row>
    <row r="1268" spans="1:14">
      <c r="A1268" s="1" t="s">
        <v>971</v>
      </c>
      <c r="B1268" s="1">
        <v>1272</v>
      </c>
      <c r="C1268" s="1">
        <v>547</v>
      </c>
      <c r="D1268" s="1">
        <v>2</v>
      </c>
      <c r="E1268" s="1" t="s">
        <v>1077</v>
      </c>
      <c r="F1268" s="1" t="s">
        <v>1105</v>
      </c>
      <c r="G1268" s="7" t="str">
        <f>_xlfn.XLOOKUP(Order_Details[[#This Row],[Order ID]], List_of_orders[Order ID], List_of_orders[State])</f>
        <v>Andhra Pradesh</v>
      </c>
      <c r="H1268" s="10">
        <f>_xlfn.XLOOKUP(Order_Details[[#This Row],[Order ID]], List_of_orders[Order ID], List_of_orders[Order Date (Clean)])</f>
        <v>43516</v>
      </c>
      <c r="I1268" s="7" t="str">
        <f>_xlfn.XLOOKUP(Order_Details[[#This Row],[Order ID]], List_of_orders[Order ID], List_of_orders[CustomerName])</f>
        <v>Manju</v>
      </c>
      <c r="J1268" s="7" t="str">
        <f>_xlfn.XLOOKUP(Order_Details[[#This Row],[Order ID]], List_of_orders[Order ID], List_of_orders[City])</f>
        <v>Hyderabad</v>
      </c>
      <c r="K1268" s="8" t="str">
        <f>TEXT(Order_Details[[#This Row],[Order Date]], "YY-MMM")</f>
        <v>19-Feb</v>
      </c>
      <c r="L1268" s="11">
        <f>Order_Details[[#This Row],[Profit]]/Order_Details[[#This Row],[Amount]]</f>
        <v>0.43003144654088049</v>
      </c>
      <c r="M1268" s="8">
        <f>YEAR(Order_Details[[#This Row],[Order Date]])</f>
        <v>2019</v>
      </c>
      <c r="N1268" s="8">
        <f>ROUNDUP(MONTH(Order_Details[[#This Row],[Order Date]])/3, 0)</f>
        <v>1</v>
      </c>
    </row>
    <row r="1269" spans="1:14">
      <c r="A1269" s="1" t="s">
        <v>972</v>
      </c>
      <c r="B1269" s="1">
        <v>21</v>
      </c>
      <c r="C1269" s="1">
        <v>10</v>
      </c>
      <c r="D1269" s="1">
        <v>1</v>
      </c>
      <c r="E1269" s="1" t="s">
        <v>1076</v>
      </c>
      <c r="F1269" s="1" t="s">
        <v>1110</v>
      </c>
      <c r="G1269" s="7" t="str">
        <f>_xlfn.XLOOKUP(Order_Details[[#This Row],[Order ID]], List_of_orders[Order ID], List_of_orders[State])</f>
        <v>Gujarat</v>
      </c>
      <c r="H1269" s="10">
        <f>_xlfn.XLOOKUP(Order_Details[[#This Row],[Order ID]], List_of_orders[Order ID], List_of_orders[Order Date (Clean)])</f>
        <v>43516</v>
      </c>
      <c r="I1269" s="7" t="str">
        <f>_xlfn.XLOOKUP(Order_Details[[#This Row],[Order ID]], List_of_orders[Order ID], List_of_orders[CustomerName])</f>
        <v>Ramesh</v>
      </c>
      <c r="J1269" s="7" t="str">
        <f>_xlfn.XLOOKUP(Order_Details[[#This Row],[Order ID]], List_of_orders[Order ID], List_of_orders[City])</f>
        <v>Ahmedabad</v>
      </c>
      <c r="K1269" s="8" t="str">
        <f>TEXT(Order_Details[[#This Row],[Order Date]], "YY-MMM")</f>
        <v>19-Feb</v>
      </c>
      <c r="L1269" s="11">
        <f>Order_Details[[#This Row],[Profit]]/Order_Details[[#This Row],[Amount]]</f>
        <v>0.47619047619047616</v>
      </c>
      <c r="M1269" s="8">
        <f>YEAR(Order_Details[[#This Row],[Order Date]])</f>
        <v>2019</v>
      </c>
      <c r="N1269" s="8">
        <f>ROUNDUP(MONTH(Order_Details[[#This Row],[Order Date]])/3, 0)</f>
        <v>1</v>
      </c>
    </row>
    <row r="1270" spans="1:14">
      <c r="A1270" s="1" t="s">
        <v>973</v>
      </c>
      <c r="B1270" s="1">
        <v>92</v>
      </c>
      <c r="C1270" s="1">
        <v>5</v>
      </c>
      <c r="D1270" s="1">
        <v>6</v>
      </c>
      <c r="E1270" s="1" t="s">
        <v>1076</v>
      </c>
      <c r="F1270" s="1" t="s">
        <v>1103</v>
      </c>
      <c r="G1270" s="7" t="str">
        <f>_xlfn.XLOOKUP(Order_Details[[#This Row],[Order ID]], List_of_orders[Order ID], List_of_orders[State])</f>
        <v>Maharashtra</v>
      </c>
      <c r="H1270" s="10">
        <f>_xlfn.XLOOKUP(Order_Details[[#This Row],[Order ID]], List_of_orders[Order ID], List_of_orders[Order Date (Clean)])</f>
        <v>43517</v>
      </c>
      <c r="I1270" s="7" t="str">
        <f>_xlfn.XLOOKUP(Order_Details[[#This Row],[Order ID]], List_of_orders[Order ID], List_of_orders[CustomerName])</f>
        <v>Sarita</v>
      </c>
      <c r="J1270" s="7" t="str">
        <f>_xlfn.XLOOKUP(Order_Details[[#This Row],[Order ID]], List_of_orders[Order ID], List_of_orders[City])</f>
        <v>Pune</v>
      </c>
      <c r="K1270" s="8" t="str">
        <f>TEXT(Order_Details[[#This Row],[Order Date]], "YY-MMM")</f>
        <v>19-Feb</v>
      </c>
      <c r="L1270" s="11">
        <f>Order_Details[[#This Row],[Profit]]/Order_Details[[#This Row],[Amount]]</f>
        <v>5.434782608695652E-2</v>
      </c>
      <c r="M1270" s="8">
        <f>YEAR(Order_Details[[#This Row],[Order Date]])</f>
        <v>2019</v>
      </c>
      <c r="N1270" s="8">
        <f>ROUNDUP(MONTH(Order_Details[[#This Row],[Order Date]])/3, 0)</f>
        <v>1</v>
      </c>
    </row>
    <row r="1271" spans="1:14">
      <c r="A1271" s="1" t="s">
        <v>973</v>
      </c>
      <c r="B1271" s="1">
        <v>11</v>
      </c>
      <c r="C1271" s="1">
        <v>5</v>
      </c>
      <c r="D1271" s="1">
        <v>1</v>
      </c>
      <c r="E1271" s="1" t="s">
        <v>1076</v>
      </c>
      <c r="F1271" s="1" t="s">
        <v>1117</v>
      </c>
      <c r="G1271" s="7" t="str">
        <f>_xlfn.XLOOKUP(Order_Details[[#This Row],[Order ID]], List_of_orders[Order ID], List_of_orders[State])</f>
        <v>Maharashtra</v>
      </c>
      <c r="H1271" s="10">
        <f>_xlfn.XLOOKUP(Order_Details[[#This Row],[Order ID]], List_of_orders[Order ID], List_of_orders[Order Date (Clean)])</f>
        <v>43517</v>
      </c>
      <c r="I1271" s="7" t="str">
        <f>_xlfn.XLOOKUP(Order_Details[[#This Row],[Order ID]], List_of_orders[Order ID], List_of_orders[CustomerName])</f>
        <v>Sarita</v>
      </c>
      <c r="J1271" s="7" t="str">
        <f>_xlfn.XLOOKUP(Order_Details[[#This Row],[Order ID]], List_of_orders[Order ID], List_of_orders[City])</f>
        <v>Pune</v>
      </c>
      <c r="K1271" s="8" t="str">
        <f>TEXT(Order_Details[[#This Row],[Order Date]], "YY-MMM")</f>
        <v>19-Feb</v>
      </c>
      <c r="L1271" s="11">
        <f>Order_Details[[#This Row],[Profit]]/Order_Details[[#This Row],[Amount]]</f>
        <v>0.45454545454545453</v>
      </c>
      <c r="M1271" s="8">
        <f>YEAR(Order_Details[[#This Row],[Order Date]])</f>
        <v>2019</v>
      </c>
      <c r="N1271" s="8">
        <f>ROUNDUP(MONTH(Order_Details[[#This Row],[Order Date]])/3, 0)</f>
        <v>1</v>
      </c>
    </row>
    <row r="1272" spans="1:14">
      <c r="A1272" s="1" t="s">
        <v>973</v>
      </c>
      <c r="B1272" s="1">
        <v>221</v>
      </c>
      <c r="C1272" s="1">
        <v>35</v>
      </c>
      <c r="D1272" s="1">
        <v>4</v>
      </c>
      <c r="E1272" s="1" t="s">
        <v>1077</v>
      </c>
      <c r="F1272" s="1" t="s">
        <v>1115</v>
      </c>
      <c r="G1272" s="7" t="str">
        <f>_xlfn.XLOOKUP(Order_Details[[#This Row],[Order ID]], List_of_orders[Order ID], List_of_orders[State])</f>
        <v>Maharashtra</v>
      </c>
      <c r="H1272" s="10">
        <f>_xlfn.XLOOKUP(Order_Details[[#This Row],[Order ID]], List_of_orders[Order ID], List_of_orders[Order Date (Clean)])</f>
        <v>43517</v>
      </c>
      <c r="I1272" s="7" t="str">
        <f>_xlfn.XLOOKUP(Order_Details[[#This Row],[Order ID]], List_of_orders[Order ID], List_of_orders[CustomerName])</f>
        <v>Sarita</v>
      </c>
      <c r="J1272" s="7" t="str">
        <f>_xlfn.XLOOKUP(Order_Details[[#This Row],[Order ID]], List_of_orders[Order ID], List_of_orders[City])</f>
        <v>Pune</v>
      </c>
      <c r="K1272" s="8" t="str">
        <f>TEXT(Order_Details[[#This Row],[Order Date]], "YY-MMM")</f>
        <v>19-Feb</v>
      </c>
      <c r="L1272" s="11">
        <f>Order_Details[[#This Row],[Profit]]/Order_Details[[#This Row],[Amount]]</f>
        <v>0.15837104072398189</v>
      </c>
      <c r="M1272" s="8">
        <f>YEAR(Order_Details[[#This Row],[Order Date]])</f>
        <v>2019</v>
      </c>
      <c r="N1272" s="8">
        <f>ROUNDUP(MONTH(Order_Details[[#This Row],[Order Date]])/3, 0)</f>
        <v>1</v>
      </c>
    </row>
    <row r="1273" spans="1:14">
      <c r="A1273" s="1" t="s">
        <v>973</v>
      </c>
      <c r="B1273" s="1">
        <v>50</v>
      </c>
      <c r="C1273" s="1">
        <v>25</v>
      </c>
      <c r="D1273" s="1">
        <v>5</v>
      </c>
      <c r="E1273" s="1" t="s">
        <v>1076</v>
      </c>
      <c r="F1273" s="1" t="s">
        <v>1102</v>
      </c>
      <c r="G1273" s="7" t="str">
        <f>_xlfn.XLOOKUP(Order_Details[[#This Row],[Order ID]], List_of_orders[Order ID], List_of_orders[State])</f>
        <v>Maharashtra</v>
      </c>
      <c r="H1273" s="10">
        <f>_xlfn.XLOOKUP(Order_Details[[#This Row],[Order ID]], List_of_orders[Order ID], List_of_orders[Order Date (Clean)])</f>
        <v>43517</v>
      </c>
      <c r="I1273" s="7" t="str">
        <f>_xlfn.XLOOKUP(Order_Details[[#This Row],[Order ID]], List_of_orders[Order ID], List_of_orders[CustomerName])</f>
        <v>Sarita</v>
      </c>
      <c r="J1273" s="7" t="str">
        <f>_xlfn.XLOOKUP(Order_Details[[#This Row],[Order ID]], List_of_orders[Order ID], List_of_orders[City])</f>
        <v>Pune</v>
      </c>
      <c r="K1273" s="8" t="str">
        <f>TEXT(Order_Details[[#This Row],[Order Date]], "YY-MMM")</f>
        <v>19-Feb</v>
      </c>
      <c r="L1273" s="11">
        <f>Order_Details[[#This Row],[Profit]]/Order_Details[[#This Row],[Amount]]</f>
        <v>0.5</v>
      </c>
      <c r="M1273" s="8">
        <f>YEAR(Order_Details[[#This Row],[Order Date]])</f>
        <v>2019</v>
      </c>
      <c r="N1273" s="8">
        <f>ROUNDUP(MONTH(Order_Details[[#This Row],[Order Date]])/3, 0)</f>
        <v>1</v>
      </c>
    </row>
    <row r="1274" spans="1:14">
      <c r="A1274" s="1" t="s">
        <v>973</v>
      </c>
      <c r="B1274" s="1">
        <v>89</v>
      </c>
      <c r="C1274" s="1">
        <v>36</v>
      </c>
      <c r="D1274" s="1">
        <v>3</v>
      </c>
      <c r="E1274" s="1" t="s">
        <v>1076</v>
      </c>
      <c r="F1274" s="1" t="s">
        <v>1111</v>
      </c>
      <c r="G1274" s="7" t="str">
        <f>_xlfn.XLOOKUP(Order_Details[[#This Row],[Order ID]], List_of_orders[Order ID], List_of_orders[State])</f>
        <v>Maharashtra</v>
      </c>
      <c r="H1274" s="10">
        <f>_xlfn.XLOOKUP(Order_Details[[#This Row],[Order ID]], List_of_orders[Order ID], List_of_orders[Order Date (Clean)])</f>
        <v>43517</v>
      </c>
      <c r="I1274" s="7" t="str">
        <f>_xlfn.XLOOKUP(Order_Details[[#This Row],[Order ID]], List_of_orders[Order ID], List_of_orders[CustomerName])</f>
        <v>Sarita</v>
      </c>
      <c r="J1274" s="7" t="str">
        <f>_xlfn.XLOOKUP(Order_Details[[#This Row],[Order ID]], List_of_orders[Order ID], List_of_orders[City])</f>
        <v>Pune</v>
      </c>
      <c r="K1274" s="8" t="str">
        <f>TEXT(Order_Details[[#This Row],[Order Date]], "YY-MMM")</f>
        <v>19-Feb</v>
      </c>
      <c r="L1274" s="11">
        <f>Order_Details[[#This Row],[Profit]]/Order_Details[[#This Row],[Amount]]</f>
        <v>0.4044943820224719</v>
      </c>
      <c r="M1274" s="8">
        <f>YEAR(Order_Details[[#This Row],[Order Date]])</f>
        <v>2019</v>
      </c>
      <c r="N1274" s="8">
        <f>ROUNDUP(MONTH(Order_Details[[#This Row],[Order Date]])/3, 0)</f>
        <v>1</v>
      </c>
    </row>
    <row r="1275" spans="1:14">
      <c r="A1275" s="1" t="s">
        <v>973</v>
      </c>
      <c r="B1275" s="1">
        <v>291</v>
      </c>
      <c r="C1275" s="1">
        <v>93</v>
      </c>
      <c r="D1275" s="1">
        <v>2</v>
      </c>
      <c r="E1275" s="1" t="s">
        <v>1077</v>
      </c>
      <c r="F1275" s="1" t="s">
        <v>1114</v>
      </c>
      <c r="G1275" s="7" t="str">
        <f>_xlfn.XLOOKUP(Order_Details[[#This Row],[Order ID]], List_of_orders[Order ID], List_of_orders[State])</f>
        <v>Maharashtra</v>
      </c>
      <c r="H1275" s="10">
        <f>_xlfn.XLOOKUP(Order_Details[[#This Row],[Order ID]], List_of_orders[Order ID], List_of_orders[Order Date (Clean)])</f>
        <v>43517</v>
      </c>
      <c r="I1275" s="7" t="str">
        <f>_xlfn.XLOOKUP(Order_Details[[#This Row],[Order ID]], List_of_orders[Order ID], List_of_orders[CustomerName])</f>
        <v>Sarita</v>
      </c>
      <c r="J1275" s="7" t="str">
        <f>_xlfn.XLOOKUP(Order_Details[[#This Row],[Order ID]], List_of_orders[Order ID], List_of_orders[City])</f>
        <v>Pune</v>
      </c>
      <c r="K1275" s="8" t="str">
        <f>TEXT(Order_Details[[#This Row],[Order Date]], "YY-MMM")</f>
        <v>19-Feb</v>
      </c>
      <c r="L1275" s="11">
        <f>Order_Details[[#This Row],[Profit]]/Order_Details[[#This Row],[Amount]]</f>
        <v>0.31958762886597936</v>
      </c>
      <c r="M1275" s="8">
        <f>YEAR(Order_Details[[#This Row],[Order Date]])</f>
        <v>2019</v>
      </c>
      <c r="N1275" s="8">
        <f>ROUNDUP(MONTH(Order_Details[[#This Row],[Order Date]])/3, 0)</f>
        <v>1</v>
      </c>
    </row>
    <row r="1276" spans="1:14">
      <c r="A1276" s="1" t="s">
        <v>975</v>
      </c>
      <c r="B1276" s="1">
        <v>67</v>
      </c>
      <c r="C1276" s="1">
        <v>9</v>
      </c>
      <c r="D1276" s="1">
        <v>4</v>
      </c>
      <c r="E1276" s="1" t="s">
        <v>1076</v>
      </c>
      <c r="F1276" s="1" t="s">
        <v>1112</v>
      </c>
      <c r="G1276" s="7" t="str">
        <f>_xlfn.XLOOKUP(Order_Details[[#This Row],[Order ID]], List_of_orders[Order ID], List_of_orders[State])</f>
        <v>Madhya Pradesh</v>
      </c>
      <c r="H1276" s="10">
        <f>_xlfn.XLOOKUP(Order_Details[[#This Row],[Order ID]], List_of_orders[Order ID], List_of_orders[Order Date (Clean)])</f>
        <v>43518</v>
      </c>
      <c r="I1276" s="7" t="str">
        <f>_xlfn.XLOOKUP(Order_Details[[#This Row],[Order ID]], List_of_orders[Order ID], List_of_orders[CustomerName])</f>
        <v>Deepak</v>
      </c>
      <c r="J1276" s="7" t="str">
        <f>_xlfn.XLOOKUP(Order_Details[[#This Row],[Order ID]], List_of_orders[Order ID], List_of_orders[City])</f>
        <v>Bhopal</v>
      </c>
      <c r="K1276" s="8" t="str">
        <f>TEXT(Order_Details[[#This Row],[Order Date]], "YY-MMM")</f>
        <v>19-Feb</v>
      </c>
      <c r="L1276" s="11">
        <f>Order_Details[[#This Row],[Profit]]/Order_Details[[#This Row],[Amount]]</f>
        <v>0.13432835820895522</v>
      </c>
      <c r="M1276" s="8">
        <f>YEAR(Order_Details[[#This Row],[Order Date]])</f>
        <v>2019</v>
      </c>
      <c r="N1276" s="8">
        <f>ROUNDUP(MONTH(Order_Details[[#This Row],[Order Date]])/3, 0)</f>
        <v>1</v>
      </c>
    </row>
    <row r="1277" spans="1:14">
      <c r="A1277" s="1" t="s">
        <v>977</v>
      </c>
      <c r="B1277" s="1">
        <v>47</v>
      </c>
      <c r="C1277" s="1">
        <v>15</v>
      </c>
      <c r="D1277" s="1">
        <v>5</v>
      </c>
      <c r="E1277" s="1" t="s">
        <v>1076</v>
      </c>
      <c r="F1277" s="1" t="s">
        <v>1106</v>
      </c>
      <c r="G1277" s="7" t="str">
        <f>_xlfn.XLOOKUP(Order_Details[[#This Row],[Order ID]], List_of_orders[Order ID], List_of_orders[State])</f>
        <v>Rajasthan</v>
      </c>
      <c r="H1277" s="10">
        <f>_xlfn.XLOOKUP(Order_Details[[#This Row],[Order ID]], List_of_orders[Order ID], List_of_orders[Order Date (Clean)])</f>
        <v>43518</v>
      </c>
      <c r="I1277" s="7" t="str">
        <f>_xlfn.XLOOKUP(Order_Details[[#This Row],[Order ID]], List_of_orders[Order ID], List_of_orders[CustomerName])</f>
        <v>Monisha</v>
      </c>
      <c r="J1277" s="7" t="str">
        <f>_xlfn.XLOOKUP(Order_Details[[#This Row],[Order ID]], List_of_orders[Order ID], List_of_orders[City])</f>
        <v>Jaipur</v>
      </c>
      <c r="K1277" s="8" t="str">
        <f>TEXT(Order_Details[[#This Row],[Order Date]], "YY-MMM")</f>
        <v>19-Feb</v>
      </c>
      <c r="L1277" s="11">
        <f>Order_Details[[#This Row],[Profit]]/Order_Details[[#This Row],[Amount]]</f>
        <v>0.31914893617021278</v>
      </c>
      <c r="M1277" s="8">
        <f>YEAR(Order_Details[[#This Row],[Order Date]])</f>
        <v>2019</v>
      </c>
      <c r="N1277" s="8">
        <f>ROUNDUP(MONTH(Order_Details[[#This Row],[Order Date]])/3, 0)</f>
        <v>1</v>
      </c>
    </row>
    <row r="1278" spans="1:14">
      <c r="A1278" s="1" t="s">
        <v>978</v>
      </c>
      <c r="B1278" s="1">
        <v>774</v>
      </c>
      <c r="C1278" s="1">
        <v>170</v>
      </c>
      <c r="D1278" s="1">
        <v>3</v>
      </c>
      <c r="E1278" s="1" t="s">
        <v>1077</v>
      </c>
      <c r="F1278" s="1" t="s">
        <v>1115</v>
      </c>
      <c r="G1278" s="7" t="str">
        <f>_xlfn.XLOOKUP(Order_Details[[#This Row],[Order ID]], List_of_orders[Order ID], List_of_orders[State])</f>
        <v>West Bengal</v>
      </c>
      <c r="H1278" s="10">
        <f>_xlfn.XLOOKUP(Order_Details[[#This Row],[Order ID]], List_of_orders[Order ID], List_of_orders[Order Date (Clean)])</f>
        <v>43518</v>
      </c>
      <c r="I1278" s="7" t="str">
        <f>_xlfn.XLOOKUP(Order_Details[[#This Row],[Order ID]], List_of_orders[Order ID], List_of_orders[CustomerName])</f>
        <v>Atharv</v>
      </c>
      <c r="J1278" s="7" t="str">
        <f>_xlfn.XLOOKUP(Order_Details[[#This Row],[Order ID]], List_of_orders[Order ID], List_of_orders[City])</f>
        <v>Kolkata</v>
      </c>
      <c r="K1278" s="8" t="str">
        <f>TEXT(Order_Details[[#This Row],[Order Date]], "YY-MMM")</f>
        <v>19-Feb</v>
      </c>
      <c r="L1278" s="11">
        <f>Order_Details[[#This Row],[Profit]]/Order_Details[[#This Row],[Amount]]</f>
        <v>0.21963824289405684</v>
      </c>
      <c r="M1278" s="8">
        <f>YEAR(Order_Details[[#This Row],[Order Date]])</f>
        <v>2019</v>
      </c>
      <c r="N1278" s="8">
        <f>ROUNDUP(MONTH(Order_Details[[#This Row],[Order Date]])/3, 0)</f>
        <v>1</v>
      </c>
    </row>
    <row r="1279" spans="1:14">
      <c r="A1279" s="1" t="s">
        <v>978</v>
      </c>
      <c r="B1279" s="1">
        <v>143</v>
      </c>
      <c r="C1279" s="1">
        <v>32</v>
      </c>
      <c r="D1279" s="1">
        <v>1</v>
      </c>
      <c r="E1279" s="1" t="s">
        <v>1075</v>
      </c>
      <c r="F1279" s="1" t="s">
        <v>1101</v>
      </c>
      <c r="G1279" s="7" t="str">
        <f>_xlfn.XLOOKUP(Order_Details[[#This Row],[Order ID]], List_of_orders[Order ID], List_of_orders[State])</f>
        <v>West Bengal</v>
      </c>
      <c r="H1279" s="10">
        <f>_xlfn.XLOOKUP(Order_Details[[#This Row],[Order ID]], List_of_orders[Order ID], List_of_orders[Order Date (Clean)])</f>
        <v>43518</v>
      </c>
      <c r="I1279" s="7" t="str">
        <f>_xlfn.XLOOKUP(Order_Details[[#This Row],[Order ID]], List_of_orders[Order ID], List_of_orders[CustomerName])</f>
        <v>Atharv</v>
      </c>
      <c r="J1279" s="7" t="str">
        <f>_xlfn.XLOOKUP(Order_Details[[#This Row],[Order ID]], List_of_orders[Order ID], List_of_orders[City])</f>
        <v>Kolkata</v>
      </c>
      <c r="K1279" s="8" t="str">
        <f>TEXT(Order_Details[[#This Row],[Order Date]], "YY-MMM")</f>
        <v>19-Feb</v>
      </c>
      <c r="L1279" s="11">
        <f>Order_Details[[#This Row],[Profit]]/Order_Details[[#This Row],[Amount]]</f>
        <v>0.22377622377622378</v>
      </c>
      <c r="M1279" s="8">
        <f>YEAR(Order_Details[[#This Row],[Order Date]])</f>
        <v>2019</v>
      </c>
      <c r="N1279" s="8">
        <f>ROUNDUP(MONTH(Order_Details[[#This Row],[Order Date]])/3, 0)</f>
        <v>1</v>
      </c>
    </row>
    <row r="1280" spans="1:14">
      <c r="A1280" s="1" t="s">
        <v>978</v>
      </c>
      <c r="B1280" s="1">
        <v>111</v>
      </c>
      <c r="C1280" s="1">
        <v>35</v>
      </c>
      <c r="D1280" s="1">
        <v>5</v>
      </c>
      <c r="E1280" s="1" t="s">
        <v>1076</v>
      </c>
      <c r="F1280" s="1" t="s">
        <v>1111</v>
      </c>
      <c r="G1280" s="7" t="str">
        <f>_xlfn.XLOOKUP(Order_Details[[#This Row],[Order ID]], List_of_orders[Order ID], List_of_orders[State])</f>
        <v>West Bengal</v>
      </c>
      <c r="H1280" s="10">
        <f>_xlfn.XLOOKUP(Order_Details[[#This Row],[Order ID]], List_of_orders[Order ID], List_of_orders[Order Date (Clean)])</f>
        <v>43518</v>
      </c>
      <c r="I1280" s="7" t="str">
        <f>_xlfn.XLOOKUP(Order_Details[[#This Row],[Order ID]], List_of_orders[Order ID], List_of_orders[CustomerName])</f>
        <v>Atharv</v>
      </c>
      <c r="J1280" s="7" t="str">
        <f>_xlfn.XLOOKUP(Order_Details[[#This Row],[Order ID]], List_of_orders[Order ID], List_of_orders[City])</f>
        <v>Kolkata</v>
      </c>
      <c r="K1280" s="8" t="str">
        <f>TEXT(Order_Details[[#This Row],[Order Date]], "YY-MMM")</f>
        <v>19-Feb</v>
      </c>
      <c r="L1280" s="11">
        <f>Order_Details[[#This Row],[Profit]]/Order_Details[[#This Row],[Amount]]</f>
        <v>0.31531531531531531</v>
      </c>
      <c r="M1280" s="8">
        <f>YEAR(Order_Details[[#This Row],[Order Date]])</f>
        <v>2019</v>
      </c>
      <c r="N1280" s="8">
        <f>ROUNDUP(MONTH(Order_Details[[#This Row],[Order Date]])/3, 0)</f>
        <v>1</v>
      </c>
    </row>
    <row r="1281" spans="1:14">
      <c r="A1281" s="1" t="s">
        <v>979</v>
      </c>
      <c r="B1281" s="1">
        <v>425</v>
      </c>
      <c r="C1281" s="1">
        <v>183</v>
      </c>
      <c r="D1281" s="1">
        <v>5</v>
      </c>
      <c r="E1281" s="1" t="s">
        <v>1077</v>
      </c>
      <c r="F1281" s="1" t="s">
        <v>1115</v>
      </c>
      <c r="G1281" s="7" t="str">
        <f>_xlfn.XLOOKUP(Order_Details[[#This Row],[Order ID]], List_of_orders[Order ID], List_of_orders[State])</f>
        <v>Karnataka</v>
      </c>
      <c r="H1281" s="10">
        <f>_xlfn.XLOOKUP(Order_Details[[#This Row],[Order ID]], List_of_orders[Order ID], List_of_orders[Order Date (Clean)])</f>
        <v>43519</v>
      </c>
      <c r="I1281" s="7" t="str">
        <f>_xlfn.XLOOKUP(Order_Details[[#This Row],[Order ID]], List_of_orders[Order ID], List_of_orders[CustomerName])</f>
        <v>Vini</v>
      </c>
      <c r="J1281" s="7" t="str">
        <f>_xlfn.XLOOKUP(Order_Details[[#This Row],[Order ID]], List_of_orders[Order ID], List_of_orders[City])</f>
        <v>Bangalore</v>
      </c>
      <c r="K1281" s="8" t="str">
        <f>TEXT(Order_Details[[#This Row],[Order Date]], "YY-MMM")</f>
        <v>19-Feb</v>
      </c>
      <c r="L1281" s="11">
        <f>Order_Details[[#This Row],[Profit]]/Order_Details[[#This Row],[Amount]]</f>
        <v>0.43058823529411766</v>
      </c>
      <c r="M1281" s="8">
        <f>YEAR(Order_Details[[#This Row],[Order Date]])</f>
        <v>2019</v>
      </c>
      <c r="N1281" s="8">
        <f>ROUNDUP(MONTH(Order_Details[[#This Row],[Order Date]])/3, 0)</f>
        <v>1</v>
      </c>
    </row>
    <row r="1282" spans="1:14">
      <c r="A1282" s="1" t="s">
        <v>981</v>
      </c>
      <c r="B1282" s="1">
        <v>291</v>
      </c>
      <c r="C1282" s="1">
        <v>119</v>
      </c>
      <c r="D1282" s="1">
        <v>11</v>
      </c>
      <c r="E1282" s="1" t="s">
        <v>1076</v>
      </c>
      <c r="F1282" s="1" t="s">
        <v>1106</v>
      </c>
      <c r="G1282" s="7" t="str">
        <f>_xlfn.XLOOKUP(Order_Details[[#This Row],[Order ID]], List_of_orders[Order ID], List_of_orders[State])</f>
        <v>Jammu and Kashmir</v>
      </c>
      <c r="H1282" s="10">
        <f>_xlfn.XLOOKUP(Order_Details[[#This Row],[Order ID]], List_of_orders[Order ID], List_of_orders[Order Date (Clean)])</f>
        <v>43519</v>
      </c>
      <c r="I1282" s="7" t="str">
        <f>_xlfn.XLOOKUP(Order_Details[[#This Row],[Order ID]], List_of_orders[Order ID], List_of_orders[CustomerName])</f>
        <v>Pinky</v>
      </c>
      <c r="J1282" s="7" t="str">
        <f>_xlfn.XLOOKUP(Order_Details[[#This Row],[Order ID]], List_of_orders[Order ID], List_of_orders[City])</f>
        <v>Kashmir</v>
      </c>
      <c r="K1282" s="8" t="str">
        <f>TEXT(Order_Details[[#This Row],[Order Date]], "YY-MMM")</f>
        <v>19-Feb</v>
      </c>
      <c r="L1282" s="11">
        <f>Order_Details[[#This Row],[Profit]]/Order_Details[[#This Row],[Amount]]</f>
        <v>0.40893470790378006</v>
      </c>
      <c r="M1282" s="8">
        <f>YEAR(Order_Details[[#This Row],[Order Date]])</f>
        <v>2019</v>
      </c>
      <c r="N1282" s="8">
        <f>ROUNDUP(MONTH(Order_Details[[#This Row],[Order Date]])/3, 0)</f>
        <v>1</v>
      </c>
    </row>
    <row r="1283" spans="1:14">
      <c r="A1283" s="1" t="s">
        <v>981</v>
      </c>
      <c r="B1283" s="1">
        <v>520</v>
      </c>
      <c r="C1283" s="1">
        <v>151</v>
      </c>
      <c r="D1283" s="1">
        <v>3</v>
      </c>
      <c r="E1283" s="1" t="s">
        <v>1077</v>
      </c>
      <c r="F1283" s="1" t="s">
        <v>1105</v>
      </c>
      <c r="G1283" s="7" t="str">
        <f>_xlfn.XLOOKUP(Order_Details[[#This Row],[Order ID]], List_of_orders[Order ID], List_of_orders[State])</f>
        <v>Jammu and Kashmir</v>
      </c>
      <c r="H1283" s="10">
        <f>_xlfn.XLOOKUP(Order_Details[[#This Row],[Order ID]], List_of_orders[Order ID], List_of_orders[Order Date (Clean)])</f>
        <v>43519</v>
      </c>
      <c r="I1283" s="7" t="str">
        <f>_xlfn.XLOOKUP(Order_Details[[#This Row],[Order ID]], List_of_orders[Order ID], List_of_orders[CustomerName])</f>
        <v>Pinky</v>
      </c>
      <c r="J1283" s="7" t="str">
        <f>_xlfn.XLOOKUP(Order_Details[[#This Row],[Order ID]], List_of_orders[Order ID], List_of_orders[City])</f>
        <v>Kashmir</v>
      </c>
      <c r="K1283" s="8" t="str">
        <f>TEXT(Order_Details[[#This Row],[Order Date]], "YY-MMM")</f>
        <v>19-Feb</v>
      </c>
      <c r="L1283" s="11">
        <f>Order_Details[[#This Row],[Profit]]/Order_Details[[#This Row],[Amount]]</f>
        <v>0.29038461538461541</v>
      </c>
      <c r="M1283" s="8">
        <f>YEAR(Order_Details[[#This Row],[Order Date]])</f>
        <v>2019</v>
      </c>
      <c r="N1283" s="8">
        <f>ROUNDUP(MONTH(Order_Details[[#This Row],[Order Date]])/3, 0)</f>
        <v>1</v>
      </c>
    </row>
    <row r="1284" spans="1:14">
      <c r="A1284" s="1" t="s">
        <v>981</v>
      </c>
      <c r="B1284" s="1">
        <v>369</v>
      </c>
      <c r="C1284" s="1">
        <v>15</v>
      </c>
      <c r="D1284" s="1">
        <v>3</v>
      </c>
      <c r="E1284" s="1" t="s">
        <v>1077</v>
      </c>
      <c r="F1284" s="1" t="s">
        <v>1104</v>
      </c>
      <c r="G1284" s="7" t="str">
        <f>_xlfn.XLOOKUP(Order_Details[[#This Row],[Order ID]], List_of_orders[Order ID], List_of_orders[State])</f>
        <v>Jammu and Kashmir</v>
      </c>
      <c r="H1284" s="10">
        <f>_xlfn.XLOOKUP(Order_Details[[#This Row],[Order ID]], List_of_orders[Order ID], List_of_orders[Order Date (Clean)])</f>
        <v>43519</v>
      </c>
      <c r="I1284" s="7" t="str">
        <f>_xlfn.XLOOKUP(Order_Details[[#This Row],[Order ID]], List_of_orders[Order ID], List_of_orders[CustomerName])</f>
        <v>Pinky</v>
      </c>
      <c r="J1284" s="7" t="str">
        <f>_xlfn.XLOOKUP(Order_Details[[#This Row],[Order ID]], List_of_orders[Order ID], List_of_orders[City])</f>
        <v>Kashmir</v>
      </c>
      <c r="K1284" s="8" t="str">
        <f>TEXT(Order_Details[[#This Row],[Order Date]], "YY-MMM")</f>
        <v>19-Feb</v>
      </c>
      <c r="L1284" s="11">
        <f>Order_Details[[#This Row],[Profit]]/Order_Details[[#This Row],[Amount]]</f>
        <v>4.065040650406504E-2</v>
      </c>
      <c r="M1284" s="8">
        <f>YEAR(Order_Details[[#This Row],[Order Date]])</f>
        <v>2019</v>
      </c>
      <c r="N1284" s="8">
        <f>ROUNDUP(MONTH(Order_Details[[#This Row],[Order Date]])/3, 0)</f>
        <v>1</v>
      </c>
    </row>
    <row r="1285" spans="1:14">
      <c r="A1285" s="1" t="s">
        <v>982</v>
      </c>
      <c r="B1285" s="1">
        <v>341</v>
      </c>
      <c r="C1285" s="1">
        <v>44</v>
      </c>
      <c r="D1285" s="1">
        <v>7</v>
      </c>
      <c r="E1285" s="1" t="s">
        <v>1075</v>
      </c>
      <c r="F1285" s="1" t="s">
        <v>1116</v>
      </c>
      <c r="G1285" s="7" t="str">
        <f>_xlfn.XLOOKUP(Order_Details[[#This Row],[Order ID]], List_of_orders[Order ID], List_of_orders[State])</f>
        <v>Maharashtra</v>
      </c>
      <c r="H1285" s="10">
        <f>_xlfn.XLOOKUP(Order_Details[[#This Row],[Order ID]], List_of_orders[Order ID], List_of_orders[Order Date (Clean)])</f>
        <v>43519</v>
      </c>
      <c r="I1285" s="7" t="str">
        <f>_xlfn.XLOOKUP(Order_Details[[#This Row],[Order ID]], List_of_orders[Order ID], List_of_orders[CustomerName])</f>
        <v>Bhishm</v>
      </c>
      <c r="J1285" s="7" t="str">
        <f>_xlfn.XLOOKUP(Order_Details[[#This Row],[Order ID]], List_of_orders[Order ID], List_of_orders[City])</f>
        <v>Mumbai</v>
      </c>
      <c r="K1285" s="8" t="str">
        <f>TEXT(Order_Details[[#This Row],[Order Date]], "YY-MMM")</f>
        <v>19-Feb</v>
      </c>
      <c r="L1285" s="11">
        <f>Order_Details[[#This Row],[Profit]]/Order_Details[[#This Row],[Amount]]</f>
        <v>0.12903225806451613</v>
      </c>
      <c r="M1285" s="8">
        <f>YEAR(Order_Details[[#This Row],[Order Date]])</f>
        <v>2019</v>
      </c>
      <c r="N1285" s="8">
        <f>ROUNDUP(MONTH(Order_Details[[#This Row],[Order Date]])/3, 0)</f>
        <v>1</v>
      </c>
    </row>
    <row r="1286" spans="1:14">
      <c r="A1286" s="1" t="s">
        <v>983</v>
      </c>
      <c r="B1286" s="1">
        <v>171</v>
      </c>
      <c r="C1286" s="1">
        <v>68</v>
      </c>
      <c r="D1286" s="1">
        <v>7</v>
      </c>
      <c r="E1286" s="1" t="s">
        <v>1076</v>
      </c>
      <c r="F1286" s="1" t="s">
        <v>1102</v>
      </c>
      <c r="G1286" s="7" t="str">
        <f>_xlfn.XLOOKUP(Order_Details[[#This Row],[Order ID]], List_of_orders[Order ID], List_of_orders[State])</f>
        <v>Madhya Pradesh</v>
      </c>
      <c r="H1286" s="10">
        <f>_xlfn.XLOOKUP(Order_Details[[#This Row],[Order ID]], List_of_orders[Order ID], List_of_orders[Order Date (Clean)])</f>
        <v>43519</v>
      </c>
      <c r="I1286" s="7" t="str">
        <f>_xlfn.XLOOKUP(Order_Details[[#This Row],[Order ID]], List_of_orders[Order ID], List_of_orders[CustomerName])</f>
        <v>Hitika</v>
      </c>
      <c r="J1286" s="7" t="str">
        <f>_xlfn.XLOOKUP(Order_Details[[#This Row],[Order ID]], List_of_orders[Order ID], List_of_orders[City])</f>
        <v>Indore</v>
      </c>
      <c r="K1286" s="8" t="str">
        <f>TEXT(Order_Details[[#This Row],[Order Date]], "YY-MMM")</f>
        <v>19-Feb</v>
      </c>
      <c r="L1286" s="11">
        <f>Order_Details[[#This Row],[Profit]]/Order_Details[[#This Row],[Amount]]</f>
        <v>0.39766081871345027</v>
      </c>
      <c r="M1286" s="8">
        <f>YEAR(Order_Details[[#This Row],[Order Date]])</f>
        <v>2019</v>
      </c>
      <c r="N1286" s="8">
        <f>ROUNDUP(MONTH(Order_Details[[#This Row],[Order Date]])/3, 0)</f>
        <v>1</v>
      </c>
    </row>
    <row r="1287" spans="1:14">
      <c r="A1287" s="1" t="s">
        <v>984</v>
      </c>
      <c r="B1287" s="1">
        <v>41</v>
      </c>
      <c r="C1287" s="1">
        <v>19</v>
      </c>
      <c r="D1287" s="1">
        <v>2</v>
      </c>
      <c r="E1287" s="1" t="s">
        <v>1076</v>
      </c>
      <c r="F1287" s="1" t="s">
        <v>1110</v>
      </c>
      <c r="G1287" s="7" t="str">
        <f>_xlfn.XLOOKUP(Order_Details[[#This Row],[Order ID]], List_of_orders[Order ID], List_of_orders[State])</f>
        <v>Bihar</v>
      </c>
      <c r="H1287" s="10">
        <f>_xlfn.XLOOKUP(Order_Details[[#This Row],[Order ID]], List_of_orders[Order ID], List_of_orders[Order Date (Clean)])</f>
        <v>43520</v>
      </c>
      <c r="I1287" s="7" t="str">
        <f>_xlfn.XLOOKUP(Order_Details[[#This Row],[Order ID]], List_of_orders[Order ID], List_of_orders[CustomerName])</f>
        <v>Pooja</v>
      </c>
      <c r="J1287" s="7" t="str">
        <f>_xlfn.XLOOKUP(Order_Details[[#This Row],[Order ID]], List_of_orders[Order ID], List_of_orders[City])</f>
        <v>Patna</v>
      </c>
      <c r="K1287" s="8" t="str">
        <f>TEXT(Order_Details[[#This Row],[Order Date]], "YY-MMM")</f>
        <v>19-Feb</v>
      </c>
      <c r="L1287" s="11">
        <f>Order_Details[[#This Row],[Profit]]/Order_Details[[#This Row],[Amount]]</f>
        <v>0.46341463414634149</v>
      </c>
      <c r="M1287" s="8">
        <f>YEAR(Order_Details[[#This Row],[Order Date]])</f>
        <v>2019</v>
      </c>
      <c r="N1287" s="8">
        <f>ROUNDUP(MONTH(Order_Details[[#This Row],[Order Date]])/3, 0)</f>
        <v>1</v>
      </c>
    </row>
    <row r="1288" spans="1:14">
      <c r="A1288" s="1" t="s">
        <v>984</v>
      </c>
      <c r="B1288" s="1">
        <v>130</v>
      </c>
      <c r="C1288" s="1">
        <v>61</v>
      </c>
      <c r="D1288" s="1">
        <v>3</v>
      </c>
      <c r="E1288" s="1" t="s">
        <v>1076</v>
      </c>
      <c r="F1288" s="1" t="s">
        <v>1111</v>
      </c>
      <c r="G1288" s="7" t="str">
        <f>_xlfn.XLOOKUP(Order_Details[[#This Row],[Order ID]], List_of_orders[Order ID], List_of_orders[State])</f>
        <v>Bihar</v>
      </c>
      <c r="H1288" s="10">
        <f>_xlfn.XLOOKUP(Order_Details[[#This Row],[Order ID]], List_of_orders[Order ID], List_of_orders[Order Date (Clean)])</f>
        <v>43520</v>
      </c>
      <c r="I1288" s="7" t="str">
        <f>_xlfn.XLOOKUP(Order_Details[[#This Row],[Order ID]], List_of_orders[Order ID], List_of_orders[CustomerName])</f>
        <v>Pooja</v>
      </c>
      <c r="J1288" s="7" t="str">
        <f>_xlfn.XLOOKUP(Order_Details[[#This Row],[Order ID]], List_of_orders[Order ID], List_of_orders[City])</f>
        <v>Patna</v>
      </c>
      <c r="K1288" s="8" t="str">
        <f>TEXT(Order_Details[[#This Row],[Order Date]], "YY-MMM")</f>
        <v>19-Feb</v>
      </c>
      <c r="L1288" s="11">
        <f>Order_Details[[#This Row],[Profit]]/Order_Details[[#This Row],[Amount]]</f>
        <v>0.46923076923076923</v>
      </c>
      <c r="M1288" s="8">
        <f>YEAR(Order_Details[[#This Row],[Order Date]])</f>
        <v>2019</v>
      </c>
      <c r="N1288" s="8">
        <f>ROUNDUP(MONTH(Order_Details[[#This Row],[Order Date]])/3, 0)</f>
        <v>1</v>
      </c>
    </row>
    <row r="1289" spans="1:14">
      <c r="A1289" s="1" t="s">
        <v>984</v>
      </c>
      <c r="B1289" s="1">
        <v>52</v>
      </c>
      <c r="C1289" s="1">
        <v>14</v>
      </c>
      <c r="D1289" s="1">
        <v>2</v>
      </c>
      <c r="E1289" s="1" t="s">
        <v>1076</v>
      </c>
      <c r="F1289" s="1" t="s">
        <v>1102</v>
      </c>
      <c r="G1289" s="7" t="str">
        <f>_xlfn.XLOOKUP(Order_Details[[#This Row],[Order ID]], List_of_orders[Order ID], List_of_orders[State])</f>
        <v>Bihar</v>
      </c>
      <c r="H1289" s="10">
        <f>_xlfn.XLOOKUP(Order_Details[[#This Row],[Order ID]], List_of_orders[Order ID], List_of_orders[Order Date (Clean)])</f>
        <v>43520</v>
      </c>
      <c r="I1289" s="7" t="str">
        <f>_xlfn.XLOOKUP(Order_Details[[#This Row],[Order ID]], List_of_orders[Order ID], List_of_orders[CustomerName])</f>
        <v>Pooja</v>
      </c>
      <c r="J1289" s="7" t="str">
        <f>_xlfn.XLOOKUP(Order_Details[[#This Row],[Order ID]], List_of_orders[Order ID], List_of_orders[City])</f>
        <v>Patna</v>
      </c>
      <c r="K1289" s="8" t="str">
        <f>TEXT(Order_Details[[#This Row],[Order Date]], "YY-MMM")</f>
        <v>19-Feb</v>
      </c>
      <c r="L1289" s="11">
        <f>Order_Details[[#This Row],[Profit]]/Order_Details[[#This Row],[Amount]]</f>
        <v>0.26923076923076922</v>
      </c>
      <c r="M1289" s="8">
        <f>YEAR(Order_Details[[#This Row],[Order Date]])</f>
        <v>2019</v>
      </c>
      <c r="N1289" s="8">
        <f>ROUNDUP(MONTH(Order_Details[[#This Row],[Order Date]])/3, 0)</f>
        <v>1</v>
      </c>
    </row>
    <row r="1290" spans="1:14">
      <c r="A1290" s="1" t="s">
        <v>984</v>
      </c>
      <c r="B1290" s="1">
        <v>30</v>
      </c>
      <c r="C1290" s="1">
        <v>6</v>
      </c>
      <c r="D1290" s="1">
        <v>1</v>
      </c>
      <c r="E1290" s="1" t="s">
        <v>1076</v>
      </c>
      <c r="F1290" s="1" t="s">
        <v>1110</v>
      </c>
      <c r="G1290" s="7" t="str">
        <f>_xlfn.XLOOKUP(Order_Details[[#This Row],[Order ID]], List_of_orders[Order ID], List_of_orders[State])</f>
        <v>Bihar</v>
      </c>
      <c r="H1290" s="10">
        <f>_xlfn.XLOOKUP(Order_Details[[#This Row],[Order ID]], List_of_orders[Order ID], List_of_orders[Order Date (Clean)])</f>
        <v>43520</v>
      </c>
      <c r="I1290" s="7" t="str">
        <f>_xlfn.XLOOKUP(Order_Details[[#This Row],[Order ID]], List_of_orders[Order ID], List_of_orders[CustomerName])</f>
        <v>Pooja</v>
      </c>
      <c r="J1290" s="7" t="str">
        <f>_xlfn.XLOOKUP(Order_Details[[#This Row],[Order ID]], List_of_orders[Order ID], List_of_orders[City])</f>
        <v>Patna</v>
      </c>
      <c r="K1290" s="8" t="str">
        <f>TEXT(Order_Details[[#This Row],[Order Date]], "YY-MMM")</f>
        <v>19-Feb</v>
      </c>
      <c r="L1290" s="11">
        <f>Order_Details[[#This Row],[Profit]]/Order_Details[[#This Row],[Amount]]</f>
        <v>0.2</v>
      </c>
      <c r="M1290" s="8">
        <f>YEAR(Order_Details[[#This Row],[Order Date]])</f>
        <v>2019</v>
      </c>
      <c r="N1290" s="8">
        <f>ROUNDUP(MONTH(Order_Details[[#This Row],[Order Date]])/3, 0)</f>
        <v>1</v>
      </c>
    </row>
    <row r="1291" spans="1:14">
      <c r="A1291" s="1" t="s">
        <v>986</v>
      </c>
      <c r="B1291" s="1">
        <v>83</v>
      </c>
      <c r="C1291" s="1">
        <v>34</v>
      </c>
      <c r="D1291" s="1">
        <v>5</v>
      </c>
      <c r="E1291" s="1" t="s">
        <v>1076</v>
      </c>
      <c r="F1291" s="1" t="s">
        <v>1111</v>
      </c>
      <c r="G1291" s="7" t="str">
        <f>_xlfn.XLOOKUP(Order_Details[[#This Row],[Order ID]], List_of_orders[Order ID], List_of_orders[State])</f>
        <v xml:space="preserve">Kerala </v>
      </c>
      <c r="H1291" s="10">
        <f>_xlfn.XLOOKUP(Order_Details[[#This Row],[Order ID]], List_of_orders[Order ID], List_of_orders[Order Date (Clean)])</f>
        <v>43521</v>
      </c>
      <c r="I1291" s="7" t="str">
        <f>_xlfn.XLOOKUP(Order_Details[[#This Row],[Order ID]], List_of_orders[Order ID], List_of_orders[CustomerName])</f>
        <v>Hemant</v>
      </c>
      <c r="J1291" s="7" t="str">
        <f>_xlfn.XLOOKUP(Order_Details[[#This Row],[Order ID]], List_of_orders[Order ID], List_of_orders[City])</f>
        <v>Thiruvananthapuram</v>
      </c>
      <c r="K1291" s="8" t="str">
        <f>TEXT(Order_Details[[#This Row],[Order Date]], "YY-MMM")</f>
        <v>19-Feb</v>
      </c>
      <c r="L1291" s="11">
        <f>Order_Details[[#This Row],[Profit]]/Order_Details[[#This Row],[Amount]]</f>
        <v>0.40963855421686746</v>
      </c>
      <c r="M1291" s="8">
        <f>YEAR(Order_Details[[#This Row],[Order Date]])</f>
        <v>2019</v>
      </c>
      <c r="N1291" s="8">
        <f>ROUNDUP(MONTH(Order_Details[[#This Row],[Order Date]])/3, 0)</f>
        <v>1</v>
      </c>
    </row>
    <row r="1292" spans="1:14">
      <c r="A1292" s="1" t="s">
        <v>988</v>
      </c>
      <c r="B1292" s="1">
        <v>38</v>
      </c>
      <c r="C1292" s="1">
        <v>9</v>
      </c>
      <c r="D1292" s="1">
        <v>2</v>
      </c>
      <c r="E1292" s="1" t="s">
        <v>1076</v>
      </c>
      <c r="F1292" s="1" t="s">
        <v>1102</v>
      </c>
      <c r="G1292" s="7" t="str">
        <f>_xlfn.XLOOKUP(Order_Details[[#This Row],[Order ID]], List_of_orders[Order ID], List_of_orders[State])</f>
        <v>Punjab</v>
      </c>
      <c r="H1292" s="10">
        <f>_xlfn.XLOOKUP(Order_Details[[#This Row],[Order ID]], List_of_orders[Order ID], List_of_orders[Order Date (Clean)])</f>
        <v>43522</v>
      </c>
      <c r="I1292" s="7" t="str">
        <f>_xlfn.XLOOKUP(Order_Details[[#This Row],[Order ID]], List_of_orders[Order ID], List_of_orders[CustomerName])</f>
        <v>Sahil</v>
      </c>
      <c r="J1292" s="7" t="str">
        <f>_xlfn.XLOOKUP(Order_Details[[#This Row],[Order ID]], List_of_orders[Order ID], List_of_orders[City])</f>
        <v>Chandigarh</v>
      </c>
      <c r="K1292" s="8" t="str">
        <f>TEXT(Order_Details[[#This Row],[Order Date]], "YY-MMM")</f>
        <v>19-Feb</v>
      </c>
      <c r="L1292" s="11">
        <f>Order_Details[[#This Row],[Profit]]/Order_Details[[#This Row],[Amount]]</f>
        <v>0.23684210526315788</v>
      </c>
      <c r="M1292" s="8">
        <f>YEAR(Order_Details[[#This Row],[Order Date]])</f>
        <v>2019</v>
      </c>
      <c r="N1292" s="8">
        <f>ROUNDUP(MONTH(Order_Details[[#This Row],[Order Date]])/3, 0)</f>
        <v>1</v>
      </c>
    </row>
    <row r="1293" spans="1:14">
      <c r="A1293" s="1" t="s">
        <v>988</v>
      </c>
      <c r="B1293" s="1">
        <v>113</v>
      </c>
      <c r="C1293" s="1">
        <v>24</v>
      </c>
      <c r="D1293" s="1">
        <v>4</v>
      </c>
      <c r="E1293" s="1" t="s">
        <v>1076</v>
      </c>
      <c r="F1293" s="1" t="s">
        <v>1103</v>
      </c>
      <c r="G1293" s="7" t="str">
        <f>_xlfn.XLOOKUP(Order_Details[[#This Row],[Order ID]], List_of_orders[Order ID], List_of_orders[State])</f>
        <v>Punjab</v>
      </c>
      <c r="H1293" s="10">
        <f>_xlfn.XLOOKUP(Order_Details[[#This Row],[Order ID]], List_of_orders[Order ID], List_of_orders[Order Date (Clean)])</f>
        <v>43522</v>
      </c>
      <c r="I1293" s="7" t="str">
        <f>_xlfn.XLOOKUP(Order_Details[[#This Row],[Order ID]], List_of_orders[Order ID], List_of_orders[CustomerName])</f>
        <v>Sahil</v>
      </c>
      <c r="J1293" s="7" t="str">
        <f>_xlfn.XLOOKUP(Order_Details[[#This Row],[Order ID]], List_of_orders[Order ID], List_of_orders[City])</f>
        <v>Chandigarh</v>
      </c>
      <c r="K1293" s="8" t="str">
        <f>TEXT(Order_Details[[#This Row],[Order Date]], "YY-MMM")</f>
        <v>19-Feb</v>
      </c>
      <c r="L1293" s="11">
        <f>Order_Details[[#This Row],[Profit]]/Order_Details[[#This Row],[Amount]]</f>
        <v>0.21238938053097345</v>
      </c>
      <c r="M1293" s="8">
        <f>YEAR(Order_Details[[#This Row],[Order Date]])</f>
        <v>2019</v>
      </c>
      <c r="N1293" s="8">
        <f>ROUNDUP(MONTH(Order_Details[[#This Row],[Order Date]])/3, 0)</f>
        <v>1</v>
      </c>
    </row>
    <row r="1294" spans="1:14">
      <c r="A1294" s="1" t="s">
        <v>988</v>
      </c>
      <c r="B1294" s="1">
        <v>833</v>
      </c>
      <c r="C1294" s="1">
        <v>93</v>
      </c>
      <c r="D1294" s="1">
        <v>3</v>
      </c>
      <c r="E1294" s="1" t="s">
        <v>1076</v>
      </c>
      <c r="F1294" s="1" t="s">
        <v>1107</v>
      </c>
      <c r="G1294" s="7" t="str">
        <f>_xlfn.XLOOKUP(Order_Details[[#This Row],[Order ID]], List_of_orders[Order ID], List_of_orders[State])</f>
        <v>Punjab</v>
      </c>
      <c r="H1294" s="10">
        <f>_xlfn.XLOOKUP(Order_Details[[#This Row],[Order ID]], List_of_orders[Order ID], List_of_orders[Order Date (Clean)])</f>
        <v>43522</v>
      </c>
      <c r="I1294" s="7" t="str">
        <f>_xlfn.XLOOKUP(Order_Details[[#This Row],[Order ID]], List_of_orders[Order ID], List_of_orders[CustomerName])</f>
        <v>Sahil</v>
      </c>
      <c r="J1294" s="7" t="str">
        <f>_xlfn.XLOOKUP(Order_Details[[#This Row],[Order ID]], List_of_orders[Order ID], List_of_orders[City])</f>
        <v>Chandigarh</v>
      </c>
      <c r="K1294" s="8" t="str">
        <f>TEXT(Order_Details[[#This Row],[Order Date]], "YY-MMM")</f>
        <v>19-Feb</v>
      </c>
      <c r="L1294" s="11">
        <f>Order_Details[[#This Row],[Profit]]/Order_Details[[#This Row],[Amount]]</f>
        <v>0.11164465786314526</v>
      </c>
      <c r="M1294" s="8">
        <f>YEAR(Order_Details[[#This Row],[Order Date]])</f>
        <v>2019</v>
      </c>
      <c r="N1294" s="8">
        <f>ROUNDUP(MONTH(Order_Details[[#This Row],[Order Date]])/3, 0)</f>
        <v>1</v>
      </c>
    </row>
    <row r="1295" spans="1:14">
      <c r="A1295" s="1" t="s">
        <v>990</v>
      </c>
      <c r="B1295" s="1">
        <v>176</v>
      </c>
      <c r="C1295" s="1">
        <v>-28</v>
      </c>
      <c r="D1295" s="1">
        <v>5</v>
      </c>
      <c r="E1295" s="1" t="s">
        <v>1075</v>
      </c>
      <c r="F1295" s="1" t="s">
        <v>1116</v>
      </c>
      <c r="G1295" s="7" t="str">
        <f>_xlfn.XLOOKUP(Order_Details[[#This Row],[Order ID]], List_of_orders[Order ID], List_of_orders[State])</f>
        <v>Haryana</v>
      </c>
      <c r="H1295" s="10">
        <f>_xlfn.XLOOKUP(Order_Details[[#This Row],[Order ID]], List_of_orders[Order ID], List_of_orders[Order Date (Clean)])</f>
        <v>43523</v>
      </c>
      <c r="I1295" s="7" t="str">
        <f>_xlfn.XLOOKUP(Order_Details[[#This Row],[Order ID]], List_of_orders[Order ID], List_of_orders[CustomerName])</f>
        <v>Ritu</v>
      </c>
      <c r="J1295" s="7" t="str">
        <f>_xlfn.XLOOKUP(Order_Details[[#This Row],[Order ID]], List_of_orders[Order ID], List_of_orders[City])</f>
        <v>Chandigarh</v>
      </c>
      <c r="K1295" s="8" t="str">
        <f>TEXT(Order_Details[[#This Row],[Order Date]], "YY-MMM")</f>
        <v>19-Feb</v>
      </c>
      <c r="L1295" s="11">
        <f>Order_Details[[#This Row],[Profit]]/Order_Details[[#This Row],[Amount]]</f>
        <v>-0.15909090909090909</v>
      </c>
      <c r="M1295" s="8">
        <f>YEAR(Order_Details[[#This Row],[Order Date]])</f>
        <v>2019</v>
      </c>
      <c r="N1295" s="8">
        <f>ROUNDUP(MONTH(Order_Details[[#This Row],[Order Date]])/3, 0)</f>
        <v>1</v>
      </c>
    </row>
    <row r="1296" spans="1:14">
      <c r="A1296" s="1" t="s">
        <v>992</v>
      </c>
      <c r="B1296" s="1">
        <v>36</v>
      </c>
      <c r="C1296" s="1">
        <v>15</v>
      </c>
      <c r="D1296" s="1">
        <v>3</v>
      </c>
      <c r="E1296" s="1" t="s">
        <v>1076</v>
      </c>
      <c r="F1296" s="1" t="s">
        <v>1102</v>
      </c>
      <c r="G1296" s="7" t="str">
        <f>_xlfn.XLOOKUP(Order_Details[[#This Row],[Order ID]], List_of_orders[Order ID], List_of_orders[State])</f>
        <v>Himachal Pradesh</v>
      </c>
      <c r="H1296" s="10">
        <f>_xlfn.XLOOKUP(Order_Details[[#This Row],[Order ID]], List_of_orders[Order ID], List_of_orders[Order Date (Clean)])</f>
        <v>43524</v>
      </c>
      <c r="I1296" s="7" t="str">
        <f>_xlfn.XLOOKUP(Order_Details[[#This Row],[Order ID]], List_of_orders[Order ID], List_of_orders[CustomerName])</f>
        <v>Manish</v>
      </c>
      <c r="J1296" s="7" t="str">
        <f>_xlfn.XLOOKUP(Order_Details[[#This Row],[Order ID]], List_of_orders[Order ID], List_of_orders[City])</f>
        <v>Simla</v>
      </c>
      <c r="K1296" s="8" t="str">
        <f>TEXT(Order_Details[[#This Row],[Order Date]], "YY-MMM")</f>
        <v>19-Feb</v>
      </c>
      <c r="L1296" s="11">
        <f>Order_Details[[#This Row],[Profit]]/Order_Details[[#This Row],[Amount]]</f>
        <v>0.41666666666666669</v>
      </c>
      <c r="M1296" s="8">
        <f>YEAR(Order_Details[[#This Row],[Order Date]])</f>
        <v>2019</v>
      </c>
      <c r="N1296" s="8">
        <f>ROUNDUP(MONTH(Order_Details[[#This Row],[Order Date]])/3, 0)</f>
        <v>1</v>
      </c>
    </row>
    <row r="1297" spans="1:14">
      <c r="A1297" s="1" t="s">
        <v>994</v>
      </c>
      <c r="B1297" s="1">
        <v>185</v>
      </c>
      <c r="C1297" s="1">
        <v>48</v>
      </c>
      <c r="D1297" s="1">
        <v>4</v>
      </c>
      <c r="E1297" s="1" t="s">
        <v>1076</v>
      </c>
      <c r="F1297" s="1" t="s">
        <v>1102</v>
      </c>
      <c r="G1297" s="7" t="str">
        <f>_xlfn.XLOOKUP(Order_Details[[#This Row],[Order ID]], List_of_orders[Order ID], List_of_orders[State])</f>
        <v>Sikkim</v>
      </c>
      <c r="H1297" s="10">
        <f>_xlfn.XLOOKUP(Order_Details[[#This Row],[Order ID]], List_of_orders[Order ID], List_of_orders[Order Date (Clean)])</f>
        <v>43525</v>
      </c>
      <c r="I1297" s="7" t="str">
        <f>_xlfn.XLOOKUP(Order_Details[[#This Row],[Order ID]], List_of_orders[Order ID], List_of_orders[CustomerName])</f>
        <v>Amit</v>
      </c>
      <c r="J1297" s="7" t="str">
        <f>_xlfn.XLOOKUP(Order_Details[[#This Row],[Order ID]], List_of_orders[Order ID], List_of_orders[City])</f>
        <v>Gangtok</v>
      </c>
      <c r="K1297" s="8" t="str">
        <f>TEXT(Order_Details[[#This Row],[Order Date]], "YY-MMM")</f>
        <v>19-Mar</v>
      </c>
      <c r="L1297" s="11">
        <f>Order_Details[[#This Row],[Profit]]/Order_Details[[#This Row],[Amount]]</f>
        <v>0.25945945945945947</v>
      </c>
      <c r="M1297" s="8">
        <f>YEAR(Order_Details[[#This Row],[Order Date]])</f>
        <v>2019</v>
      </c>
      <c r="N1297" s="8">
        <f>ROUNDUP(MONTH(Order_Details[[#This Row],[Order Date]])/3, 0)</f>
        <v>1</v>
      </c>
    </row>
    <row r="1298" spans="1:14">
      <c r="A1298" s="1" t="s">
        <v>994</v>
      </c>
      <c r="B1298" s="1">
        <v>62</v>
      </c>
      <c r="C1298" s="1">
        <v>28</v>
      </c>
      <c r="D1298" s="1">
        <v>5</v>
      </c>
      <c r="E1298" s="1" t="s">
        <v>1076</v>
      </c>
      <c r="F1298" s="1" t="s">
        <v>1103</v>
      </c>
      <c r="G1298" s="7" t="str">
        <f>_xlfn.XLOOKUP(Order_Details[[#This Row],[Order ID]], List_of_orders[Order ID], List_of_orders[State])</f>
        <v>Sikkim</v>
      </c>
      <c r="H1298" s="10">
        <f>_xlfn.XLOOKUP(Order_Details[[#This Row],[Order ID]], List_of_orders[Order ID], List_of_orders[Order Date (Clean)])</f>
        <v>43525</v>
      </c>
      <c r="I1298" s="7" t="str">
        <f>_xlfn.XLOOKUP(Order_Details[[#This Row],[Order ID]], List_of_orders[Order ID], List_of_orders[CustomerName])</f>
        <v>Amit</v>
      </c>
      <c r="J1298" s="7" t="str">
        <f>_xlfn.XLOOKUP(Order_Details[[#This Row],[Order ID]], List_of_orders[Order ID], List_of_orders[City])</f>
        <v>Gangtok</v>
      </c>
      <c r="K1298" s="8" t="str">
        <f>TEXT(Order_Details[[#This Row],[Order Date]], "YY-MMM")</f>
        <v>19-Mar</v>
      </c>
      <c r="L1298" s="11">
        <f>Order_Details[[#This Row],[Profit]]/Order_Details[[#This Row],[Amount]]</f>
        <v>0.45161290322580644</v>
      </c>
      <c r="M1298" s="8">
        <f>YEAR(Order_Details[[#This Row],[Order Date]])</f>
        <v>2019</v>
      </c>
      <c r="N1298" s="8">
        <f>ROUNDUP(MONTH(Order_Details[[#This Row],[Order Date]])/3, 0)</f>
        <v>1</v>
      </c>
    </row>
    <row r="1299" spans="1:14">
      <c r="A1299" s="1" t="s">
        <v>994</v>
      </c>
      <c r="B1299" s="1">
        <v>79</v>
      </c>
      <c r="C1299" s="1">
        <v>5</v>
      </c>
      <c r="D1299" s="1">
        <v>6</v>
      </c>
      <c r="E1299" s="1" t="s">
        <v>1076</v>
      </c>
      <c r="F1299" s="1" t="s">
        <v>1103</v>
      </c>
      <c r="G1299" s="7" t="str">
        <f>_xlfn.XLOOKUP(Order_Details[[#This Row],[Order ID]], List_of_orders[Order ID], List_of_orders[State])</f>
        <v>Sikkim</v>
      </c>
      <c r="H1299" s="10">
        <f>_xlfn.XLOOKUP(Order_Details[[#This Row],[Order ID]], List_of_orders[Order ID], List_of_orders[Order Date (Clean)])</f>
        <v>43525</v>
      </c>
      <c r="I1299" s="7" t="str">
        <f>_xlfn.XLOOKUP(Order_Details[[#This Row],[Order ID]], List_of_orders[Order ID], List_of_orders[CustomerName])</f>
        <v>Amit</v>
      </c>
      <c r="J1299" s="7" t="str">
        <f>_xlfn.XLOOKUP(Order_Details[[#This Row],[Order ID]], List_of_orders[Order ID], List_of_orders[City])</f>
        <v>Gangtok</v>
      </c>
      <c r="K1299" s="8" t="str">
        <f>TEXT(Order_Details[[#This Row],[Order Date]], "YY-MMM")</f>
        <v>19-Mar</v>
      </c>
      <c r="L1299" s="11">
        <f>Order_Details[[#This Row],[Profit]]/Order_Details[[#This Row],[Amount]]</f>
        <v>6.3291139240506333E-2</v>
      </c>
      <c r="M1299" s="8">
        <f>YEAR(Order_Details[[#This Row],[Order Date]])</f>
        <v>2019</v>
      </c>
      <c r="N1299" s="8">
        <f>ROUNDUP(MONTH(Order_Details[[#This Row],[Order Date]])/3, 0)</f>
        <v>1</v>
      </c>
    </row>
    <row r="1300" spans="1:14">
      <c r="A1300" s="1" t="s">
        <v>994</v>
      </c>
      <c r="B1300" s="1">
        <v>30</v>
      </c>
      <c r="C1300" s="1">
        <v>12</v>
      </c>
      <c r="D1300" s="1">
        <v>3</v>
      </c>
      <c r="E1300" s="1" t="s">
        <v>1076</v>
      </c>
      <c r="F1300" s="1" t="s">
        <v>1117</v>
      </c>
      <c r="G1300" s="7" t="str">
        <f>_xlfn.XLOOKUP(Order_Details[[#This Row],[Order ID]], List_of_orders[Order ID], List_of_orders[State])</f>
        <v>Sikkim</v>
      </c>
      <c r="H1300" s="10">
        <f>_xlfn.XLOOKUP(Order_Details[[#This Row],[Order ID]], List_of_orders[Order ID], List_of_orders[Order Date (Clean)])</f>
        <v>43525</v>
      </c>
      <c r="I1300" s="7" t="str">
        <f>_xlfn.XLOOKUP(Order_Details[[#This Row],[Order ID]], List_of_orders[Order ID], List_of_orders[CustomerName])</f>
        <v>Amit</v>
      </c>
      <c r="J1300" s="7" t="str">
        <f>_xlfn.XLOOKUP(Order_Details[[#This Row],[Order ID]], List_of_orders[Order ID], List_of_orders[City])</f>
        <v>Gangtok</v>
      </c>
      <c r="K1300" s="8" t="str">
        <f>TEXT(Order_Details[[#This Row],[Order Date]], "YY-MMM")</f>
        <v>19-Mar</v>
      </c>
      <c r="L1300" s="11">
        <f>Order_Details[[#This Row],[Profit]]/Order_Details[[#This Row],[Amount]]</f>
        <v>0.4</v>
      </c>
      <c r="M1300" s="8">
        <f>YEAR(Order_Details[[#This Row],[Order Date]])</f>
        <v>2019</v>
      </c>
      <c r="N1300" s="8">
        <f>ROUNDUP(MONTH(Order_Details[[#This Row],[Order Date]])/3, 0)</f>
        <v>1</v>
      </c>
    </row>
    <row r="1301" spans="1:14">
      <c r="A1301" s="1" t="s">
        <v>994</v>
      </c>
      <c r="B1301" s="1">
        <v>122</v>
      </c>
      <c r="C1301" s="1">
        <v>50</v>
      </c>
      <c r="D1301" s="1">
        <v>7</v>
      </c>
      <c r="E1301" s="1" t="s">
        <v>1076</v>
      </c>
      <c r="F1301" s="1" t="s">
        <v>1102</v>
      </c>
      <c r="G1301" s="7" t="str">
        <f>_xlfn.XLOOKUP(Order_Details[[#This Row],[Order ID]], List_of_orders[Order ID], List_of_orders[State])</f>
        <v>Sikkim</v>
      </c>
      <c r="H1301" s="10">
        <f>_xlfn.XLOOKUP(Order_Details[[#This Row],[Order ID]], List_of_orders[Order ID], List_of_orders[Order Date (Clean)])</f>
        <v>43525</v>
      </c>
      <c r="I1301" s="7" t="str">
        <f>_xlfn.XLOOKUP(Order_Details[[#This Row],[Order ID]], List_of_orders[Order ID], List_of_orders[CustomerName])</f>
        <v>Amit</v>
      </c>
      <c r="J1301" s="7" t="str">
        <f>_xlfn.XLOOKUP(Order_Details[[#This Row],[Order ID]], List_of_orders[Order ID], List_of_orders[City])</f>
        <v>Gangtok</v>
      </c>
      <c r="K1301" s="8" t="str">
        <f>TEXT(Order_Details[[#This Row],[Order Date]], "YY-MMM")</f>
        <v>19-Mar</v>
      </c>
      <c r="L1301" s="11">
        <f>Order_Details[[#This Row],[Profit]]/Order_Details[[#This Row],[Amount]]</f>
        <v>0.4098360655737705</v>
      </c>
      <c r="M1301" s="8">
        <f>YEAR(Order_Details[[#This Row],[Order Date]])</f>
        <v>2019</v>
      </c>
      <c r="N1301" s="8">
        <f>ROUNDUP(MONTH(Order_Details[[#This Row],[Order Date]])/3, 0)</f>
        <v>1</v>
      </c>
    </row>
    <row r="1302" spans="1:14">
      <c r="A1302" s="1" t="s">
        <v>995</v>
      </c>
      <c r="B1302" s="1">
        <v>28</v>
      </c>
      <c r="C1302" s="1">
        <v>10</v>
      </c>
      <c r="D1302" s="1">
        <v>3</v>
      </c>
      <c r="E1302" s="1" t="s">
        <v>1076</v>
      </c>
      <c r="F1302" s="1" t="s">
        <v>1117</v>
      </c>
      <c r="G1302" s="7" t="str">
        <f>_xlfn.XLOOKUP(Order_Details[[#This Row],[Order ID]], List_of_orders[Order ID], List_of_orders[State])</f>
        <v>Goa</v>
      </c>
      <c r="H1302" s="10">
        <f>_xlfn.XLOOKUP(Order_Details[[#This Row],[Order ID]], List_of_orders[Order ID], List_of_orders[Order Date (Clean)])</f>
        <v>43526</v>
      </c>
      <c r="I1302" s="7" t="str">
        <f>_xlfn.XLOOKUP(Order_Details[[#This Row],[Order ID]], List_of_orders[Order ID], List_of_orders[CustomerName])</f>
        <v>Sanjay</v>
      </c>
      <c r="J1302" s="7" t="str">
        <f>_xlfn.XLOOKUP(Order_Details[[#This Row],[Order ID]], List_of_orders[Order ID], List_of_orders[City])</f>
        <v>Goa</v>
      </c>
      <c r="K1302" s="8" t="str">
        <f>TEXT(Order_Details[[#This Row],[Order Date]], "YY-MMM")</f>
        <v>19-Mar</v>
      </c>
      <c r="L1302" s="11">
        <f>Order_Details[[#This Row],[Profit]]/Order_Details[[#This Row],[Amount]]</f>
        <v>0.35714285714285715</v>
      </c>
      <c r="M1302" s="8">
        <f>YEAR(Order_Details[[#This Row],[Order Date]])</f>
        <v>2019</v>
      </c>
      <c r="N1302" s="8">
        <f>ROUNDUP(MONTH(Order_Details[[#This Row],[Order Date]])/3, 0)</f>
        <v>1</v>
      </c>
    </row>
    <row r="1303" spans="1:14">
      <c r="A1303" s="1" t="s">
        <v>996</v>
      </c>
      <c r="B1303" s="1">
        <v>302</v>
      </c>
      <c r="C1303" s="1">
        <v>75</v>
      </c>
      <c r="D1303" s="1">
        <v>6</v>
      </c>
      <c r="E1303" s="1" t="s">
        <v>1075</v>
      </c>
      <c r="F1303" s="1" t="s">
        <v>1116</v>
      </c>
      <c r="G1303" s="7" t="str">
        <f>_xlfn.XLOOKUP(Order_Details[[#This Row],[Order ID]], List_of_orders[Order ID], List_of_orders[State])</f>
        <v>Nagaland</v>
      </c>
      <c r="H1303" s="10">
        <f>_xlfn.XLOOKUP(Order_Details[[#This Row],[Order ID]], List_of_orders[Order ID], List_of_orders[Order Date (Clean)])</f>
        <v>43527</v>
      </c>
      <c r="I1303" s="7" t="str">
        <f>_xlfn.XLOOKUP(Order_Details[[#This Row],[Order ID]], List_of_orders[Order ID], List_of_orders[CustomerName])</f>
        <v>Nidhi</v>
      </c>
      <c r="J1303" s="7" t="str">
        <f>_xlfn.XLOOKUP(Order_Details[[#This Row],[Order ID]], List_of_orders[Order ID], List_of_orders[City])</f>
        <v>Kohima</v>
      </c>
      <c r="K1303" s="8" t="str">
        <f>TEXT(Order_Details[[#This Row],[Order Date]], "YY-MMM")</f>
        <v>19-Mar</v>
      </c>
      <c r="L1303" s="11">
        <f>Order_Details[[#This Row],[Profit]]/Order_Details[[#This Row],[Amount]]</f>
        <v>0.24834437086092714</v>
      </c>
      <c r="M1303" s="8">
        <f>YEAR(Order_Details[[#This Row],[Order Date]])</f>
        <v>2019</v>
      </c>
      <c r="N1303" s="8">
        <f>ROUNDUP(MONTH(Order_Details[[#This Row],[Order Date]])/3, 0)</f>
        <v>1</v>
      </c>
    </row>
    <row r="1304" spans="1:14">
      <c r="A1304" s="1" t="s">
        <v>996</v>
      </c>
      <c r="B1304" s="1">
        <v>376</v>
      </c>
      <c r="C1304" s="1">
        <v>0</v>
      </c>
      <c r="D1304" s="1">
        <v>7</v>
      </c>
      <c r="E1304" s="1" t="s">
        <v>1076</v>
      </c>
      <c r="F1304" s="1" t="s">
        <v>1102</v>
      </c>
      <c r="G1304" s="7" t="str">
        <f>_xlfn.XLOOKUP(Order_Details[[#This Row],[Order ID]], List_of_orders[Order ID], List_of_orders[State])</f>
        <v>Nagaland</v>
      </c>
      <c r="H1304" s="10">
        <f>_xlfn.XLOOKUP(Order_Details[[#This Row],[Order ID]], List_of_orders[Order ID], List_of_orders[Order Date (Clean)])</f>
        <v>43527</v>
      </c>
      <c r="I1304" s="7" t="str">
        <f>_xlfn.XLOOKUP(Order_Details[[#This Row],[Order ID]], List_of_orders[Order ID], List_of_orders[CustomerName])</f>
        <v>Nidhi</v>
      </c>
      <c r="J1304" s="7" t="str">
        <f>_xlfn.XLOOKUP(Order_Details[[#This Row],[Order ID]], List_of_orders[Order ID], List_of_orders[City])</f>
        <v>Kohima</v>
      </c>
      <c r="K1304" s="8" t="str">
        <f>TEXT(Order_Details[[#This Row],[Order Date]], "YY-MMM")</f>
        <v>19-Mar</v>
      </c>
      <c r="L1304" s="11">
        <f>Order_Details[[#This Row],[Profit]]/Order_Details[[#This Row],[Amount]]</f>
        <v>0</v>
      </c>
      <c r="M1304" s="8">
        <f>YEAR(Order_Details[[#This Row],[Order Date]])</f>
        <v>2019</v>
      </c>
      <c r="N1304" s="8">
        <f>ROUNDUP(MONTH(Order_Details[[#This Row],[Order Date]])/3, 0)</f>
        <v>1</v>
      </c>
    </row>
    <row r="1305" spans="1:14">
      <c r="A1305" s="1" t="s">
        <v>996</v>
      </c>
      <c r="B1305" s="1">
        <v>179</v>
      </c>
      <c r="C1305" s="1">
        <v>77</v>
      </c>
      <c r="D1305" s="1">
        <v>1</v>
      </c>
      <c r="E1305" s="1" t="s">
        <v>1076</v>
      </c>
      <c r="F1305" s="1" t="s">
        <v>1106</v>
      </c>
      <c r="G1305" s="7" t="str">
        <f>_xlfn.XLOOKUP(Order_Details[[#This Row],[Order ID]], List_of_orders[Order ID], List_of_orders[State])</f>
        <v>Nagaland</v>
      </c>
      <c r="H1305" s="10">
        <f>_xlfn.XLOOKUP(Order_Details[[#This Row],[Order ID]], List_of_orders[Order ID], List_of_orders[Order Date (Clean)])</f>
        <v>43527</v>
      </c>
      <c r="I1305" s="7" t="str">
        <f>_xlfn.XLOOKUP(Order_Details[[#This Row],[Order ID]], List_of_orders[Order ID], List_of_orders[CustomerName])</f>
        <v>Nidhi</v>
      </c>
      <c r="J1305" s="7" t="str">
        <f>_xlfn.XLOOKUP(Order_Details[[#This Row],[Order ID]], List_of_orders[Order ID], List_of_orders[City])</f>
        <v>Kohima</v>
      </c>
      <c r="K1305" s="8" t="str">
        <f>TEXT(Order_Details[[#This Row],[Order Date]], "YY-MMM")</f>
        <v>19-Mar</v>
      </c>
      <c r="L1305" s="11">
        <f>Order_Details[[#This Row],[Profit]]/Order_Details[[#This Row],[Amount]]</f>
        <v>0.43016759776536312</v>
      </c>
      <c r="M1305" s="8">
        <f>YEAR(Order_Details[[#This Row],[Order Date]])</f>
        <v>2019</v>
      </c>
      <c r="N1305" s="8">
        <f>ROUNDUP(MONTH(Order_Details[[#This Row],[Order Date]])/3, 0)</f>
        <v>1</v>
      </c>
    </row>
    <row r="1306" spans="1:14">
      <c r="A1306" s="1" t="s">
        <v>996</v>
      </c>
      <c r="B1306" s="1">
        <v>27</v>
      </c>
      <c r="C1306" s="1">
        <v>5</v>
      </c>
      <c r="D1306" s="1">
        <v>1</v>
      </c>
      <c r="E1306" s="1" t="s">
        <v>1076</v>
      </c>
      <c r="F1306" s="1" t="s">
        <v>1102</v>
      </c>
      <c r="G1306" s="7" t="str">
        <f>_xlfn.XLOOKUP(Order_Details[[#This Row],[Order ID]], List_of_orders[Order ID], List_of_orders[State])</f>
        <v>Nagaland</v>
      </c>
      <c r="H1306" s="10">
        <f>_xlfn.XLOOKUP(Order_Details[[#This Row],[Order ID]], List_of_orders[Order ID], List_of_orders[Order Date (Clean)])</f>
        <v>43527</v>
      </c>
      <c r="I1306" s="7" t="str">
        <f>_xlfn.XLOOKUP(Order_Details[[#This Row],[Order ID]], List_of_orders[Order ID], List_of_orders[CustomerName])</f>
        <v>Nidhi</v>
      </c>
      <c r="J1306" s="7" t="str">
        <f>_xlfn.XLOOKUP(Order_Details[[#This Row],[Order ID]], List_of_orders[Order ID], List_of_orders[City])</f>
        <v>Kohima</v>
      </c>
      <c r="K1306" s="8" t="str">
        <f>TEXT(Order_Details[[#This Row],[Order Date]], "YY-MMM")</f>
        <v>19-Mar</v>
      </c>
      <c r="L1306" s="11">
        <f>Order_Details[[#This Row],[Profit]]/Order_Details[[#This Row],[Amount]]</f>
        <v>0.18518518518518517</v>
      </c>
      <c r="M1306" s="8">
        <f>YEAR(Order_Details[[#This Row],[Order Date]])</f>
        <v>2019</v>
      </c>
      <c r="N1306" s="8">
        <f>ROUNDUP(MONTH(Order_Details[[#This Row],[Order Date]])/3, 0)</f>
        <v>1</v>
      </c>
    </row>
    <row r="1307" spans="1:14">
      <c r="A1307" s="1" t="s">
        <v>997</v>
      </c>
      <c r="B1307" s="1">
        <v>32</v>
      </c>
      <c r="C1307" s="1">
        <v>3</v>
      </c>
      <c r="D1307" s="1">
        <v>8</v>
      </c>
      <c r="E1307" s="1" t="s">
        <v>1076</v>
      </c>
      <c r="F1307" s="1" t="s">
        <v>1103</v>
      </c>
      <c r="G1307" s="7" t="str">
        <f>_xlfn.XLOOKUP(Order_Details[[#This Row],[Order ID]], List_of_orders[Order ID], List_of_orders[State])</f>
        <v>Maharashtra</v>
      </c>
      <c r="H1307" s="10">
        <f>_xlfn.XLOOKUP(Order_Details[[#This Row],[Order ID]], List_of_orders[Order ID], List_of_orders[Order Date (Clean)])</f>
        <v>43528</v>
      </c>
      <c r="I1307" s="7" t="str">
        <f>_xlfn.XLOOKUP(Order_Details[[#This Row],[Order ID]], List_of_orders[Order ID], List_of_orders[CustomerName])</f>
        <v>Nishi</v>
      </c>
      <c r="J1307" s="7" t="str">
        <f>_xlfn.XLOOKUP(Order_Details[[#This Row],[Order ID]], List_of_orders[Order ID], List_of_orders[City])</f>
        <v>Mumbai</v>
      </c>
      <c r="K1307" s="8" t="str">
        <f>TEXT(Order_Details[[#This Row],[Order Date]], "YY-MMM")</f>
        <v>19-Mar</v>
      </c>
      <c r="L1307" s="11">
        <f>Order_Details[[#This Row],[Profit]]/Order_Details[[#This Row],[Amount]]</f>
        <v>9.375E-2</v>
      </c>
      <c r="M1307" s="8">
        <f>YEAR(Order_Details[[#This Row],[Order Date]])</f>
        <v>2019</v>
      </c>
      <c r="N1307" s="8">
        <f>ROUNDUP(MONTH(Order_Details[[#This Row],[Order Date]])/3, 0)</f>
        <v>1</v>
      </c>
    </row>
    <row r="1308" spans="1:14">
      <c r="A1308" s="1" t="s">
        <v>998</v>
      </c>
      <c r="B1308" s="1">
        <v>55</v>
      </c>
      <c r="C1308" s="1">
        <v>12</v>
      </c>
      <c r="D1308" s="1">
        <v>5</v>
      </c>
      <c r="E1308" s="1" t="s">
        <v>1076</v>
      </c>
      <c r="F1308" s="1" t="s">
        <v>1117</v>
      </c>
      <c r="G1308" s="7" t="str">
        <f>_xlfn.XLOOKUP(Order_Details[[#This Row],[Order ID]], List_of_orders[Order ID], List_of_orders[State])</f>
        <v>Madhya Pradesh</v>
      </c>
      <c r="H1308" s="10">
        <f>_xlfn.XLOOKUP(Order_Details[[#This Row],[Order ID]], List_of_orders[Order ID], List_of_orders[Order Date (Clean)])</f>
        <v>43528</v>
      </c>
      <c r="I1308" s="7" t="str">
        <f>_xlfn.XLOOKUP(Order_Details[[#This Row],[Order ID]], List_of_orders[Order ID], List_of_orders[CustomerName])</f>
        <v>Ashmi</v>
      </c>
      <c r="J1308" s="7" t="str">
        <f>_xlfn.XLOOKUP(Order_Details[[#This Row],[Order ID]], List_of_orders[Order ID], List_of_orders[City])</f>
        <v>Indore</v>
      </c>
      <c r="K1308" s="8" t="str">
        <f>TEXT(Order_Details[[#This Row],[Order Date]], "YY-MMM")</f>
        <v>19-Mar</v>
      </c>
      <c r="L1308" s="11">
        <f>Order_Details[[#This Row],[Profit]]/Order_Details[[#This Row],[Amount]]</f>
        <v>0.21818181818181817</v>
      </c>
      <c r="M1308" s="8">
        <f>YEAR(Order_Details[[#This Row],[Order Date]])</f>
        <v>2019</v>
      </c>
      <c r="N1308" s="8">
        <f>ROUNDUP(MONTH(Order_Details[[#This Row],[Order Date]])/3, 0)</f>
        <v>1</v>
      </c>
    </row>
    <row r="1309" spans="1:14">
      <c r="A1309" s="1" t="s">
        <v>999</v>
      </c>
      <c r="B1309" s="1">
        <v>163</v>
      </c>
      <c r="C1309" s="1">
        <v>81</v>
      </c>
      <c r="D1309" s="1">
        <v>2</v>
      </c>
      <c r="E1309" s="1" t="s">
        <v>1077</v>
      </c>
      <c r="F1309" s="1" t="s">
        <v>1115</v>
      </c>
      <c r="G1309" s="7" t="str">
        <f>_xlfn.XLOOKUP(Order_Details[[#This Row],[Order ID]], List_of_orders[Order ID], List_of_orders[State])</f>
        <v>Maharashtra</v>
      </c>
      <c r="H1309" s="10">
        <f>_xlfn.XLOOKUP(Order_Details[[#This Row],[Order ID]], List_of_orders[Order ID], List_of_orders[Order Date (Clean)])</f>
        <v>43528</v>
      </c>
      <c r="I1309" s="7" t="str">
        <f>_xlfn.XLOOKUP(Order_Details[[#This Row],[Order ID]], List_of_orders[Order ID], List_of_orders[CustomerName])</f>
        <v>Parth</v>
      </c>
      <c r="J1309" s="7" t="str">
        <f>_xlfn.XLOOKUP(Order_Details[[#This Row],[Order ID]], List_of_orders[Order ID], List_of_orders[City])</f>
        <v>Pune</v>
      </c>
      <c r="K1309" s="8" t="str">
        <f>TEXT(Order_Details[[#This Row],[Order Date]], "YY-MMM")</f>
        <v>19-Mar</v>
      </c>
      <c r="L1309" s="11">
        <f>Order_Details[[#This Row],[Profit]]/Order_Details[[#This Row],[Amount]]</f>
        <v>0.49693251533742333</v>
      </c>
      <c r="M1309" s="8">
        <f>YEAR(Order_Details[[#This Row],[Order Date]])</f>
        <v>2019</v>
      </c>
      <c r="N1309" s="8">
        <f>ROUNDUP(MONTH(Order_Details[[#This Row],[Order Date]])/3, 0)</f>
        <v>1</v>
      </c>
    </row>
    <row r="1310" spans="1:14">
      <c r="A1310" s="1" t="s">
        <v>999</v>
      </c>
      <c r="B1310" s="1">
        <v>401</v>
      </c>
      <c r="C1310" s="1">
        <v>13</v>
      </c>
      <c r="D1310" s="1">
        <v>6</v>
      </c>
      <c r="E1310" s="1" t="s">
        <v>1075</v>
      </c>
      <c r="F1310" s="1" t="s">
        <v>1108</v>
      </c>
      <c r="G1310" s="7" t="str">
        <f>_xlfn.XLOOKUP(Order_Details[[#This Row],[Order ID]], List_of_orders[Order ID], List_of_orders[State])</f>
        <v>Maharashtra</v>
      </c>
      <c r="H1310" s="10">
        <f>_xlfn.XLOOKUP(Order_Details[[#This Row],[Order ID]], List_of_orders[Order ID], List_of_orders[Order Date (Clean)])</f>
        <v>43528</v>
      </c>
      <c r="I1310" s="7" t="str">
        <f>_xlfn.XLOOKUP(Order_Details[[#This Row],[Order ID]], List_of_orders[Order ID], List_of_orders[CustomerName])</f>
        <v>Parth</v>
      </c>
      <c r="J1310" s="7" t="str">
        <f>_xlfn.XLOOKUP(Order_Details[[#This Row],[Order ID]], List_of_orders[Order ID], List_of_orders[City])</f>
        <v>Pune</v>
      </c>
      <c r="K1310" s="8" t="str">
        <f>TEXT(Order_Details[[#This Row],[Order Date]], "YY-MMM")</f>
        <v>19-Mar</v>
      </c>
      <c r="L1310" s="11">
        <f>Order_Details[[#This Row],[Profit]]/Order_Details[[#This Row],[Amount]]</f>
        <v>3.2418952618453865E-2</v>
      </c>
      <c r="M1310" s="8">
        <f>YEAR(Order_Details[[#This Row],[Order Date]])</f>
        <v>2019</v>
      </c>
      <c r="N1310" s="8">
        <f>ROUNDUP(MONTH(Order_Details[[#This Row],[Order Date]])/3, 0)</f>
        <v>1</v>
      </c>
    </row>
    <row r="1311" spans="1:14">
      <c r="A1311" s="1" t="s">
        <v>999</v>
      </c>
      <c r="B1311" s="1">
        <v>1461</v>
      </c>
      <c r="C1311" s="1">
        <v>202</v>
      </c>
      <c r="D1311" s="1">
        <v>5</v>
      </c>
      <c r="E1311" s="1" t="s">
        <v>1075</v>
      </c>
      <c r="F1311" s="1" t="s">
        <v>1113</v>
      </c>
      <c r="G1311" s="7" t="str">
        <f>_xlfn.XLOOKUP(Order_Details[[#This Row],[Order ID]], List_of_orders[Order ID], List_of_orders[State])</f>
        <v>Maharashtra</v>
      </c>
      <c r="H1311" s="10">
        <f>_xlfn.XLOOKUP(Order_Details[[#This Row],[Order ID]], List_of_orders[Order ID], List_of_orders[Order Date (Clean)])</f>
        <v>43528</v>
      </c>
      <c r="I1311" s="7" t="str">
        <f>_xlfn.XLOOKUP(Order_Details[[#This Row],[Order ID]], List_of_orders[Order ID], List_of_orders[CustomerName])</f>
        <v>Parth</v>
      </c>
      <c r="J1311" s="7" t="str">
        <f>_xlfn.XLOOKUP(Order_Details[[#This Row],[Order ID]], List_of_orders[Order ID], List_of_orders[City])</f>
        <v>Pune</v>
      </c>
      <c r="K1311" s="8" t="str">
        <f>TEXT(Order_Details[[#This Row],[Order Date]], "YY-MMM")</f>
        <v>19-Mar</v>
      </c>
      <c r="L1311" s="11">
        <f>Order_Details[[#This Row],[Profit]]/Order_Details[[#This Row],[Amount]]</f>
        <v>0.13826146475017112</v>
      </c>
      <c r="M1311" s="8">
        <f>YEAR(Order_Details[[#This Row],[Order Date]])</f>
        <v>2019</v>
      </c>
      <c r="N1311" s="8">
        <f>ROUNDUP(MONTH(Order_Details[[#This Row],[Order Date]])/3, 0)</f>
        <v>1</v>
      </c>
    </row>
    <row r="1312" spans="1:14">
      <c r="A1312" s="1" t="s">
        <v>999</v>
      </c>
      <c r="B1312" s="1">
        <v>1104</v>
      </c>
      <c r="C1312" s="1">
        <v>209</v>
      </c>
      <c r="D1312" s="1">
        <v>4</v>
      </c>
      <c r="E1312" s="1" t="s">
        <v>1076</v>
      </c>
      <c r="F1312" s="1" t="s">
        <v>1107</v>
      </c>
      <c r="G1312" s="7" t="str">
        <f>_xlfn.XLOOKUP(Order_Details[[#This Row],[Order ID]], List_of_orders[Order ID], List_of_orders[State])</f>
        <v>Maharashtra</v>
      </c>
      <c r="H1312" s="10">
        <f>_xlfn.XLOOKUP(Order_Details[[#This Row],[Order ID]], List_of_orders[Order ID], List_of_orders[Order Date (Clean)])</f>
        <v>43528</v>
      </c>
      <c r="I1312" s="7" t="str">
        <f>_xlfn.XLOOKUP(Order_Details[[#This Row],[Order ID]], List_of_orders[Order ID], List_of_orders[CustomerName])</f>
        <v>Parth</v>
      </c>
      <c r="J1312" s="7" t="str">
        <f>_xlfn.XLOOKUP(Order_Details[[#This Row],[Order ID]], List_of_orders[Order ID], List_of_orders[City])</f>
        <v>Pune</v>
      </c>
      <c r="K1312" s="8" t="str">
        <f>TEXT(Order_Details[[#This Row],[Order Date]], "YY-MMM")</f>
        <v>19-Mar</v>
      </c>
      <c r="L1312" s="11">
        <f>Order_Details[[#This Row],[Profit]]/Order_Details[[#This Row],[Amount]]</f>
        <v>0.18931159420289856</v>
      </c>
      <c r="M1312" s="8">
        <f>YEAR(Order_Details[[#This Row],[Order Date]])</f>
        <v>2019</v>
      </c>
      <c r="N1312" s="8">
        <f>ROUNDUP(MONTH(Order_Details[[#This Row],[Order Date]])/3, 0)</f>
        <v>1</v>
      </c>
    </row>
    <row r="1313" spans="1:14">
      <c r="A1313" s="1" t="s">
        <v>1000</v>
      </c>
      <c r="B1313" s="1">
        <v>100</v>
      </c>
      <c r="C1313" s="1">
        <v>28</v>
      </c>
      <c r="D1313" s="1">
        <v>2</v>
      </c>
      <c r="E1313" s="1" t="s">
        <v>1076</v>
      </c>
      <c r="F1313" s="1" t="s">
        <v>1103</v>
      </c>
      <c r="G1313" s="7" t="str">
        <f>_xlfn.XLOOKUP(Order_Details[[#This Row],[Order ID]], List_of_orders[Order ID], List_of_orders[State])</f>
        <v>Madhya Pradesh</v>
      </c>
      <c r="H1313" s="10">
        <f>_xlfn.XLOOKUP(Order_Details[[#This Row],[Order ID]], List_of_orders[Order ID], List_of_orders[Order Date (Clean)])</f>
        <v>43529</v>
      </c>
      <c r="I1313" s="7" t="str">
        <f>_xlfn.XLOOKUP(Order_Details[[#This Row],[Order ID]], List_of_orders[Order ID], List_of_orders[CustomerName])</f>
        <v>Lisha</v>
      </c>
      <c r="J1313" s="7" t="str">
        <f>_xlfn.XLOOKUP(Order_Details[[#This Row],[Order ID]], List_of_orders[Order ID], List_of_orders[City])</f>
        <v>Bhopal</v>
      </c>
      <c r="K1313" s="8" t="str">
        <f>TEXT(Order_Details[[#This Row],[Order Date]], "YY-MMM")</f>
        <v>19-Mar</v>
      </c>
      <c r="L1313" s="11">
        <f>Order_Details[[#This Row],[Profit]]/Order_Details[[#This Row],[Amount]]</f>
        <v>0.28000000000000003</v>
      </c>
      <c r="M1313" s="8">
        <f>YEAR(Order_Details[[#This Row],[Order Date]])</f>
        <v>2019</v>
      </c>
      <c r="N1313" s="8">
        <f>ROUNDUP(MONTH(Order_Details[[#This Row],[Order Date]])/3, 0)</f>
        <v>1</v>
      </c>
    </row>
    <row r="1314" spans="1:14">
      <c r="A1314" s="1" t="s">
        <v>1001</v>
      </c>
      <c r="B1314" s="1">
        <v>325</v>
      </c>
      <c r="C1314" s="1">
        <v>32</v>
      </c>
      <c r="D1314" s="1">
        <v>7</v>
      </c>
      <c r="E1314" s="1" t="s">
        <v>1076</v>
      </c>
      <c r="F1314" s="1" t="s">
        <v>1110</v>
      </c>
      <c r="G1314" s="7" t="str">
        <f>_xlfn.XLOOKUP(Order_Details[[#This Row],[Order ID]], List_of_orders[Order ID], List_of_orders[State])</f>
        <v>Rajasthan</v>
      </c>
      <c r="H1314" s="10">
        <f>_xlfn.XLOOKUP(Order_Details[[#This Row],[Order ID]], List_of_orders[Order ID], List_of_orders[Order Date (Clean)])</f>
        <v>43530</v>
      </c>
      <c r="I1314" s="7" t="str">
        <f>_xlfn.XLOOKUP(Order_Details[[#This Row],[Order ID]], List_of_orders[Order ID], List_of_orders[CustomerName])</f>
        <v>Paridhi</v>
      </c>
      <c r="J1314" s="7" t="str">
        <f>_xlfn.XLOOKUP(Order_Details[[#This Row],[Order ID]], List_of_orders[Order ID], List_of_orders[City])</f>
        <v>Jaipur</v>
      </c>
      <c r="K1314" s="8" t="str">
        <f>TEXT(Order_Details[[#This Row],[Order Date]], "YY-MMM")</f>
        <v>19-Mar</v>
      </c>
      <c r="L1314" s="11">
        <f>Order_Details[[#This Row],[Profit]]/Order_Details[[#This Row],[Amount]]</f>
        <v>9.8461538461538461E-2</v>
      </c>
      <c r="M1314" s="8">
        <f>YEAR(Order_Details[[#This Row],[Order Date]])</f>
        <v>2019</v>
      </c>
      <c r="N1314" s="8">
        <f>ROUNDUP(MONTH(Order_Details[[#This Row],[Order Date]])/3, 0)</f>
        <v>1</v>
      </c>
    </row>
    <row r="1315" spans="1:14">
      <c r="A1315" s="1" t="s">
        <v>1001</v>
      </c>
      <c r="B1315" s="1">
        <v>169</v>
      </c>
      <c r="C1315" s="1">
        <v>55</v>
      </c>
      <c r="D1315" s="1">
        <v>4</v>
      </c>
      <c r="E1315" s="1" t="s">
        <v>1076</v>
      </c>
      <c r="F1315" s="1" t="s">
        <v>1106</v>
      </c>
      <c r="G1315" s="7" t="str">
        <f>_xlfn.XLOOKUP(Order_Details[[#This Row],[Order ID]], List_of_orders[Order ID], List_of_orders[State])</f>
        <v>Rajasthan</v>
      </c>
      <c r="H1315" s="10">
        <f>_xlfn.XLOOKUP(Order_Details[[#This Row],[Order ID]], List_of_orders[Order ID], List_of_orders[Order Date (Clean)])</f>
        <v>43530</v>
      </c>
      <c r="I1315" s="7" t="str">
        <f>_xlfn.XLOOKUP(Order_Details[[#This Row],[Order ID]], List_of_orders[Order ID], List_of_orders[CustomerName])</f>
        <v>Paridhi</v>
      </c>
      <c r="J1315" s="7" t="str">
        <f>_xlfn.XLOOKUP(Order_Details[[#This Row],[Order ID]], List_of_orders[Order ID], List_of_orders[City])</f>
        <v>Jaipur</v>
      </c>
      <c r="K1315" s="8" t="str">
        <f>TEXT(Order_Details[[#This Row],[Order Date]], "YY-MMM")</f>
        <v>19-Mar</v>
      </c>
      <c r="L1315" s="11">
        <f>Order_Details[[#This Row],[Profit]]/Order_Details[[#This Row],[Amount]]</f>
        <v>0.32544378698224852</v>
      </c>
      <c r="M1315" s="8">
        <f>YEAR(Order_Details[[#This Row],[Order Date]])</f>
        <v>2019</v>
      </c>
      <c r="N1315" s="8">
        <f>ROUNDUP(MONTH(Order_Details[[#This Row],[Order Date]])/3, 0)</f>
        <v>1</v>
      </c>
    </row>
    <row r="1316" spans="1:14">
      <c r="A1316" s="1" t="s">
        <v>1001</v>
      </c>
      <c r="B1316" s="1">
        <v>487</v>
      </c>
      <c r="C1316" s="1">
        <v>143</v>
      </c>
      <c r="D1316" s="1">
        <v>4</v>
      </c>
      <c r="E1316" s="1" t="s">
        <v>1077</v>
      </c>
      <c r="F1316" s="1" t="s">
        <v>1105</v>
      </c>
      <c r="G1316" s="7" t="str">
        <f>_xlfn.XLOOKUP(Order_Details[[#This Row],[Order ID]], List_of_orders[Order ID], List_of_orders[State])</f>
        <v>Rajasthan</v>
      </c>
      <c r="H1316" s="10">
        <f>_xlfn.XLOOKUP(Order_Details[[#This Row],[Order ID]], List_of_orders[Order ID], List_of_orders[Order Date (Clean)])</f>
        <v>43530</v>
      </c>
      <c r="I1316" s="7" t="str">
        <f>_xlfn.XLOOKUP(Order_Details[[#This Row],[Order ID]], List_of_orders[Order ID], List_of_orders[CustomerName])</f>
        <v>Paridhi</v>
      </c>
      <c r="J1316" s="7" t="str">
        <f>_xlfn.XLOOKUP(Order_Details[[#This Row],[Order ID]], List_of_orders[Order ID], List_of_orders[City])</f>
        <v>Jaipur</v>
      </c>
      <c r="K1316" s="8" t="str">
        <f>TEXT(Order_Details[[#This Row],[Order Date]], "YY-MMM")</f>
        <v>19-Mar</v>
      </c>
      <c r="L1316" s="11">
        <f>Order_Details[[#This Row],[Profit]]/Order_Details[[#This Row],[Amount]]</f>
        <v>0.29363449691991789</v>
      </c>
      <c r="M1316" s="8">
        <f>YEAR(Order_Details[[#This Row],[Order Date]])</f>
        <v>2019</v>
      </c>
      <c r="N1316" s="8">
        <f>ROUNDUP(MONTH(Order_Details[[#This Row],[Order Date]])/3, 0)</f>
        <v>1</v>
      </c>
    </row>
    <row r="1317" spans="1:14">
      <c r="A1317" s="1" t="s">
        <v>1001</v>
      </c>
      <c r="B1317" s="1">
        <v>166</v>
      </c>
      <c r="C1317" s="1">
        <v>27</v>
      </c>
      <c r="D1317" s="1">
        <v>2</v>
      </c>
      <c r="E1317" s="1" t="s">
        <v>1077</v>
      </c>
      <c r="F1317" s="1" t="s">
        <v>1115</v>
      </c>
      <c r="G1317" s="7" t="str">
        <f>_xlfn.XLOOKUP(Order_Details[[#This Row],[Order ID]], List_of_orders[Order ID], List_of_orders[State])</f>
        <v>Rajasthan</v>
      </c>
      <c r="H1317" s="10">
        <f>_xlfn.XLOOKUP(Order_Details[[#This Row],[Order ID]], List_of_orders[Order ID], List_of_orders[Order Date (Clean)])</f>
        <v>43530</v>
      </c>
      <c r="I1317" s="7" t="str">
        <f>_xlfn.XLOOKUP(Order_Details[[#This Row],[Order ID]], List_of_orders[Order ID], List_of_orders[CustomerName])</f>
        <v>Paridhi</v>
      </c>
      <c r="J1317" s="7" t="str">
        <f>_xlfn.XLOOKUP(Order_Details[[#This Row],[Order ID]], List_of_orders[Order ID], List_of_orders[City])</f>
        <v>Jaipur</v>
      </c>
      <c r="K1317" s="8" t="str">
        <f>TEXT(Order_Details[[#This Row],[Order Date]], "YY-MMM")</f>
        <v>19-Mar</v>
      </c>
      <c r="L1317" s="11">
        <f>Order_Details[[#This Row],[Profit]]/Order_Details[[#This Row],[Amount]]</f>
        <v>0.16265060240963855</v>
      </c>
      <c r="M1317" s="8">
        <f>YEAR(Order_Details[[#This Row],[Order Date]])</f>
        <v>2019</v>
      </c>
      <c r="N1317" s="8">
        <f>ROUNDUP(MONTH(Order_Details[[#This Row],[Order Date]])/3, 0)</f>
        <v>1</v>
      </c>
    </row>
    <row r="1318" spans="1:14">
      <c r="A1318" s="1" t="s">
        <v>1001</v>
      </c>
      <c r="B1318" s="1">
        <v>79</v>
      </c>
      <c r="C1318" s="1">
        <v>32</v>
      </c>
      <c r="D1318" s="1">
        <v>3</v>
      </c>
      <c r="E1318" s="1" t="s">
        <v>1076</v>
      </c>
      <c r="F1318" s="1" t="s">
        <v>1106</v>
      </c>
      <c r="G1318" s="7" t="str">
        <f>_xlfn.XLOOKUP(Order_Details[[#This Row],[Order ID]], List_of_orders[Order ID], List_of_orders[State])</f>
        <v>Rajasthan</v>
      </c>
      <c r="H1318" s="10">
        <f>_xlfn.XLOOKUP(Order_Details[[#This Row],[Order ID]], List_of_orders[Order ID], List_of_orders[Order Date (Clean)])</f>
        <v>43530</v>
      </c>
      <c r="I1318" s="7" t="str">
        <f>_xlfn.XLOOKUP(Order_Details[[#This Row],[Order ID]], List_of_orders[Order ID], List_of_orders[CustomerName])</f>
        <v>Paridhi</v>
      </c>
      <c r="J1318" s="7" t="str">
        <f>_xlfn.XLOOKUP(Order_Details[[#This Row],[Order ID]], List_of_orders[Order ID], List_of_orders[City])</f>
        <v>Jaipur</v>
      </c>
      <c r="K1318" s="8" t="str">
        <f>TEXT(Order_Details[[#This Row],[Order Date]], "YY-MMM")</f>
        <v>19-Mar</v>
      </c>
      <c r="L1318" s="11">
        <f>Order_Details[[#This Row],[Profit]]/Order_Details[[#This Row],[Amount]]</f>
        <v>0.4050632911392405</v>
      </c>
      <c r="M1318" s="8">
        <f>YEAR(Order_Details[[#This Row],[Order Date]])</f>
        <v>2019</v>
      </c>
      <c r="N1318" s="8">
        <f>ROUNDUP(MONTH(Order_Details[[#This Row],[Order Date]])/3, 0)</f>
        <v>1</v>
      </c>
    </row>
    <row r="1319" spans="1:14">
      <c r="A1319" s="1" t="s">
        <v>1001</v>
      </c>
      <c r="B1319" s="1">
        <v>32</v>
      </c>
      <c r="C1319" s="1">
        <v>6</v>
      </c>
      <c r="D1319" s="1">
        <v>3</v>
      </c>
      <c r="E1319" s="1" t="s">
        <v>1076</v>
      </c>
      <c r="F1319" s="1" t="s">
        <v>1111</v>
      </c>
      <c r="G1319" s="7" t="str">
        <f>_xlfn.XLOOKUP(Order_Details[[#This Row],[Order ID]], List_of_orders[Order ID], List_of_orders[State])</f>
        <v>Rajasthan</v>
      </c>
      <c r="H1319" s="10">
        <f>_xlfn.XLOOKUP(Order_Details[[#This Row],[Order ID]], List_of_orders[Order ID], List_of_orders[Order Date (Clean)])</f>
        <v>43530</v>
      </c>
      <c r="I1319" s="7" t="str">
        <f>_xlfn.XLOOKUP(Order_Details[[#This Row],[Order ID]], List_of_orders[Order ID], List_of_orders[CustomerName])</f>
        <v>Paridhi</v>
      </c>
      <c r="J1319" s="7" t="str">
        <f>_xlfn.XLOOKUP(Order_Details[[#This Row],[Order ID]], List_of_orders[Order ID], List_of_orders[City])</f>
        <v>Jaipur</v>
      </c>
      <c r="K1319" s="8" t="str">
        <f>TEXT(Order_Details[[#This Row],[Order Date]], "YY-MMM")</f>
        <v>19-Mar</v>
      </c>
      <c r="L1319" s="11">
        <f>Order_Details[[#This Row],[Profit]]/Order_Details[[#This Row],[Amount]]</f>
        <v>0.1875</v>
      </c>
      <c r="M1319" s="8">
        <f>YEAR(Order_Details[[#This Row],[Order Date]])</f>
        <v>2019</v>
      </c>
      <c r="N1319" s="8">
        <f>ROUNDUP(MONTH(Order_Details[[#This Row],[Order Date]])/3, 0)</f>
        <v>1</v>
      </c>
    </row>
    <row r="1320" spans="1:14">
      <c r="A1320" s="1" t="s">
        <v>1001</v>
      </c>
      <c r="B1320" s="1">
        <v>38</v>
      </c>
      <c r="C1320" s="1">
        <v>9</v>
      </c>
      <c r="D1320" s="1">
        <v>2</v>
      </c>
      <c r="E1320" s="1" t="s">
        <v>1076</v>
      </c>
      <c r="F1320" s="1" t="s">
        <v>1102</v>
      </c>
      <c r="G1320" s="7" t="str">
        <f>_xlfn.XLOOKUP(Order_Details[[#This Row],[Order ID]], List_of_orders[Order ID], List_of_orders[State])</f>
        <v>Rajasthan</v>
      </c>
      <c r="H1320" s="10">
        <f>_xlfn.XLOOKUP(Order_Details[[#This Row],[Order ID]], List_of_orders[Order ID], List_of_orders[Order Date (Clean)])</f>
        <v>43530</v>
      </c>
      <c r="I1320" s="7" t="str">
        <f>_xlfn.XLOOKUP(Order_Details[[#This Row],[Order ID]], List_of_orders[Order ID], List_of_orders[CustomerName])</f>
        <v>Paridhi</v>
      </c>
      <c r="J1320" s="7" t="str">
        <f>_xlfn.XLOOKUP(Order_Details[[#This Row],[Order ID]], List_of_orders[Order ID], List_of_orders[City])</f>
        <v>Jaipur</v>
      </c>
      <c r="K1320" s="8" t="str">
        <f>TEXT(Order_Details[[#This Row],[Order Date]], "YY-MMM")</f>
        <v>19-Mar</v>
      </c>
      <c r="L1320" s="11">
        <f>Order_Details[[#This Row],[Profit]]/Order_Details[[#This Row],[Amount]]</f>
        <v>0.23684210526315788</v>
      </c>
      <c r="M1320" s="8">
        <f>YEAR(Order_Details[[#This Row],[Order Date]])</f>
        <v>2019</v>
      </c>
      <c r="N1320" s="8">
        <f>ROUNDUP(MONTH(Order_Details[[#This Row],[Order Date]])/3, 0)</f>
        <v>1</v>
      </c>
    </row>
    <row r="1321" spans="1:14">
      <c r="A1321" s="1" t="s">
        <v>1001</v>
      </c>
      <c r="B1321" s="1">
        <v>284</v>
      </c>
      <c r="C1321" s="1">
        <v>44</v>
      </c>
      <c r="D1321" s="1">
        <v>6</v>
      </c>
      <c r="E1321" s="1" t="s">
        <v>1076</v>
      </c>
      <c r="F1321" s="1" t="s">
        <v>1103</v>
      </c>
      <c r="G1321" s="7" t="str">
        <f>_xlfn.XLOOKUP(Order_Details[[#This Row],[Order ID]], List_of_orders[Order ID], List_of_orders[State])</f>
        <v>Rajasthan</v>
      </c>
      <c r="H1321" s="10">
        <f>_xlfn.XLOOKUP(Order_Details[[#This Row],[Order ID]], List_of_orders[Order ID], List_of_orders[Order Date (Clean)])</f>
        <v>43530</v>
      </c>
      <c r="I1321" s="7" t="str">
        <f>_xlfn.XLOOKUP(Order_Details[[#This Row],[Order ID]], List_of_orders[Order ID], List_of_orders[CustomerName])</f>
        <v>Paridhi</v>
      </c>
      <c r="J1321" s="7" t="str">
        <f>_xlfn.XLOOKUP(Order_Details[[#This Row],[Order ID]], List_of_orders[Order ID], List_of_orders[City])</f>
        <v>Jaipur</v>
      </c>
      <c r="K1321" s="8" t="str">
        <f>TEXT(Order_Details[[#This Row],[Order Date]], "YY-MMM")</f>
        <v>19-Mar</v>
      </c>
      <c r="L1321" s="11">
        <f>Order_Details[[#This Row],[Profit]]/Order_Details[[#This Row],[Amount]]</f>
        <v>0.15492957746478872</v>
      </c>
      <c r="M1321" s="8">
        <f>YEAR(Order_Details[[#This Row],[Order Date]])</f>
        <v>2019</v>
      </c>
      <c r="N1321" s="8">
        <f>ROUNDUP(MONTH(Order_Details[[#This Row],[Order Date]])/3, 0)</f>
        <v>1</v>
      </c>
    </row>
    <row r="1322" spans="1:14">
      <c r="A1322" s="1" t="s">
        <v>1001</v>
      </c>
      <c r="B1322" s="1">
        <v>382</v>
      </c>
      <c r="C1322" s="1">
        <v>92</v>
      </c>
      <c r="D1322" s="1">
        <v>2</v>
      </c>
      <c r="E1322" s="1" t="s">
        <v>1077</v>
      </c>
      <c r="F1322" s="1" t="s">
        <v>1114</v>
      </c>
      <c r="G1322" s="7" t="str">
        <f>_xlfn.XLOOKUP(Order_Details[[#This Row],[Order ID]], List_of_orders[Order ID], List_of_orders[State])</f>
        <v>Rajasthan</v>
      </c>
      <c r="H1322" s="10">
        <f>_xlfn.XLOOKUP(Order_Details[[#This Row],[Order ID]], List_of_orders[Order ID], List_of_orders[Order Date (Clean)])</f>
        <v>43530</v>
      </c>
      <c r="I1322" s="7" t="str">
        <f>_xlfn.XLOOKUP(Order_Details[[#This Row],[Order ID]], List_of_orders[Order ID], List_of_orders[CustomerName])</f>
        <v>Paridhi</v>
      </c>
      <c r="J1322" s="7" t="str">
        <f>_xlfn.XLOOKUP(Order_Details[[#This Row],[Order ID]], List_of_orders[Order ID], List_of_orders[City])</f>
        <v>Jaipur</v>
      </c>
      <c r="K1322" s="8" t="str">
        <f>TEXT(Order_Details[[#This Row],[Order Date]], "YY-MMM")</f>
        <v>19-Mar</v>
      </c>
      <c r="L1322" s="11">
        <f>Order_Details[[#This Row],[Profit]]/Order_Details[[#This Row],[Amount]]</f>
        <v>0.24083769633507854</v>
      </c>
      <c r="M1322" s="8">
        <f>YEAR(Order_Details[[#This Row],[Order Date]])</f>
        <v>2019</v>
      </c>
      <c r="N1322" s="8">
        <f>ROUNDUP(MONTH(Order_Details[[#This Row],[Order Date]])/3, 0)</f>
        <v>1</v>
      </c>
    </row>
    <row r="1323" spans="1:14">
      <c r="A1323" s="1" t="s">
        <v>1002</v>
      </c>
      <c r="B1323" s="1">
        <v>184</v>
      </c>
      <c r="C1323" s="1">
        <v>85</v>
      </c>
      <c r="D1323" s="1">
        <v>6</v>
      </c>
      <c r="E1323" s="1" t="s">
        <v>1076</v>
      </c>
      <c r="F1323" s="1" t="s">
        <v>1110</v>
      </c>
      <c r="G1323" s="7" t="str">
        <f>_xlfn.XLOOKUP(Order_Details[[#This Row],[Order ID]], List_of_orders[Order ID], List_of_orders[State])</f>
        <v>West Bengal</v>
      </c>
      <c r="H1323" s="10">
        <f>_xlfn.XLOOKUP(Order_Details[[#This Row],[Order ID]], List_of_orders[Order ID], List_of_orders[Order Date (Clean)])</f>
        <v>43531</v>
      </c>
      <c r="I1323" s="7" t="str">
        <f>_xlfn.XLOOKUP(Order_Details[[#This Row],[Order ID]], List_of_orders[Order ID], List_of_orders[CustomerName])</f>
        <v>Parishi</v>
      </c>
      <c r="J1323" s="7" t="str">
        <f>_xlfn.XLOOKUP(Order_Details[[#This Row],[Order ID]], List_of_orders[Order ID], List_of_orders[City])</f>
        <v>Kolkata</v>
      </c>
      <c r="K1323" s="8" t="str">
        <f>TEXT(Order_Details[[#This Row],[Order Date]], "YY-MMM")</f>
        <v>19-Mar</v>
      </c>
      <c r="L1323" s="11">
        <f>Order_Details[[#This Row],[Profit]]/Order_Details[[#This Row],[Amount]]</f>
        <v>0.46195652173913043</v>
      </c>
      <c r="M1323" s="8">
        <f>YEAR(Order_Details[[#This Row],[Order Date]])</f>
        <v>2019</v>
      </c>
      <c r="N1323" s="8">
        <f>ROUNDUP(MONTH(Order_Details[[#This Row],[Order Date]])/3, 0)</f>
        <v>1</v>
      </c>
    </row>
    <row r="1324" spans="1:14">
      <c r="A1324" s="1" t="s">
        <v>1002</v>
      </c>
      <c r="B1324" s="1">
        <v>676</v>
      </c>
      <c r="C1324" s="1">
        <v>195</v>
      </c>
      <c r="D1324" s="1">
        <v>5</v>
      </c>
      <c r="E1324" s="1" t="s">
        <v>1075</v>
      </c>
      <c r="F1324" s="1" t="s">
        <v>1101</v>
      </c>
      <c r="G1324" s="7" t="str">
        <f>_xlfn.XLOOKUP(Order_Details[[#This Row],[Order ID]], List_of_orders[Order ID], List_of_orders[State])</f>
        <v>West Bengal</v>
      </c>
      <c r="H1324" s="10">
        <f>_xlfn.XLOOKUP(Order_Details[[#This Row],[Order ID]], List_of_orders[Order ID], List_of_orders[Order Date (Clean)])</f>
        <v>43531</v>
      </c>
      <c r="I1324" s="7" t="str">
        <f>_xlfn.XLOOKUP(Order_Details[[#This Row],[Order ID]], List_of_orders[Order ID], List_of_orders[CustomerName])</f>
        <v>Parishi</v>
      </c>
      <c r="J1324" s="7" t="str">
        <f>_xlfn.XLOOKUP(Order_Details[[#This Row],[Order ID]], List_of_orders[Order ID], List_of_orders[City])</f>
        <v>Kolkata</v>
      </c>
      <c r="K1324" s="8" t="str">
        <f>TEXT(Order_Details[[#This Row],[Order Date]], "YY-MMM")</f>
        <v>19-Mar</v>
      </c>
      <c r="L1324" s="11">
        <f>Order_Details[[#This Row],[Profit]]/Order_Details[[#This Row],[Amount]]</f>
        <v>0.28846153846153844</v>
      </c>
      <c r="M1324" s="8">
        <f>YEAR(Order_Details[[#This Row],[Order Date]])</f>
        <v>2019</v>
      </c>
      <c r="N1324" s="8">
        <f>ROUNDUP(MONTH(Order_Details[[#This Row],[Order Date]])/3, 0)</f>
        <v>1</v>
      </c>
    </row>
    <row r="1325" spans="1:14">
      <c r="A1325" s="1" t="s">
        <v>1002</v>
      </c>
      <c r="B1325" s="1">
        <v>669</v>
      </c>
      <c r="C1325" s="1">
        <v>74</v>
      </c>
      <c r="D1325" s="1">
        <v>5</v>
      </c>
      <c r="E1325" s="1" t="s">
        <v>1075</v>
      </c>
      <c r="F1325" s="1" t="s">
        <v>1101</v>
      </c>
      <c r="G1325" s="7" t="str">
        <f>_xlfn.XLOOKUP(Order_Details[[#This Row],[Order ID]], List_of_orders[Order ID], List_of_orders[State])</f>
        <v>West Bengal</v>
      </c>
      <c r="H1325" s="10">
        <f>_xlfn.XLOOKUP(Order_Details[[#This Row],[Order ID]], List_of_orders[Order ID], List_of_orders[Order Date (Clean)])</f>
        <v>43531</v>
      </c>
      <c r="I1325" s="7" t="str">
        <f>_xlfn.XLOOKUP(Order_Details[[#This Row],[Order ID]], List_of_orders[Order ID], List_of_orders[CustomerName])</f>
        <v>Parishi</v>
      </c>
      <c r="J1325" s="7" t="str">
        <f>_xlfn.XLOOKUP(Order_Details[[#This Row],[Order ID]], List_of_orders[Order ID], List_of_orders[City])</f>
        <v>Kolkata</v>
      </c>
      <c r="K1325" s="8" t="str">
        <f>TEXT(Order_Details[[#This Row],[Order Date]], "YY-MMM")</f>
        <v>19-Mar</v>
      </c>
      <c r="L1325" s="11">
        <f>Order_Details[[#This Row],[Profit]]/Order_Details[[#This Row],[Amount]]</f>
        <v>0.11061285500747384</v>
      </c>
      <c r="M1325" s="8">
        <f>YEAR(Order_Details[[#This Row],[Order Date]])</f>
        <v>2019</v>
      </c>
      <c r="N1325" s="8">
        <f>ROUNDUP(MONTH(Order_Details[[#This Row],[Order Date]])/3, 0)</f>
        <v>1</v>
      </c>
    </row>
    <row r="1326" spans="1:14">
      <c r="A1326" s="1" t="s">
        <v>1002</v>
      </c>
      <c r="B1326" s="1">
        <v>80</v>
      </c>
      <c r="C1326" s="1">
        <v>22</v>
      </c>
      <c r="D1326" s="1">
        <v>3</v>
      </c>
      <c r="E1326" s="1" t="s">
        <v>1076</v>
      </c>
      <c r="F1326" s="1" t="s">
        <v>1102</v>
      </c>
      <c r="G1326" s="7" t="str">
        <f>_xlfn.XLOOKUP(Order_Details[[#This Row],[Order ID]], List_of_orders[Order ID], List_of_orders[State])</f>
        <v>West Bengal</v>
      </c>
      <c r="H1326" s="10">
        <f>_xlfn.XLOOKUP(Order_Details[[#This Row],[Order ID]], List_of_orders[Order ID], List_of_orders[Order Date (Clean)])</f>
        <v>43531</v>
      </c>
      <c r="I1326" s="7" t="str">
        <f>_xlfn.XLOOKUP(Order_Details[[#This Row],[Order ID]], List_of_orders[Order ID], List_of_orders[CustomerName])</f>
        <v>Parishi</v>
      </c>
      <c r="J1326" s="7" t="str">
        <f>_xlfn.XLOOKUP(Order_Details[[#This Row],[Order ID]], List_of_orders[Order ID], List_of_orders[City])</f>
        <v>Kolkata</v>
      </c>
      <c r="K1326" s="8" t="str">
        <f>TEXT(Order_Details[[#This Row],[Order Date]], "YY-MMM")</f>
        <v>19-Mar</v>
      </c>
      <c r="L1326" s="11">
        <f>Order_Details[[#This Row],[Profit]]/Order_Details[[#This Row],[Amount]]</f>
        <v>0.27500000000000002</v>
      </c>
      <c r="M1326" s="8">
        <f>YEAR(Order_Details[[#This Row],[Order Date]])</f>
        <v>2019</v>
      </c>
      <c r="N1326" s="8">
        <f>ROUNDUP(MONTH(Order_Details[[#This Row],[Order Date]])/3, 0)</f>
        <v>1</v>
      </c>
    </row>
    <row r="1327" spans="1:14">
      <c r="A1327" s="1" t="s">
        <v>1002</v>
      </c>
      <c r="B1327" s="1">
        <v>216</v>
      </c>
      <c r="C1327" s="1">
        <v>50</v>
      </c>
      <c r="D1327" s="1">
        <v>4</v>
      </c>
      <c r="E1327" s="1" t="s">
        <v>1076</v>
      </c>
      <c r="F1327" s="1" t="s">
        <v>1102</v>
      </c>
      <c r="G1327" s="7" t="str">
        <f>_xlfn.XLOOKUP(Order_Details[[#This Row],[Order ID]], List_of_orders[Order ID], List_of_orders[State])</f>
        <v>West Bengal</v>
      </c>
      <c r="H1327" s="10">
        <f>_xlfn.XLOOKUP(Order_Details[[#This Row],[Order ID]], List_of_orders[Order ID], List_of_orders[Order Date (Clean)])</f>
        <v>43531</v>
      </c>
      <c r="I1327" s="7" t="str">
        <f>_xlfn.XLOOKUP(Order_Details[[#This Row],[Order ID]], List_of_orders[Order ID], List_of_orders[CustomerName])</f>
        <v>Parishi</v>
      </c>
      <c r="J1327" s="7" t="str">
        <f>_xlfn.XLOOKUP(Order_Details[[#This Row],[Order ID]], List_of_orders[Order ID], List_of_orders[City])</f>
        <v>Kolkata</v>
      </c>
      <c r="K1327" s="8" t="str">
        <f>TEXT(Order_Details[[#This Row],[Order Date]], "YY-MMM")</f>
        <v>19-Mar</v>
      </c>
      <c r="L1327" s="11">
        <f>Order_Details[[#This Row],[Profit]]/Order_Details[[#This Row],[Amount]]</f>
        <v>0.23148148148148148</v>
      </c>
      <c r="M1327" s="8">
        <f>YEAR(Order_Details[[#This Row],[Order Date]])</f>
        <v>2019</v>
      </c>
      <c r="N1327" s="8">
        <f>ROUNDUP(MONTH(Order_Details[[#This Row],[Order Date]])/3, 0)</f>
        <v>1</v>
      </c>
    </row>
    <row r="1328" spans="1:14">
      <c r="A1328" s="1" t="s">
        <v>1002</v>
      </c>
      <c r="B1328" s="1">
        <v>85</v>
      </c>
      <c r="C1328" s="1">
        <v>24</v>
      </c>
      <c r="D1328" s="1">
        <v>10</v>
      </c>
      <c r="E1328" s="1" t="s">
        <v>1076</v>
      </c>
      <c r="F1328" s="1" t="s">
        <v>1103</v>
      </c>
      <c r="G1328" s="7" t="str">
        <f>_xlfn.XLOOKUP(Order_Details[[#This Row],[Order ID]], List_of_orders[Order ID], List_of_orders[State])</f>
        <v>West Bengal</v>
      </c>
      <c r="H1328" s="10">
        <f>_xlfn.XLOOKUP(Order_Details[[#This Row],[Order ID]], List_of_orders[Order ID], List_of_orders[Order Date (Clean)])</f>
        <v>43531</v>
      </c>
      <c r="I1328" s="7" t="str">
        <f>_xlfn.XLOOKUP(Order_Details[[#This Row],[Order ID]], List_of_orders[Order ID], List_of_orders[CustomerName])</f>
        <v>Parishi</v>
      </c>
      <c r="J1328" s="7" t="str">
        <f>_xlfn.XLOOKUP(Order_Details[[#This Row],[Order ID]], List_of_orders[Order ID], List_of_orders[City])</f>
        <v>Kolkata</v>
      </c>
      <c r="K1328" s="8" t="str">
        <f>TEXT(Order_Details[[#This Row],[Order Date]], "YY-MMM")</f>
        <v>19-Mar</v>
      </c>
      <c r="L1328" s="11">
        <f>Order_Details[[#This Row],[Profit]]/Order_Details[[#This Row],[Amount]]</f>
        <v>0.28235294117647058</v>
      </c>
      <c r="M1328" s="8">
        <f>YEAR(Order_Details[[#This Row],[Order Date]])</f>
        <v>2019</v>
      </c>
      <c r="N1328" s="8">
        <f>ROUNDUP(MONTH(Order_Details[[#This Row],[Order Date]])/3, 0)</f>
        <v>1</v>
      </c>
    </row>
    <row r="1329" spans="1:14">
      <c r="A1329" s="1" t="s">
        <v>1002</v>
      </c>
      <c r="B1329" s="1">
        <v>382</v>
      </c>
      <c r="C1329" s="1">
        <v>119</v>
      </c>
      <c r="D1329" s="1">
        <v>2</v>
      </c>
      <c r="E1329" s="1" t="s">
        <v>1076</v>
      </c>
      <c r="F1329" s="1" t="s">
        <v>1106</v>
      </c>
      <c r="G1329" s="7" t="str">
        <f>_xlfn.XLOOKUP(Order_Details[[#This Row],[Order ID]], List_of_orders[Order ID], List_of_orders[State])</f>
        <v>West Bengal</v>
      </c>
      <c r="H1329" s="10">
        <f>_xlfn.XLOOKUP(Order_Details[[#This Row],[Order ID]], List_of_orders[Order ID], List_of_orders[Order Date (Clean)])</f>
        <v>43531</v>
      </c>
      <c r="I1329" s="7" t="str">
        <f>_xlfn.XLOOKUP(Order_Details[[#This Row],[Order ID]], List_of_orders[Order ID], List_of_orders[CustomerName])</f>
        <v>Parishi</v>
      </c>
      <c r="J1329" s="7" t="str">
        <f>_xlfn.XLOOKUP(Order_Details[[#This Row],[Order ID]], List_of_orders[Order ID], List_of_orders[City])</f>
        <v>Kolkata</v>
      </c>
      <c r="K1329" s="8" t="str">
        <f>TEXT(Order_Details[[#This Row],[Order Date]], "YY-MMM")</f>
        <v>19-Mar</v>
      </c>
      <c r="L1329" s="11">
        <f>Order_Details[[#This Row],[Profit]]/Order_Details[[#This Row],[Amount]]</f>
        <v>0.31151832460732987</v>
      </c>
      <c r="M1329" s="8">
        <f>YEAR(Order_Details[[#This Row],[Order Date]])</f>
        <v>2019</v>
      </c>
      <c r="N1329" s="8">
        <f>ROUNDUP(MONTH(Order_Details[[#This Row],[Order Date]])/3, 0)</f>
        <v>1</v>
      </c>
    </row>
    <row r="1330" spans="1:14">
      <c r="A1330" s="1" t="s">
        <v>1002</v>
      </c>
      <c r="B1330" s="1">
        <v>490</v>
      </c>
      <c r="C1330" s="1">
        <v>88</v>
      </c>
      <c r="D1330" s="1">
        <v>2</v>
      </c>
      <c r="E1330" s="1" t="s">
        <v>1077</v>
      </c>
      <c r="F1330" s="1" t="s">
        <v>1115</v>
      </c>
      <c r="G1330" s="7" t="str">
        <f>_xlfn.XLOOKUP(Order_Details[[#This Row],[Order ID]], List_of_orders[Order ID], List_of_orders[State])</f>
        <v>West Bengal</v>
      </c>
      <c r="H1330" s="10">
        <f>_xlfn.XLOOKUP(Order_Details[[#This Row],[Order ID]], List_of_orders[Order ID], List_of_orders[Order Date (Clean)])</f>
        <v>43531</v>
      </c>
      <c r="I1330" s="7" t="str">
        <f>_xlfn.XLOOKUP(Order_Details[[#This Row],[Order ID]], List_of_orders[Order ID], List_of_orders[CustomerName])</f>
        <v>Parishi</v>
      </c>
      <c r="J1330" s="7" t="str">
        <f>_xlfn.XLOOKUP(Order_Details[[#This Row],[Order ID]], List_of_orders[Order ID], List_of_orders[City])</f>
        <v>Kolkata</v>
      </c>
      <c r="K1330" s="8" t="str">
        <f>TEXT(Order_Details[[#This Row],[Order Date]], "YY-MMM")</f>
        <v>19-Mar</v>
      </c>
      <c r="L1330" s="11">
        <f>Order_Details[[#This Row],[Profit]]/Order_Details[[#This Row],[Amount]]</f>
        <v>0.17959183673469387</v>
      </c>
      <c r="M1330" s="8">
        <f>YEAR(Order_Details[[#This Row],[Order Date]])</f>
        <v>2019</v>
      </c>
      <c r="N1330" s="8">
        <f>ROUNDUP(MONTH(Order_Details[[#This Row],[Order Date]])/3, 0)</f>
        <v>1</v>
      </c>
    </row>
    <row r="1331" spans="1:14">
      <c r="A1331" s="1" t="s">
        <v>1002</v>
      </c>
      <c r="B1331" s="1">
        <v>1337</v>
      </c>
      <c r="C1331" s="1">
        <v>147</v>
      </c>
      <c r="D1331" s="1">
        <v>7</v>
      </c>
      <c r="E1331" s="1" t="s">
        <v>1077</v>
      </c>
      <c r="F1331" s="1" t="s">
        <v>1114</v>
      </c>
      <c r="G1331" s="7" t="str">
        <f>_xlfn.XLOOKUP(Order_Details[[#This Row],[Order ID]], List_of_orders[Order ID], List_of_orders[State])</f>
        <v>West Bengal</v>
      </c>
      <c r="H1331" s="10">
        <f>_xlfn.XLOOKUP(Order_Details[[#This Row],[Order ID]], List_of_orders[Order ID], List_of_orders[Order Date (Clean)])</f>
        <v>43531</v>
      </c>
      <c r="I1331" s="7" t="str">
        <f>_xlfn.XLOOKUP(Order_Details[[#This Row],[Order ID]], List_of_orders[Order ID], List_of_orders[CustomerName])</f>
        <v>Parishi</v>
      </c>
      <c r="J1331" s="7" t="str">
        <f>_xlfn.XLOOKUP(Order_Details[[#This Row],[Order ID]], List_of_orders[Order ID], List_of_orders[City])</f>
        <v>Kolkata</v>
      </c>
      <c r="K1331" s="8" t="str">
        <f>TEXT(Order_Details[[#This Row],[Order Date]], "YY-MMM")</f>
        <v>19-Mar</v>
      </c>
      <c r="L1331" s="11">
        <f>Order_Details[[#This Row],[Profit]]/Order_Details[[#This Row],[Amount]]</f>
        <v>0.1099476439790576</v>
      </c>
      <c r="M1331" s="8">
        <f>YEAR(Order_Details[[#This Row],[Order Date]])</f>
        <v>2019</v>
      </c>
      <c r="N1331" s="8">
        <f>ROUNDUP(MONTH(Order_Details[[#This Row],[Order Date]])/3, 0)</f>
        <v>1</v>
      </c>
    </row>
    <row r="1332" spans="1:14">
      <c r="A1332" s="1" t="s">
        <v>1002</v>
      </c>
      <c r="B1332" s="1">
        <v>600</v>
      </c>
      <c r="C1332" s="1">
        <v>102</v>
      </c>
      <c r="D1332" s="1">
        <v>5</v>
      </c>
      <c r="E1332" s="1" t="s">
        <v>1077</v>
      </c>
      <c r="F1332" s="1" t="s">
        <v>1104</v>
      </c>
      <c r="G1332" s="7" t="str">
        <f>_xlfn.XLOOKUP(Order_Details[[#This Row],[Order ID]], List_of_orders[Order ID], List_of_orders[State])</f>
        <v>West Bengal</v>
      </c>
      <c r="H1332" s="10">
        <f>_xlfn.XLOOKUP(Order_Details[[#This Row],[Order ID]], List_of_orders[Order ID], List_of_orders[Order Date (Clean)])</f>
        <v>43531</v>
      </c>
      <c r="I1332" s="7" t="str">
        <f>_xlfn.XLOOKUP(Order_Details[[#This Row],[Order ID]], List_of_orders[Order ID], List_of_orders[CustomerName])</f>
        <v>Parishi</v>
      </c>
      <c r="J1332" s="7" t="str">
        <f>_xlfn.XLOOKUP(Order_Details[[#This Row],[Order ID]], List_of_orders[Order ID], List_of_orders[City])</f>
        <v>Kolkata</v>
      </c>
      <c r="K1332" s="8" t="str">
        <f>TEXT(Order_Details[[#This Row],[Order Date]], "YY-MMM")</f>
        <v>19-Mar</v>
      </c>
      <c r="L1332" s="11">
        <f>Order_Details[[#This Row],[Profit]]/Order_Details[[#This Row],[Amount]]</f>
        <v>0.17</v>
      </c>
      <c r="M1332" s="8">
        <f>YEAR(Order_Details[[#This Row],[Order Date]])</f>
        <v>2019</v>
      </c>
      <c r="N1332" s="8">
        <f>ROUNDUP(MONTH(Order_Details[[#This Row],[Order Date]])/3, 0)</f>
        <v>1</v>
      </c>
    </row>
    <row r="1333" spans="1:14">
      <c r="A1333" s="1" t="s">
        <v>1003</v>
      </c>
      <c r="B1333" s="1">
        <v>78</v>
      </c>
      <c r="C1333" s="1">
        <v>28</v>
      </c>
      <c r="D1333" s="1">
        <v>6</v>
      </c>
      <c r="E1333" s="1" t="s">
        <v>1076</v>
      </c>
      <c r="F1333" s="1" t="s">
        <v>1109</v>
      </c>
      <c r="G1333" s="7" t="str">
        <f>_xlfn.XLOOKUP(Order_Details[[#This Row],[Order ID]], List_of_orders[Order ID], List_of_orders[State])</f>
        <v>Karnataka</v>
      </c>
      <c r="H1333" s="10">
        <f>_xlfn.XLOOKUP(Order_Details[[#This Row],[Order ID]], List_of_orders[Order ID], List_of_orders[Order Date (Clean)])</f>
        <v>43532</v>
      </c>
      <c r="I1333" s="7" t="str">
        <f>_xlfn.XLOOKUP(Order_Details[[#This Row],[Order ID]], List_of_orders[Order ID], List_of_orders[CustomerName])</f>
        <v>Ajay</v>
      </c>
      <c r="J1333" s="7" t="str">
        <f>_xlfn.XLOOKUP(Order_Details[[#This Row],[Order ID]], List_of_orders[Order ID], List_of_orders[City])</f>
        <v>Bangalore</v>
      </c>
      <c r="K1333" s="8" t="str">
        <f>TEXT(Order_Details[[#This Row],[Order Date]], "YY-MMM")</f>
        <v>19-Mar</v>
      </c>
      <c r="L1333" s="11">
        <f>Order_Details[[#This Row],[Profit]]/Order_Details[[#This Row],[Amount]]</f>
        <v>0.35897435897435898</v>
      </c>
      <c r="M1333" s="8">
        <f>YEAR(Order_Details[[#This Row],[Order Date]])</f>
        <v>2019</v>
      </c>
      <c r="N1333" s="8">
        <f>ROUNDUP(MONTH(Order_Details[[#This Row],[Order Date]])/3, 0)</f>
        <v>1</v>
      </c>
    </row>
    <row r="1334" spans="1:14">
      <c r="A1334" s="1" t="s">
        <v>1003</v>
      </c>
      <c r="B1334" s="1">
        <v>101</v>
      </c>
      <c r="C1334" s="1">
        <v>16</v>
      </c>
      <c r="D1334" s="1">
        <v>4</v>
      </c>
      <c r="E1334" s="1" t="s">
        <v>1076</v>
      </c>
      <c r="F1334" s="1" t="s">
        <v>1110</v>
      </c>
      <c r="G1334" s="7" t="str">
        <f>_xlfn.XLOOKUP(Order_Details[[#This Row],[Order ID]], List_of_orders[Order ID], List_of_orders[State])</f>
        <v>Karnataka</v>
      </c>
      <c r="H1334" s="10">
        <f>_xlfn.XLOOKUP(Order_Details[[#This Row],[Order ID]], List_of_orders[Order ID], List_of_orders[Order Date (Clean)])</f>
        <v>43532</v>
      </c>
      <c r="I1334" s="7" t="str">
        <f>_xlfn.XLOOKUP(Order_Details[[#This Row],[Order ID]], List_of_orders[Order ID], List_of_orders[CustomerName])</f>
        <v>Ajay</v>
      </c>
      <c r="J1334" s="7" t="str">
        <f>_xlfn.XLOOKUP(Order_Details[[#This Row],[Order ID]], List_of_orders[Order ID], List_of_orders[City])</f>
        <v>Bangalore</v>
      </c>
      <c r="K1334" s="8" t="str">
        <f>TEXT(Order_Details[[#This Row],[Order Date]], "YY-MMM")</f>
        <v>19-Mar</v>
      </c>
      <c r="L1334" s="11">
        <f>Order_Details[[#This Row],[Profit]]/Order_Details[[#This Row],[Amount]]</f>
        <v>0.15841584158415842</v>
      </c>
      <c r="M1334" s="8">
        <f>YEAR(Order_Details[[#This Row],[Order Date]])</f>
        <v>2019</v>
      </c>
      <c r="N1334" s="8">
        <f>ROUNDUP(MONTH(Order_Details[[#This Row],[Order Date]])/3, 0)</f>
        <v>1</v>
      </c>
    </row>
    <row r="1335" spans="1:14">
      <c r="A1335" s="1" t="s">
        <v>1003</v>
      </c>
      <c r="B1335" s="1">
        <v>145</v>
      </c>
      <c r="C1335" s="1">
        <v>0</v>
      </c>
      <c r="D1335" s="1">
        <v>3</v>
      </c>
      <c r="E1335" s="1" t="s">
        <v>1076</v>
      </c>
      <c r="F1335" s="1" t="s">
        <v>1106</v>
      </c>
      <c r="G1335" s="7" t="str">
        <f>_xlfn.XLOOKUP(Order_Details[[#This Row],[Order ID]], List_of_orders[Order ID], List_of_orders[State])</f>
        <v>Karnataka</v>
      </c>
      <c r="H1335" s="10">
        <f>_xlfn.XLOOKUP(Order_Details[[#This Row],[Order ID]], List_of_orders[Order ID], List_of_orders[Order Date (Clean)])</f>
        <v>43532</v>
      </c>
      <c r="I1335" s="7" t="str">
        <f>_xlfn.XLOOKUP(Order_Details[[#This Row],[Order ID]], List_of_orders[Order ID], List_of_orders[CustomerName])</f>
        <v>Ajay</v>
      </c>
      <c r="J1335" s="7" t="str">
        <f>_xlfn.XLOOKUP(Order_Details[[#This Row],[Order ID]], List_of_orders[Order ID], List_of_orders[City])</f>
        <v>Bangalore</v>
      </c>
      <c r="K1335" s="8" t="str">
        <f>TEXT(Order_Details[[#This Row],[Order Date]], "YY-MMM")</f>
        <v>19-Mar</v>
      </c>
      <c r="L1335" s="11">
        <f>Order_Details[[#This Row],[Profit]]/Order_Details[[#This Row],[Amount]]</f>
        <v>0</v>
      </c>
      <c r="M1335" s="8">
        <f>YEAR(Order_Details[[#This Row],[Order Date]])</f>
        <v>2019</v>
      </c>
      <c r="N1335" s="8">
        <f>ROUNDUP(MONTH(Order_Details[[#This Row],[Order Date]])/3, 0)</f>
        <v>1</v>
      </c>
    </row>
    <row r="1336" spans="1:14">
      <c r="A1336" s="1" t="s">
        <v>1003</v>
      </c>
      <c r="B1336" s="1">
        <v>148</v>
      </c>
      <c r="C1336" s="1">
        <v>23</v>
      </c>
      <c r="D1336" s="1">
        <v>4</v>
      </c>
      <c r="E1336" s="1" t="s">
        <v>1076</v>
      </c>
      <c r="F1336" s="1" t="s">
        <v>1109</v>
      </c>
      <c r="G1336" s="7" t="str">
        <f>_xlfn.XLOOKUP(Order_Details[[#This Row],[Order ID]], List_of_orders[Order ID], List_of_orders[State])</f>
        <v>Karnataka</v>
      </c>
      <c r="H1336" s="10">
        <f>_xlfn.XLOOKUP(Order_Details[[#This Row],[Order ID]], List_of_orders[Order ID], List_of_orders[Order Date (Clean)])</f>
        <v>43532</v>
      </c>
      <c r="I1336" s="7" t="str">
        <f>_xlfn.XLOOKUP(Order_Details[[#This Row],[Order ID]], List_of_orders[Order ID], List_of_orders[CustomerName])</f>
        <v>Ajay</v>
      </c>
      <c r="J1336" s="7" t="str">
        <f>_xlfn.XLOOKUP(Order_Details[[#This Row],[Order ID]], List_of_orders[Order ID], List_of_orders[City])</f>
        <v>Bangalore</v>
      </c>
      <c r="K1336" s="8" t="str">
        <f>TEXT(Order_Details[[#This Row],[Order Date]], "YY-MMM")</f>
        <v>19-Mar</v>
      </c>
      <c r="L1336" s="11">
        <f>Order_Details[[#This Row],[Profit]]/Order_Details[[#This Row],[Amount]]</f>
        <v>0.1554054054054054</v>
      </c>
      <c r="M1336" s="8">
        <f>YEAR(Order_Details[[#This Row],[Order Date]])</f>
        <v>2019</v>
      </c>
      <c r="N1336" s="8">
        <f>ROUNDUP(MONTH(Order_Details[[#This Row],[Order Date]])/3, 0)</f>
        <v>1</v>
      </c>
    </row>
    <row r="1337" spans="1:14">
      <c r="A1337" s="1" t="s">
        <v>1003</v>
      </c>
      <c r="B1337" s="1">
        <v>15</v>
      </c>
      <c r="C1337" s="1">
        <v>1</v>
      </c>
      <c r="D1337" s="1">
        <v>1</v>
      </c>
      <c r="E1337" s="1" t="s">
        <v>1076</v>
      </c>
      <c r="F1337" s="1" t="s">
        <v>1111</v>
      </c>
      <c r="G1337" s="7" t="str">
        <f>_xlfn.XLOOKUP(Order_Details[[#This Row],[Order ID]], List_of_orders[Order ID], List_of_orders[State])</f>
        <v>Karnataka</v>
      </c>
      <c r="H1337" s="10">
        <f>_xlfn.XLOOKUP(Order_Details[[#This Row],[Order ID]], List_of_orders[Order ID], List_of_orders[Order Date (Clean)])</f>
        <v>43532</v>
      </c>
      <c r="I1337" s="7" t="str">
        <f>_xlfn.XLOOKUP(Order_Details[[#This Row],[Order ID]], List_of_orders[Order ID], List_of_orders[CustomerName])</f>
        <v>Ajay</v>
      </c>
      <c r="J1337" s="7" t="str">
        <f>_xlfn.XLOOKUP(Order_Details[[#This Row],[Order ID]], List_of_orders[Order ID], List_of_orders[City])</f>
        <v>Bangalore</v>
      </c>
      <c r="K1337" s="8" t="str">
        <f>TEXT(Order_Details[[#This Row],[Order Date]], "YY-MMM")</f>
        <v>19-Mar</v>
      </c>
      <c r="L1337" s="11">
        <f>Order_Details[[#This Row],[Profit]]/Order_Details[[#This Row],[Amount]]</f>
        <v>6.6666666666666666E-2</v>
      </c>
      <c r="M1337" s="8">
        <f>YEAR(Order_Details[[#This Row],[Order Date]])</f>
        <v>2019</v>
      </c>
      <c r="N1337" s="8">
        <f>ROUNDUP(MONTH(Order_Details[[#This Row],[Order Date]])/3, 0)</f>
        <v>1</v>
      </c>
    </row>
    <row r="1338" spans="1:14">
      <c r="A1338" s="1" t="s">
        <v>1003</v>
      </c>
      <c r="B1338" s="1">
        <v>25</v>
      </c>
      <c r="C1338" s="1">
        <v>7</v>
      </c>
      <c r="D1338" s="1">
        <v>2</v>
      </c>
      <c r="E1338" s="1" t="s">
        <v>1076</v>
      </c>
      <c r="F1338" s="1" t="s">
        <v>1102</v>
      </c>
      <c r="G1338" s="7" t="str">
        <f>_xlfn.XLOOKUP(Order_Details[[#This Row],[Order ID]], List_of_orders[Order ID], List_of_orders[State])</f>
        <v>Karnataka</v>
      </c>
      <c r="H1338" s="10">
        <f>_xlfn.XLOOKUP(Order_Details[[#This Row],[Order ID]], List_of_orders[Order ID], List_of_orders[Order Date (Clean)])</f>
        <v>43532</v>
      </c>
      <c r="I1338" s="7" t="str">
        <f>_xlfn.XLOOKUP(Order_Details[[#This Row],[Order ID]], List_of_orders[Order ID], List_of_orders[CustomerName])</f>
        <v>Ajay</v>
      </c>
      <c r="J1338" s="7" t="str">
        <f>_xlfn.XLOOKUP(Order_Details[[#This Row],[Order ID]], List_of_orders[Order ID], List_of_orders[City])</f>
        <v>Bangalore</v>
      </c>
      <c r="K1338" s="8" t="str">
        <f>TEXT(Order_Details[[#This Row],[Order Date]], "YY-MMM")</f>
        <v>19-Mar</v>
      </c>
      <c r="L1338" s="11">
        <f>Order_Details[[#This Row],[Profit]]/Order_Details[[#This Row],[Amount]]</f>
        <v>0.28000000000000003</v>
      </c>
      <c r="M1338" s="8">
        <f>YEAR(Order_Details[[#This Row],[Order Date]])</f>
        <v>2019</v>
      </c>
      <c r="N1338" s="8">
        <f>ROUNDUP(MONTH(Order_Details[[#This Row],[Order Date]])/3, 0)</f>
        <v>1</v>
      </c>
    </row>
    <row r="1339" spans="1:14">
      <c r="A1339" s="1" t="s">
        <v>1003</v>
      </c>
      <c r="B1339" s="1">
        <v>774</v>
      </c>
      <c r="C1339" s="1">
        <v>170</v>
      </c>
      <c r="D1339" s="1">
        <v>3</v>
      </c>
      <c r="E1339" s="1" t="s">
        <v>1077</v>
      </c>
      <c r="F1339" s="1" t="s">
        <v>1115</v>
      </c>
      <c r="G1339" s="7" t="str">
        <f>_xlfn.XLOOKUP(Order_Details[[#This Row],[Order ID]], List_of_orders[Order ID], List_of_orders[State])</f>
        <v>Karnataka</v>
      </c>
      <c r="H1339" s="10">
        <f>_xlfn.XLOOKUP(Order_Details[[#This Row],[Order ID]], List_of_orders[Order ID], List_of_orders[Order Date (Clean)])</f>
        <v>43532</v>
      </c>
      <c r="I1339" s="7" t="str">
        <f>_xlfn.XLOOKUP(Order_Details[[#This Row],[Order ID]], List_of_orders[Order ID], List_of_orders[CustomerName])</f>
        <v>Ajay</v>
      </c>
      <c r="J1339" s="7" t="str">
        <f>_xlfn.XLOOKUP(Order_Details[[#This Row],[Order ID]], List_of_orders[Order ID], List_of_orders[City])</f>
        <v>Bangalore</v>
      </c>
      <c r="K1339" s="8" t="str">
        <f>TEXT(Order_Details[[#This Row],[Order Date]], "YY-MMM")</f>
        <v>19-Mar</v>
      </c>
      <c r="L1339" s="11">
        <f>Order_Details[[#This Row],[Profit]]/Order_Details[[#This Row],[Amount]]</f>
        <v>0.21963824289405684</v>
      </c>
      <c r="M1339" s="8">
        <f>YEAR(Order_Details[[#This Row],[Order Date]])</f>
        <v>2019</v>
      </c>
      <c r="N1339" s="8">
        <f>ROUNDUP(MONTH(Order_Details[[#This Row],[Order Date]])/3, 0)</f>
        <v>1</v>
      </c>
    </row>
    <row r="1340" spans="1:14">
      <c r="A1340" s="1" t="s">
        <v>1004</v>
      </c>
      <c r="B1340" s="1">
        <v>17</v>
      </c>
      <c r="C1340" s="1">
        <v>1</v>
      </c>
      <c r="D1340" s="1">
        <v>2</v>
      </c>
      <c r="E1340" s="1" t="s">
        <v>1076</v>
      </c>
      <c r="F1340" s="1" t="s">
        <v>1117</v>
      </c>
      <c r="G1340" s="7" t="str">
        <f>_xlfn.XLOOKUP(Order_Details[[#This Row],[Order ID]], List_of_orders[Order ID], List_of_orders[State])</f>
        <v>Jammu and Kashmir</v>
      </c>
      <c r="H1340" s="10">
        <f>_xlfn.XLOOKUP(Order_Details[[#This Row],[Order ID]], List_of_orders[Order ID], List_of_orders[Order Date (Clean)])</f>
        <v>43533</v>
      </c>
      <c r="I1340" s="7" t="str">
        <f>_xlfn.XLOOKUP(Order_Details[[#This Row],[Order ID]], List_of_orders[Order ID], List_of_orders[CustomerName])</f>
        <v>Kirti</v>
      </c>
      <c r="J1340" s="7" t="str">
        <f>_xlfn.XLOOKUP(Order_Details[[#This Row],[Order ID]], List_of_orders[Order ID], List_of_orders[City])</f>
        <v>Kashmir</v>
      </c>
      <c r="K1340" s="8" t="str">
        <f>TEXT(Order_Details[[#This Row],[Order Date]], "YY-MMM")</f>
        <v>19-Mar</v>
      </c>
      <c r="L1340" s="11">
        <f>Order_Details[[#This Row],[Profit]]/Order_Details[[#This Row],[Amount]]</f>
        <v>5.8823529411764705E-2</v>
      </c>
      <c r="M1340" s="8">
        <f>YEAR(Order_Details[[#This Row],[Order Date]])</f>
        <v>2019</v>
      </c>
      <c r="N1340" s="8">
        <f>ROUNDUP(MONTH(Order_Details[[#This Row],[Order Date]])/3, 0)</f>
        <v>1</v>
      </c>
    </row>
    <row r="1341" spans="1:14">
      <c r="A1341" s="1" t="s">
        <v>1004</v>
      </c>
      <c r="B1341" s="1">
        <v>246</v>
      </c>
      <c r="C1341" s="1">
        <v>61</v>
      </c>
      <c r="D1341" s="1">
        <v>2</v>
      </c>
      <c r="E1341" s="1" t="s">
        <v>1075</v>
      </c>
      <c r="F1341" s="1" t="s">
        <v>1101</v>
      </c>
      <c r="G1341" s="7" t="str">
        <f>_xlfn.XLOOKUP(Order_Details[[#This Row],[Order ID]], List_of_orders[Order ID], List_of_orders[State])</f>
        <v>Jammu and Kashmir</v>
      </c>
      <c r="H1341" s="10">
        <f>_xlfn.XLOOKUP(Order_Details[[#This Row],[Order ID]], List_of_orders[Order ID], List_of_orders[Order Date (Clean)])</f>
        <v>43533</v>
      </c>
      <c r="I1341" s="7" t="str">
        <f>_xlfn.XLOOKUP(Order_Details[[#This Row],[Order ID]], List_of_orders[Order ID], List_of_orders[CustomerName])</f>
        <v>Kirti</v>
      </c>
      <c r="J1341" s="7" t="str">
        <f>_xlfn.XLOOKUP(Order_Details[[#This Row],[Order ID]], List_of_orders[Order ID], List_of_orders[City])</f>
        <v>Kashmir</v>
      </c>
      <c r="K1341" s="8" t="str">
        <f>TEXT(Order_Details[[#This Row],[Order Date]], "YY-MMM")</f>
        <v>19-Mar</v>
      </c>
      <c r="L1341" s="11">
        <f>Order_Details[[#This Row],[Profit]]/Order_Details[[#This Row],[Amount]]</f>
        <v>0.24796747967479674</v>
      </c>
      <c r="M1341" s="8">
        <f>YEAR(Order_Details[[#This Row],[Order Date]])</f>
        <v>2019</v>
      </c>
      <c r="N1341" s="8">
        <f>ROUNDUP(MONTH(Order_Details[[#This Row],[Order Date]])/3, 0)</f>
        <v>1</v>
      </c>
    </row>
    <row r="1342" spans="1:14">
      <c r="A1342" s="1" t="s">
        <v>1004</v>
      </c>
      <c r="B1342" s="1">
        <v>425</v>
      </c>
      <c r="C1342" s="1">
        <v>208</v>
      </c>
      <c r="D1342" s="1">
        <v>7</v>
      </c>
      <c r="E1342" s="1" t="s">
        <v>1076</v>
      </c>
      <c r="F1342" s="1" t="s">
        <v>1106</v>
      </c>
      <c r="G1342" s="7" t="str">
        <f>_xlfn.XLOOKUP(Order_Details[[#This Row],[Order ID]], List_of_orders[Order ID], List_of_orders[State])</f>
        <v>Jammu and Kashmir</v>
      </c>
      <c r="H1342" s="10">
        <f>_xlfn.XLOOKUP(Order_Details[[#This Row],[Order ID]], List_of_orders[Order ID], List_of_orders[Order Date (Clean)])</f>
        <v>43533</v>
      </c>
      <c r="I1342" s="7" t="str">
        <f>_xlfn.XLOOKUP(Order_Details[[#This Row],[Order ID]], List_of_orders[Order ID], List_of_orders[CustomerName])</f>
        <v>Kirti</v>
      </c>
      <c r="J1342" s="7" t="str">
        <f>_xlfn.XLOOKUP(Order_Details[[#This Row],[Order ID]], List_of_orders[Order ID], List_of_orders[City])</f>
        <v>Kashmir</v>
      </c>
      <c r="K1342" s="8" t="str">
        <f>TEXT(Order_Details[[#This Row],[Order Date]], "YY-MMM")</f>
        <v>19-Mar</v>
      </c>
      <c r="L1342" s="11">
        <f>Order_Details[[#This Row],[Profit]]/Order_Details[[#This Row],[Amount]]</f>
        <v>0.48941176470588238</v>
      </c>
      <c r="M1342" s="8">
        <f>YEAR(Order_Details[[#This Row],[Order Date]])</f>
        <v>2019</v>
      </c>
      <c r="N1342" s="8">
        <f>ROUNDUP(MONTH(Order_Details[[#This Row],[Order Date]])/3, 0)</f>
        <v>1</v>
      </c>
    </row>
    <row r="1343" spans="1:14">
      <c r="A1343" s="1" t="s">
        <v>1004</v>
      </c>
      <c r="B1343" s="1">
        <v>93</v>
      </c>
      <c r="C1343" s="1">
        <v>31</v>
      </c>
      <c r="D1343" s="1">
        <v>3</v>
      </c>
      <c r="E1343" s="1" t="s">
        <v>1077</v>
      </c>
      <c r="F1343" s="1" t="s">
        <v>1115</v>
      </c>
      <c r="G1343" s="7" t="str">
        <f>_xlfn.XLOOKUP(Order_Details[[#This Row],[Order ID]], List_of_orders[Order ID], List_of_orders[State])</f>
        <v>Jammu and Kashmir</v>
      </c>
      <c r="H1343" s="10">
        <f>_xlfn.XLOOKUP(Order_Details[[#This Row],[Order ID]], List_of_orders[Order ID], List_of_orders[Order Date (Clean)])</f>
        <v>43533</v>
      </c>
      <c r="I1343" s="7" t="str">
        <f>_xlfn.XLOOKUP(Order_Details[[#This Row],[Order ID]], List_of_orders[Order ID], List_of_orders[CustomerName])</f>
        <v>Kirti</v>
      </c>
      <c r="J1343" s="7" t="str">
        <f>_xlfn.XLOOKUP(Order_Details[[#This Row],[Order ID]], List_of_orders[Order ID], List_of_orders[City])</f>
        <v>Kashmir</v>
      </c>
      <c r="K1343" s="8" t="str">
        <f>TEXT(Order_Details[[#This Row],[Order Date]], "YY-MMM")</f>
        <v>19-Mar</v>
      </c>
      <c r="L1343" s="11">
        <f>Order_Details[[#This Row],[Profit]]/Order_Details[[#This Row],[Amount]]</f>
        <v>0.33333333333333331</v>
      </c>
      <c r="M1343" s="8">
        <f>YEAR(Order_Details[[#This Row],[Order Date]])</f>
        <v>2019</v>
      </c>
      <c r="N1343" s="8">
        <f>ROUNDUP(MONTH(Order_Details[[#This Row],[Order Date]])/3, 0)</f>
        <v>1</v>
      </c>
    </row>
    <row r="1344" spans="1:14">
      <c r="A1344" s="1" t="s">
        <v>1004</v>
      </c>
      <c r="B1344" s="1">
        <v>594</v>
      </c>
      <c r="C1344" s="1">
        <v>89</v>
      </c>
      <c r="D1344" s="1">
        <v>3</v>
      </c>
      <c r="E1344" s="1" t="s">
        <v>1075</v>
      </c>
      <c r="F1344" s="1" t="s">
        <v>1101</v>
      </c>
      <c r="G1344" s="7" t="str">
        <f>_xlfn.XLOOKUP(Order_Details[[#This Row],[Order ID]], List_of_orders[Order ID], List_of_orders[State])</f>
        <v>Jammu and Kashmir</v>
      </c>
      <c r="H1344" s="10">
        <f>_xlfn.XLOOKUP(Order_Details[[#This Row],[Order ID]], List_of_orders[Order ID], List_of_orders[Order Date (Clean)])</f>
        <v>43533</v>
      </c>
      <c r="I1344" s="7" t="str">
        <f>_xlfn.XLOOKUP(Order_Details[[#This Row],[Order ID]], List_of_orders[Order ID], List_of_orders[CustomerName])</f>
        <v>Kirti</v>
      </c>
      <c r="J1344" s="7" t="str">
        <f>_xlfn.XLOOKUP(Order_Details[[#This Row],[Order ID]], List_of_orders[Order ID], List_of_orders[City])</f>
        <v>Kashmir</v>
      </c>
      <c r="K1344" s="8" t="str">
        <f>TEXT(Order_Details[[#This Row],[Order Date]], "YY-MMM")</f>
        <v>19-Mar</v>
      </c>
      <c r="L1344" s="11">
        <f>Order_Details[[#This Row],[Profit]]/Order_Details[[#This Row],[Amount]]</f>
        <v>0.14983164983164984</v>
      </c>
      <c r="M1344" s="8">
        <f>YEAR(Order_Details[[#This Row],[Order Date]])</f>
        <v>2019</v>
      </c>
      <c r="N1344" s="8">
        <f>ROUNDUP(MONTH(Order_Details[[#This Row],[Order Date]])/3, 0)</f>
        <v>1</v>
      </c>
    </row>
    <row r="1345" spans="1:14">
      <c r="A1345" s="1" t="s">
        <v>1004</v>
      </c>
      <c r="B1345" s="1">
        <v>85</v>
      </c>
      <c r="C1345" s="1">
        <v>2</v>
      </c>
      <c r="D1345" s="1">
        <v>6</v>
      </c>
      <c r="E1345" s="1" t="s">
        <v>1076</v>
      </c>
      <c r="F1345" s="1" t="s">
        <v>1102</v>
      </c>
      <c r="G1345" s="7" t="str">
        <f>_xlfn.XLOOKUP(Order_Details[[#This Row],[Order ID]], List_of_orders[Order ID], List_of_orders[State])</f>
        <v>Jammu and Kashmir</v>
      </c>
      <c r="H1345" s="10">
        <f>_xlfn.XLOOKUP(Order_Details[[#This Row],[Order ID]], List_of_orders[Order ID], List_of_orders[Order Date (Clean)])</f>
        <v>43533</v>
      </c>
      <c r="I1345" s="7" t="str">
        <f>_xlfn.XLOOKUP(Order_Details[[#This Row],[Order ID]], List_of_orders[Order ID], List_of_orders[CustomerName])</f>
        <v>Kirti</v>
      </c>
      <c r="J1345" s="7" t="str">
        <f>_xlfn.XLOOKUP(Order_Details[[#This Row],[Order ID]], List_of_orders[Order ID], List_of_orders[City])</f>
        <v>Kashmir</v>
      </c>
      <c r="K1345" s="8" t="str">
        <f>TEXT(Order_Details[[#This Row],[Order Date]], "YY-MMM")</f>
        <v>19-Mar</v>
      </c>
      <c r="L1345" s="11">
        <f>Order_Details[[#This Row],[Profit]]/Order_Details[[#This Row],[Amount]]</f>
        <v>2.3529411764705882E-2</v>
      </c>
      <c r="M1345" s="8">
        <f>YEAR(Order_Details[[#This Row],[Order Date]])</f>
        <v>2019</v>
      </c>
      <c r="N1345" s="8">
        <f>ROUNDUP(MONTH(Order_Details[[#This Row],[Order Date]])/3, 0)</f>
        <v>1</v>
      </c>
    </row>
    <row r="1346" spans="1:14">
      <c r="A1346" s="1" t="s">
        <v>1004</v>
      </c>
      <c r="B1346" s="1">
        <v>27</v>
      </c>
      <c r="C1346" s="1">
        <v>6</v>
      </c>
      <c r="D1346" s="1">
        <v>3</v>
      </c>
      <c r="E1346" s="1" t="s">
        <v>1076</v>
      </c>
      <c r="F1346" s="1" t="s">
        <v>1117</v>
      </c>
      <c r="G1346" s="7" t="str">
        <f>_xlfn.XLOOKUP(Order_Details[[#This Row],[Order ID]], List_of_orders[Order ID], List_of_orders[State])</f>
        <v>Jammu and Kashmir</v>
      </c>
      <c r="H1346" s="10">
        <f>_xlfn.XLOOKUP(Order_Details[[#This Row],[Order ID]], List_of_orders[Order ID], List_of_orders[Order Date (Clean)])</f>
        <v>43533</v>
      </c>
      <c r="I1346" s="7" t="str">
        <f>_xlfn.XLOOKUP(Order_Details[[#This Row],[Order ID]], List_of_orders[Order ID], List_of_orders[CustomerName])</f>
        <v>Kirti</v>
      </c>
      <c r="J1346" s="7" t="str">
        <f>_xlfn.XLOOKUP(Order_Details[[#This Row],[Order ID]], List_of_orders[Order ID], List_of_orders[City])</f>
        <v>Kashmir</v>
      </c>
      <c r="K1346" s="8" t="str">
        <f>TEXT(Order_Details[[#This Row],[Order Date]], "YY-MMM")</f>
        <v>19-Mar</v>
      </c>
      <c r="L1346" s="11">
        <f>Order_Details[[#This Row],[Profit]]/Order_Details[[#This Row],[Amount]]</f>
        <v>0.22222222222222221</v>
      </c>
      <c r="M1346" s="8">
        <f>YEAR(Order_Details[[#This Row],[Order Date]])</f>
        <v>2019</v>
      </c>
      <c r="N1346" s="8">
        <f>ROUNDUP(MONTH(Order_Details[[#This Row],[Order Date]])/3, 0)</f>
        <v>1</v>
      </c>
    </row>
    <row r="1347" spans="1:14">
      <c r="A1347" s="1" t="s">
        <v>1004</v>
      </c>
      <c r="B1347" s="1">
        <v>120</v>
      </c>
      <c r="C1347" s="1">
        <v>1</v>
      </c>
      <c r="D1347" s="1">
        <v>1</v>
      </c>
      <c r="E1347" s="1" t="s">
        <v>1075</v>
      </c>
      <c r="F1347" s="1" t="s">
        <v>1108</v>
      </c>
      <c r="G1347" s="7" t="str">
        <f>_xlfn.XLOOKUP(Order_Details[[#This Row],[Order ID]], List_of_orders[Order ID], List_of_orders[State])</f>
        <v>Jammu and Kashmir</v>
      </c>
      <c r="H1347" s="10">
        <f>_xlfn.XLOOKUP(Order_Details[[#This Row],[Order ID]], List_of_orders[Order ID], List_of_orders[Order Date (Clean)])</f>
        <v>43533</v>
      </c>
      <c r="I1347" s="7" t="str">
        <f>_xlfn.XLOOKUP(Order_Details[[#This Row],[Order ID]], List_of_orders[Order ID], List_of_orders[CustomerName])</f>
        <v>Kirti</v>
      </c>
      <c r="J1347" s="7" t="str">
        <f>_xlfn.XLOOKUP(Order_Details[[#This Row],[Order ID]], List_of_orders[Order ID], List_of_orders[City])</f>
        <v>Kashmir</v>
      </c>
      <c r="K1347" s="8" t="str">
        <f>TEXT(Order_Details[[#This Row],[Order Date]], "YY-MMM")</f>
        <v>19-Mar</v>
      </c>
      <c r="L1347" s="11">
        <f>Order_Details[[#This Row],[Profit]]/Order_Details[[#This Row],[Amount]]</f>
        <v>8.3333333333333332E-3</v>
      </c>
      <c r="M1347" s="8">
        <f>YEAR(Order_Details[[#This Row],[Order Date]])</f>
        <v>2019</v>
      </c>
      <c r="N1347" s="8">
        <f>ROUNDUP(MONTH(Order_Details[[#This Row],[Order Date]])/3, 0)</f>
        <v>1</v>
      </c>
    </row>
    <row r="1348" spans="1:14">
      <c r="A1348" s="1" t="s">
        <v>1004</v>
      </c>
      <c r="B1348" s="1">
        <v>162</v>
      </c>
      <c r="C1348" s="1">
        <v>55</v>
      </c>
      <c r="D1348" s="1">
        <v>3</v>
      </c>
      <c r="E1348" s="1" t="s">
        <v>1076</v>
      </c>
      <c r="F1348" s="1" t="s">
        <v>1102</v>
      </c>
      <c r="G1348" s="7" t="str">
        <f>_xlfn.XLOOKUP(Order_Details[[#This Row],[Order ID]], List_of_orders[Order ID], List_of_orders[State])</f>
        <v>Jammu and Kashmir</v>
      </c>
      <c r="H1348" s="10">
        <f>_xlfn.XLOOKUP(Order_Details[[#This Row],[Order ID]], List_of_orders[Order ID], List_of_orders[Order Date (Clean)])</f>
        <v>43533</v>
      </c>
      <c r="I1348" s="7" t="str">
        <f>_xlfn.XLOOKUP(Order_Details[[#This Row],[Order ID]], List_of_orders[Order ID], List_of_orders[CustomerName])</f>
        <v>Kirti</v>
      </c>
      <c r="J1348" s="7" t="str">
        <f>_xlfn.XLOOKUP(Order_Details[[#This Row],[Order ID]], List_of_orders[Order ID], List_of_orders[City])</f>
        <v>Kashmir</v>
      </c>
      <c r="K1348" s="8" t="str">
        <f>TEXT(Order_Details[[#This Row],[Order Date]], "YY-MMM")</f>
        <v>19-Mar</v>
      </c>
      <c r="L1348" s="11">
        <f>Order_Details[[#This Row],[Profit]]/Order_Details[[#This Row],[Amount]]</f>
        <v>0.33950617283950618</v>
      </c>
      <c r="M1348" s="8">
        <f>YEAR(Order_Details[[#This Row],[Order Date]])</f>
        <v>2019</v>
      </c>
      <c r="N1348" s="8">
        <f>ROUNDUP(MONTH(Order_Details[[#This Row],[Order Date]])/3, 0)</f>
        <v>1</v>
      </c>
    </row>
    <row r="1349" spans="1:14">
      <c r="A1349" s="1" t="s">
        <v>1005</v>
      </c>
      <c r="B1349" s="1">
        <v>246</v>
      </c>
      <c r="C1349" s="1">
        <v>98</v>
      </c>
      <c r="D1349" s="1">
        <v>5</v>
      </c>
      <c r="E1349" s="1" t="s">
        <v>1076</v>
      </c>
      <c r="F1349" s="1" t="s">
        <v>1103</v>
      </c>
      <c r="G1349" s="7" t="str">
        <f>_xlfn.XLOOKUP(Order_Details[[#This Row],[Order ID]], List_of_orders[Order ID], List_of_orders[State])</f>
        <v>Maharashtra</v>
      </c>
      <c r="H1349" s="10">
        <f>_xlfn.XLOOKUP(Order_Details[[#This Row],[Order ID]], List_of_orders[Order ID], List_of_orders[Order Date (Clean)])</f>
        <v>43534</v>
      </c>
      <c r="I1349" s="7" t="str">
        <f>_xlfn.XLOOKUP(Order_Details[[#This Row],[Order ID]], List_of_orders[Order ID], List_of_orders[CustomerName])</f>
        <v>Mayank</v>
      </c>
      <c r="J1349" s="7" t="str">
        <f>_xlfn.XLOOKUP(Order_Details[[#This Row],[Order ID]], List_of_orders[Order ID], List_of_orders[City])</f>
        <v>Mumbai</v>
      </c>
      <c r="K1349" s="8" t="str">
        <f>TEXT(Order_Details[[#This Row],[Order Date]], "YY-MMM")</f>
        <v>19-Mar</v>
      </c>
      <c r="L1349" s="11">
        <f>Order_Details[[#This Row],[Profit]]/Order_Details[[#This Row],[Amount]]</f>
        <v>0.3983739837398374</v>
      </c>
      <c r="M1349" s="8">
        <f>YEAR(Order_Details[[#This Row],[Order Date]])</f>
        <v>2019</v>
      </c>
      <c r="N1349" s="8">
        <f>ROUNDUP(MONTH(Order_Details[[#This Row],[Order Date]])/3, 0)</f>
        <v>1</v>
      </c>
    </row>
    <row r="1350" spans="1:14">
      <c r="A1350" s="1" t="s">
        <v>1005</v>
      </c>
      <c r="B1350" s="1">
        <v>88</v>
      </c>
      <c r="C1350" s="1">
        <v>20</v>
      </c>
      <c r="D1350" s="1">
        <v>2</v>
      </c>
      <c r="E1350" s="1" t="s">
        <v>1076</v>
      </c>
      <c r="F1350" s="1" t="s">
        <v>1106</v>
      </c>
      <c r="G1350" s="7" t="str">
        <f>_xlfn.XLOOKUP(Order_Details[[#This Row],[Order ID]], List_of_orders[Order ID], List_of_orders[State])</f>
        <v>Maharashtra</v>
      </c>
      <c r="H1350" s="10">
        <f>_xlfn.XLOOKUP(Order_Details[[#This Row],[Order ID]], List_of_orders[Order ID], List_of_orders[Order Date (Clean)])</f>
        <v>43534</v>
      </c>
      <c r="I1350" s="7" t="str">
        <f>_xlfn.XLOOKUP(Order_Details[[#This Row],[Order ID]], List_of_orders[Order ID], List_of_orders[CustomerName])</f>
        <v>Mayank</v>
      </c>
      <c r="J1350" s="7" t="str">
        <f>_xlfn.XLOOKUP(Order_Details[[#This Row],[Order ID]], List_of_orders[Order ID], List_of_orders[City])</f>
        <v>Mumbai</v>
      </c>
      <c r="K1350" s="8" t="str">
        <f>TEXT(Order_Details[[#This Row],[Order Date]], "YY-MMM")</f>
        <v>19-Mar</v>
      </c>
      <c r="L1350" s="11">
        <f>Order_Details[[#This Row],[Profit]]/Order_Details[[#This Row],[Amount]]</f>
        <v>0.22727272727272727</v>
      </c>
      <c r="M1350" s="8">
        <f>YEAR(Order_Details[[#This Row],[Order Date]])</f>
        <v>2019</v>
      </c>
      <c r="N1350" s="8">
        <f>ROUNDUP(MONTH(Order_Details[[#This Row],[Order Date]])/3, 0)</f>
        <v>1</v>
      </c>
    </row>
    <row r="1351" spans="1:14">
      <c r="A1351" s="1" t="s">
        <v>1005</v>
      </c>
      <c r="B1351" s="1">
        <v>88</v>
      </c>
      <c r="C1351" s="1">
        <v>19</v>
      </c>
      <c r="D1351" s="1">
        <v>2</v>
      </c>
      <c r="E1351" s="1" t="s">
        <v>1076</v>
      </c>
      <c r="F1351" s="1" t="s">
        <v>1111</v>
      </c>
      <c r="G1351" s="7" t="str">
        <f>_xlfn.XLOOKUP(Order_Details[[#This Row],[Order ID]], List_of_orders[Order ID], List_of_orders[State])</f>
        <v>Maharashtra</v>
      </c>
      <c r="H1351" s="10">
        <f>_xlfn.XLOOKUP(Order_Details[[#This Row],[Order ID]], List_of_orders[Order ID], List_of_orders[Order Date (Clean)])</f>
        <v>43534</v>
      </c>
      <c r="I1351" s="7" t="str">
        <f>_xlfn.XLOOKUP(Order_Details[[#This Row],[Order ID]], List_of_orders[Order ID], List_of_orders[CustomerName])</f>
        <v>Mayank</v>
      </c>
      <c r="J1351" s="7" t="str">
        <f>_xlfn.XLOOKUP(Order_Details[[#This Row],[Order ID]], List_of_orders[Order ID], List_of_orders[City])</f>
        <v>Mumbai</v>
      </c>
      <c r="K1351" s="8" t="str">
        <f>TEXT(Order_Details[[#This Row],[Order Date]], "YY-MMM")</f>
        <v>19-Mar</v>
      </c>
      <c r="L1351" s="11">
        <f>Order_Details[[#This Row],[Profit]]/Order_Details[[#This Row],[Amount]]</f>
        <v>0.21590909090909091</v>
      </c>
      <c r="M1351" s="8">
        <f>YEAR(Order_Details[[#This Row],[Order Date]])</f>
        <v>2019</v>
      </c>
      <c r="N1351" s="8">
        <f>ROUNDUP(MONTH(Order_Details[[#This Row],[Order Date]])/3, 0)</f>
        <v>1</v>
      </c>
    </row>
    <row r="1352" spans="1:14">
      <c r="A1352" s="1" t="s">
        <v>1005</v>
      </c>
      <c r="B1352" s="1">
        <v>139</v>
      </c>
      <c r="C1352" s="1">
        <v>21</v>
      </c>
      <c r="D1352" s="1">
        <v>3</v>
      </c>
      <c r="E1352" s="1" t="s">
        <v>1077</v>
      </c>
      <c r="F1352" s="1" t="s">
        <v>1115</v>
      </c>
      <c r="G1352" s="7" t="str">
        <f>_xlfn.XLOOKUP(Order_Details[[#This Row],[Order ID]], List_of_orders[Order ID], List_of_orders[State])</f>
        <v>Maharashtra</v>
      </c>
      <c r="H1352" s="10">
        <f>_xlfn.XLOOKUP(Order_Details[[#This Row],[Order ID]], List_of_orders[Order ID], List_of_orders[Order Date (Clean)])</f>
        <v>43534</v>
      </c>
      <c r="I1352" s="7" t="str">
        <f>_xlfn.XLOOKUP(Order_Details[[#This Row],[Order ID]], List_of_orders[Order ID], List_of_orders[CustomerName])</f>
        <v>Mayank</v>
      </c>
      <c r="J1352" s="7" t="str">
        <f>_xlfn.XLOOKUP(Order_Details[[#This Row],[Order ID]], List_of_orders[Order ID], List_of_orders[City])</f>
        <v>Mumbai</v>
      </c>
      <c r="K1352" s="8" t="str">
        <f>TEXT(Order_Details[[#This Row],[Order Date]], "YY-MMM")</f>
        <v>19-Mar</v>
      </c>
      <c r="L1352" s="11">
        <f>Order_Details[[#This Row],[Profit]]/Order_Details[[#This Row],[Amount]]</f>
        <v>0.15107913669064749</v>
      </c>
      <c r="M1352" s="8">
        <f>YEAR(Order_Details[[#This Row],[Order Date]])</f>
        <v>2019</v>
      </c>
      <c r="N1352" s="8">
        <f>ROUNDUP(MONTH(Order_Details[[#This Row],[Order Date]])/3, 0)</f>
        <v>1</v>
      </c>
    </row>
    <row r="1353" spans="1:14">
      <c r="A1353" s="1" t="s">
        <v>1005</v>
      </c>
      <c r="B1353" s="1">
        <v>139</v>
      </c>
      <c r="C1353" s="1">
        <v>36</v>
      </c>
      <c r="D1353" s="1">
        <v>3</v>
      </c>
      <c r="E1353" s="1" t="s">
        <v>1076</v>
      </c>
      <c r="F1353" s="1" t="s">
        <v>1102</v>
      </c>
      <c r="G1353" s="7" t="str">
        <f>_xlfn.XLOOKUP(Order_Details[[#This Row],[Order ID]], List_of_orders[Order ID], List_of_orders[State])</f>
        <v>Maharashtra</v>
      </c>
      <c r="H1353" s="10">
        <f>_xlfn.XLOOKUP(Order_Details[[#This Row],[Order ID]], List_of_orders[Order ID], List_of_orders[Order Date (Clean)])</f>
        <v>43534</v>
      </c>
      <c r="I1353" s="7" t="str">
        <f>_xlfn.XLOOKUP(Order_Details[[#This Row],[Order ID]], List_of_orders[Order ID], List_of_orders[CustomerName])</f>
        <v>Mayank</v>
      </c>
      <c r="J1353" s="7" t="str">
        <f>_xlfn.XLOOKUP(Order_Details[[#This Row],[Order ID]], List_of_orders[Order ID], List_of_orders[City])</f>
        <v>Mumbai</v>
      </c>
      <c r="K1353" s="8" t="str">
        <f>TEXT(Order_Details[[#This Row],[Order Date]], "YY-MMM")</f>
        <v>19-Mar</v>
      </c>
      <c r="L1353" s="11">
        <f>Order_Details[[#This Row],[Profit]]/Order_Details[[#This Row],[Amount]]</f>
        <v>0.25899280575539568</v>
      </c>
      <c r="M1353" s="8">
        <f>YEAR(Order_Details[[#This Row],[Order Date]])</f>
        <v>2019</v>
      </c>
      <c r="N1353" s="8">
        <f>ROUNDUP(MONTH(Order_Details[[#This Row],[Order Date]])/3, 0)</f>
        <v>1</v>
      </c>
    </row>
    <row r="1354" spans="1:14">
      <c r="A1354" s="1" t="s">
        <v>1005</v>
      </c>
      <c r="B1354" s="1">
        <v>138</v>
      </c>
      <c r="C1354" s="1">
        <v>11</v>
      </c>
      <c r="D1354" s="1">
        <v>5</v>
      </c>
      <c r="E1354" s="1" t="s">
        <v>1076</v>
      </c>
      <c r="F1354" s="1" t="s">
        <v>1102</v>
      </c>
      <c r="G1354" s="7" t="str">
        <f>_xlfn.XLOOKUP(Order_Details[[#This Row],[Order ID]], List_of_orders[Order ID], List_of_orders[State])</f>
        <v>Maharashtra</v>
      </c>
      <c r="H1354" s="10">
        <f>_xlfn.XLOOKUP(Order_Details[[#This Row],[Order ID]], List_of_orders[Order ID], List_of_orders[Order Date (Clean)])</f>
        <v>43534</v>
      </c>
      <c r="I1354" s="7" t="str">
        <f>_xlfn.XLOOKUP(Order_Details[[#This Row],[Order ID]], List_of_orders[Order ID], List_of_orders[CustomerName])</f>
        <v>Mayank</v>
      </c>
      <c r="J1354" s="7" t="str">
        <f>_xlfn.XLOOKUP(Order_Details[[#This Row],[Order ID]], List_of_orders[Order ID], List_of_orders[City])</f>
        <v>Mumbai</v>
      </c>
      <c r="K1354" s="8" t="str">
        <f>TEXT(Order_Details[[#This Row],[Order Date]], "YY-MMM")</f>
        <v>19-Mar</v>
      </c>
      <c r="L1354" s="11">
        <f>Order_Details[[#This Row],[Profit]]/Order_Details[[#This Row],[Amount]]</f>
        <v>7.9710144927536225E-2</v>
      </c>
      <c r="M1354" s="8">
        <f>YEAR(Order_Details[[#This Row],[Order Date]])</f>
        <v>2019</v>
      </c>
      <c r="N1354" s="8">
        <f>ROUNDUP(MONTH(Order_Details[[#This Row],[Order Date]])/3, 0)</f>
        <v>1</v>
      </c>
    </row>
    <row r="1355" spans="1:14">
      <c r="A1355" s="1" t="s">
        <v>1005</v>
      </c>
      <c r="B1355" s="1">
        <v>156</v>
      </c>
      <c r="C1355" s="1">
        <v>23</v>
      </c>
      <c r="D1355" s="1">
        <v>3</v>
      </c>
      <c r="E1355" s="1" t="s">
        <v>1076</v>
      </c>
      <c r="F1355" s="1" t="s">
        <v>1102</v>
      </c>
      <c r="G1355" s="7" t="str">
        <f>_xlfn.XLOOKUP(Order_Details[[#This Row],[Order ID]], List_of_orders[Order ID], List_of_orders[State])</f>
        <v>Maharashtra</v>
      </c>
      <c r="H1355" s="10">
        <f>_xlfn.XLOOKUP(Order_Details[[#This Row],[Order ID]], List_of_orders[Order ID], List_of_orders[Order Date (Clean)])</f>
        <v>43534</v>
      </c>
      <c r="I1355" s="7" t="str">
        <f>_xlfn.XLOOKUP(Order_Details[[#This Row],[Order ID]], List_of_orders[Order ID], List_of_orders[CustomerName])</f>
        <v>Mayank</v>
      </c>
      <c r="J1355" s="7" t="str">
        <f>_xlfn.XLOOKUP(Order_Details[[#This Row],[Order ID]], List_of_orders[Order ID], List_of_orders[City])</f>
        <v>Mumbai</v>
      </c>
      <c r="K1355" s="8" t="str">
        <f>TEXT(Order_Details[[#This Row],[Order Date]], "YY-MMM")</f>
        <v>19-Mar</v>
      </c>
      <c r="L1355" s="11">
        <f>Order_Details[[#This Row],[Profit]]/Order_Details[[#This Row],[Amount]]</f>
        <v>0.14743589743589744</v>
      </c>
      <c r="M1355" s="8">
        <f>YEAR(Order_Details[[#This Row],[Order Date]])</f>
        <v>2019</v>
      </c>
      <c r="N1355" s="8">
        <f>ROUNDUP(MONTH(Order_Details[[#This Row],[Order Date]])/3, 0)</f>
        <v>1</v>
      </c>
    </row>
    <row r="1356" spans="1:14">
      <c r="A1356" s="1" t="s">
        <v>1005</v>
      </c>
      <c r="B1356" s="1">
        <v>559</v>
      </c>
      <c r="C1356" s="1">
        <v>174</v>
      </c>
      <c r="D1356" s="1">
        <v>2</v>
      </c>
      <c r="E1356" s="1" t="s">
        <v>1077</v>
      </c>
      <c r="F1356" s="1" t="s">
        <v>1104</v>
      </c>
      <c r="G1356" s="7" t="str">
        <f>_xlfn.XLOOKUP(Order_Details[[#This Row],[Order ID]], List_of_orders[Order ID], List_of_orders[State])</f>
        <v>Maharashtra</v>
      </c>
      <c r="H1356" s="10">
        <f>_xlfn.XLOOKUP(Order_Details[[#This Row],[Order ID]], List_of_orders[Order ID], List_of_orders[Order Date (Clean)])</f>
        <v>43534</v>
      </c>
      <c r="I1356" s="7" t="str">
        <f>_xlfn.XLOOKUP(Order_Details[[#This Row],[Order ID]], List_of_orders[Order ID], List_of_orders[CustomerName])</f>
        <v>Mayank</v>
      </c>
      <c r="J1356" s="7" t="str">
        <f>_xlfn.XLOOKUP(Order_Details[[#This Row],[Order ID]], List_of_orders[Order ID], List_of_orders[City])</f>
        <v>Mumbai</v>
      </c>
      <c r="K1356" s="8" t="str">
        <f>TEXT(Order_Details[[#This Row],[Order Date]], "YY-MMM")</f>
        <v>19-Mar</v>
      </c>
      <c r="L1356" s="11">
        <f>Order_Details[[#This Row],[Profit]]/Order_Details[[#This Row],[Amount]]</f>
        <v>0.31127012522361358</v>
      </c>
      <c r="M1356" s="8">
        <f>YEAR(Order_Details[[#This Row],[Order Date]])</f>
        <v>2019</v>
      </c>
      <c r="N1356" s="8">
        <f>ROUNDUP(MONTH(Order_Details[[#This Row],[Order Date]])/3, 0)</f>
        <v>1</v>
      </c>
    </row>
    <row r="1357" spans="1:14">
      <c r="A1357" s="1" t="s">
        <v>1006</v>
      </c>
      <c r="B1357" s="1">
        <v>227</v>
      </c>
      <c r="C1357" s="1">
        <v>48</v>
      </c>
      <c r="D1357" s="1">
        <v>5</v>
      </c>
      <c r="E1357" s="1" t="s">
        <v>1076</v>
      </c>
      <c r="F1357" s="1" t="s">
        <v>1102</v>
      </c>
      <c r="G1357" s="7" t="str">
        <f>_xlfn.XLOOKUP(Order_Details[[#This Row],[Order ID]], List_of_orders[Order ID], List_of_orders[State])</f>
        <v>Madhya Pradesh</v>
      </c>
      <c r="H1357" s="10">
        <f>_xlfn.XLOOKUP(Order_Details[[#This Row],[Order ID]], List_of_orders[Order ID], List_of_orders[Order Date (Clean)])</f>
        <v>43534</v>
      </c>
      <c r="I1357" s="7" t="str">
        <f>_xlfn.XLOOKUP(Order_Details[[#This Row],[Order ID]], List_of_orders[Order ID], List_of_orders[CustomerName])</f>
        <v>Yaanvi</v>
      </c>
      <c r="J1357" s="7" t="str">
        <f>_xlfn.XLOOKUP(Order_Details[[#This Row],[Order ID]], List_of_orders[Order ID], List_of_orders[City])</f>
        <v>Indore</v>
      </c>
      <c r="K1357" s="8" t="str">
        <f>TEXT(Order_Details[[#This Row],[Order Date]], "YY-MMM")</f>
        <v>19-Mar</v>
      </c>
      <c r="L1357" s="11">
        <f>Order_Details[[#This Row],[Profit]]/Order_Details[[#This Row],[Amount]]</f>
        <v>0.21145374449339208</v>
      </c>
      <c r="M1357" s="8">
        <f>YEAR(Order_Details[[#This Row],[Order Date]])</f>
        <v>2019</v>
      </c>
      <c r="N1357" s="8">
        <f>ROUNDUP(MONTH(Order_Details[[#This Row],[Order Date]])/3, 0)</f>
        <v>1</v>
      </c>
    </row>
    <row r="1358" spans="1:14">
      <c r="A1358" s="1" t="s">
        <v>1006</v>
      </c>
      <c r="B1358" s="1">
        <v>5729</v>
      </c>
      <c r="C1358" s="1">
        <v>64</v>
      </c>
      <c r="D1358" s="1">
        <v>14</v>
      </c>
      <c r="E1358" s="1" t="s">
        <v>1075</v>
      </c>
      <c r="F1358" s="1" t="s">
        <v>1108</v>
      </c>
      <c r="G1358" s="7" t="str">
        <f>_xlfn.XLOOKUP(Order_Details[[#This Row],[Order ID]], List_of_orders[Order ID], List_of_orders[State])</f>
        <v>Madhya Pradesh</v>
      </c>
      <c r="H1358" s="10">
        <f>_xlfn.XLOOKUP(Order_Details[[#This Row],[Order ID]], List_of_orders[Order ID], List_of_orders[Order Date (Clean)])</f>
        <v>43534</v>
      </c>
      <c r="I1358" s="7" t="str">
        <f>_xlfn.XLOOKUP(Order_Details[[#This Row],[Order ID]], List_of_orders[Order ID], List_of_orders[CustomerName])</f>
        <v>Yaanvi</v>
      </c>
      <c r="J1358" s="7" t="str">
        <f>_xlfn.XLOOKUP(Order_Details[[#This Row],[Order ID]], List_of_orders[Order ID], List_of_orders[City])</f>
        <v>Indore</v>
      </c>
      <c r="K1358" s="8" t="str">
        <f>TEXT(Order_Details[[#This Row],[Order Date]], "YY-MMM")</f>
        <v>19-Mar</v>
      </c>
      <c r="L1358" s="11">
        <f>Order_Details[[#This Row],[Profit]]/Order_Details[[#This Row],[Amount]]</f>
        <v>1.1171234072263921E-2</v>
      </c>
      <c r="M1358" s="8">
        <f>YEAR(Order_Details[[#This Row],[Order Date]])</f>
        <v>2019</v>
      </c>
      <c r="N1358" s="8">
        <f>ROUNDUP(MONTH(Order_Details[[#This Row],[Order Date]])/3, 0)</f>
        <v>1</v>
      </c>
    </row>
    <row r="1359" spans="1:14">
      <c r="A1359" s="1" t="s">
        <v>1006</v>
      </c>
      <c r="B1359" s="1">
        <v>94</v>
      </c>
      <c r="C1359" s="1">
        <v>27</v>
      </c>
      <c r="D1359" s="1">
        <v>2</v>
      </c>
      <c r="E1359" s="1" t="s">
        <v>1076</v>
      </c>
      <c r="F1359" s="1" t="s">
        <v>1110</v>
      </c>
      <c r="G1359" s="7" t="str">
        <f>_xlfn.XLOOKUP(Order_Details[[#This Row],[Order ID]], List_of_orders[Order ID], List_of_orders[State])</f>
        <v>Madhya Pradesh</v>
      </c>
      <c r="H1359" s="10">
        <f>_xlfn.XLOOKUP(Order_Details[[#This Row],[Order ID]], List_of_orders[Order ID], List_of_orders[Order Date (Clean)])</f>
        <v>43534</v>
      </c>
      <c r="I1359" s="7" t="str">
        <f>_xlfn.XLOOKUP(Order_Details[[#This Row],[Order ID]], List_of_orders[Order ID], List_of_orders[CustomerName])</f>
        <v>Yaanvi</v>
      </c>
      <c r="J1359" s="7" t="str">
        <f>_xlfn.XLOOKUP(Order_Details[[#This Row],[Order ID]], List_of_orders[Order ID], List_of_orders[City])</f>
        <v>Indore</v>
      </c>
      <c r="K1359" s="8" t="str">
        <f>TEXT(Order_Details[[#This Row],[Order Date]], "YY-MMM")</f>
        <v>19-Mar</v>
      </c>
      <c r="L1359" s="11">
        <f>Order_Details[[#This Row],[Profit]]/Order_Details[[#This Row],[Amount]]</f>
        <v>0.28723404255319152</v>
      </c>
      <c r="M1359" s="8">
        <f>YEAR(Order_Details[[#This Row],[Order Date]])</f>
        <v>2019</v>
      </c>
      <c r="N1359" s="8">
        <f>ROUNDUP(MONTH(Order_Details[[#This Row],[Order Date]])/3, 0)</f>
        <v>1</v>
      </c>
    </row>
    <row r="1360" spans="1:14">
      <c r="A1360" s="1" t="s">
        <v>1006</v>
      </c>
      <c r="B1360" s="1">
        <v>213</v>
      </c>
      <c r="C1360" s="1">
        <v>4</v>
      </c>
      <c r="D1360" s="1">
        <v>14</v>
      </c>
      <c r="E1360" s="1" t="s">
        <v>1076</v>
      </c>
      <c r="F1360" s="1" t="s">
        <v>1111</v>
      </c>
      <c r="G1360" s="7" t="str">
        <f>_xlfn.XLOOKUP(Order_Details[[#This Row],[Order ID]], List_of_orders[Order ID], List_of_orders[State])</f>
        <v>Madhya Pradesh</v>
      </c>
      <c r="H1360" s="10">
        <f>_xlfn.XLOOKUP(Order_Details[[#This Row],[Order ID]], List_of_orders[Order ID], List_of_orders[Order Date (Clean)])</f>
        <v>43534</v>
      </c>
      <c r="I1360" s="7" t="str">
        <f>_xlfn.XLOOKUP(Order_Details[[#This Row],[Order ID]], List_of_orders[Order ID], List_of_orders[CustomerName])</f>
        <v>Yaanvi</v>
      </c>
      <c r="J1360" s="7" t="str">
        <f>_xlfn.XLOOKUP(Order_Details[[#This Row],[Order ID]], List_of_orders[Order ID], List_of_orders[City])</f>
        <v>Indore</v>
      </c>
      <c r="K1360" s="8" t="str">
        <f>TEXT(Order_Details[[#This Row],[Order Date]], "YY-MMM")</f>
        <v>19-Mar</v>
      </c>
      <c r="L1360" s="11">
        <f>Order_Details[[#This Row],[Profit]]/Order_Details[[#This Row],[Amount]]</f>
        <v>1.8779342723004695E-2</v>
      </c>
      <c r="M1360" s="8">
        <f>YEAR(Order_Details[[#This Row],[Order Date]])</f>
        <v>2019</v>
      </c>
      <c r="N1360" s="8">
        <f>ROUNDUP(MONTH(Order_Details[[#This Row],[Order Date]])/3, 0)</f>
        <v>1</v>
      </c>
    </row>
    <row r="1361" spans="1:14">
      <c r="A1361" s="1" t="s">
        <v>1006</v>
      </c>
      <c r="B1361" s="1">
        <v>250</v>
      </c>
      <c r="C1361" s="1">
        <v>-12</v>
      </c>
      <c r="D1361" s="1">
        <v>2</v>
      </c>
      <c r="E1361" s="1" t="s">
        <v>1077</v>
      </c>
      <c r="F1361" s="1" t="s">
        <v>1114</v>
      </c>
      <c r="G1361" s="7" t="str">
        <f>_xlfn.XLOOKUP(Order_Details[[#This Row],[Order ID]], List_of_orders[Order ID], List_of_orders[State])</f>
        <v>Madhya Pradesh</v>
      </c>
      <c r="H1361" s="10">
        <f>_xlfn.XLOOKUP(Order_Details[[#This Row],[Order ID]], List_of_orders[Order ID], List_of_orders[Order Date (Clean)])</f>
        <v>43534</v>
      </c>
      <c r="I1361" s="7" t="str">
        <f>_xlfn.XLOOKUP(Order_Details[[#This Row],[Order ID]], List_of_orders[Order ID], List_of_orders[CustomerName])</f>
        <v>Yaanvi</v>
      </c>
      <c r="J1361" s="7" t="str">
        <f>_xlfn.XLOOKUP(Order_Details[[#This Row],[Order ID]], List_of_orders[Order ID], List_of_orders[City])</f>
        <v>Indore</v>
      </c>
      <c r="K1361" s="8" t="str">
        <f>TEXT(Order_Details[[#This Row],[Order Date]], "YY-MMM")</f>
        <v>19-Mar</v>
      </c>
      <c r="L1361" s="11">
        <f>Order_Details[[#This Row],[Profit]]/Order_Details[[#This Row],[Amount]]</f>
        <v>-4.8000000000000001E-2</v>
      </c>
      <c r="M1361" s="8">
        <f>YEAR(Order_Details[[#This Row],[Order Date]])</f>
        <v>2019</v>
      </c>
      <c r="N1361" s="8">
        <f>ROUNDUP(MONTH(Order_Details[[#This Row],[Order Date]])/3, 0)</f>
        <v>1</v>
      </c>
    </row>
    <row r="1362" spans="1:14">
      <c r="A1362" s="1" t="s">
        <v>1006</v>
      </c>
      <c r="B1362" s="1">
        <v>43</v>
      </c>
      <c r="C1362" s="1">
        <v>11</v>
      </c>
      <c r="D1362" s="1">
        <v>1</v>
      </c>
      <c r="E1362" s="1" t="s">
        <v>1076</v>
      </c>
      <c r="F1362" s="1" t="s">
        <v>1106</v>
      </c>
      <c r="G1362" s="7" t="str">
        <f>_xlfn.XLOOKUP(Order_Details[[#This Row],[Order ID]], List_of_orders[Order ID], List_of_orders[State])</f>
        <v>Madhya Pradesh</v>
      </c>
      <c r="H1362" s="10">
        <f>_xlfn.XLOOKUP(Order_Details[[#This Row],[Order ID]], List_of_orders[Order ID], List_of_orders[Order Date (Clean)])</f>
        <v>43534</v>
      </c>
      <c r="I1362" s="7" t="str">
        <f>_xlfn.XLOOKUP(Order_Details[[#This Row],[Order ID]], List_of_orders[Order ID], List_of_orders[CustomerName])</f>
        <v>Yaanvi</v>
      </c>
      <c r="J1362" s="7" t="str">
        <f>_xlfn.XLOOKUP(Order_Details[[#This Row],[Order ID]], List_of_orders[Order ID], List_of_orders[City])</f>
        <v>Indore</v>
      </c>
      <c r="K1362" s="8" t="str">
        <f>TEXT(Order_Details[[#This Row],[Order Date]], "YY-MMM")</f>
        <v>19-Mar</v>
      </c>
      <c r="L1362" s="11">
        <f>Order_Details[[#This Row],[Profit]]/Order_Details[[#This Row],[Amount]]</f>
        <v>0.2558139534883721</v>
      </c>
      <c r="M1362" s="8">
        <f>YEAR(Order_Details[[#This Row],[Order Date]])</f>
        <v>2019</v>
      </c>
      <c r="N1362" s="8">
        <f>ROUNDUP(MONTH(Order_Details[[#This Row],[Order Date]])/3, 0)</f>
        <v>1</v>
      </c>
    </row>
    <row r="1363" spans="1:14">
      <c r="A1363" s="1" t="s">
        <v>1006</v>
      </c>
      <c r="B1363" s="1">
        <v>1218</v>
      </c>
      <c r="C1363" s="1">
        <v>420</v>
      </c>
      <c r="D1363" s="1">
        <v>8</v>
      </c>
      <c r="E1363" s="1" t="s">
        <v>1075</v>
      </c>
      <c r="F1363" s="1" t="s">
        <v>1101</v>
      </c>
      <c r="G1363" s="7" t="str">
        <f>_xlfn.XLOOKUP(Order_Details[[#This Row],[Order ID]], List_of_orders[Order ID], List_of_orders[State])</f>
        <v>Madhya Pradesh</v>
      </c>
      <c r="H1363" s="10">
        <f>_xlfn.XLOOKUP(Order_Details[[#This Row],[Order ID]], List_of_orders[Order ID], List_of_orders[Order Date (Clean)])</f>
        <v>43534</v>
      </c>
      <c r="I1363" s="7" t="str">
        <f>_xlfn.XLOOKUP(Order_Details[[#This Row],[Order ID]], List_of_orders[Order ID], List_of_orders[CustomerName])</f>
        <v>Yaanvi</v>
      </c>
      <c r="J1363" s="7" t="str">
        <f>_xlfn.XLOOKUP(Order_Details[[#This Row],[Order ID]], List_of_orders[Order ID], List_of_orders[City])</f>
        <v>Indore</v>
      </c>
      <c r="K1363" s="8" t="str">
        <f>TEXT(Order_Details[[#This Row],[Order Date]], "YY-MMM")</f>
        <v>19-Mar</v>
      </c>
      <c r="L1363" s="11">
        <f>Order_Details[[#This Row],[Profit]]/Order_Details[[#This Row],[Amount]]</f>
        <v>0.34482758620689657</v>
      </c>
      <c r="M1363" s="8">
        <f>YEAR(Order_Details[[#This Row],[Order Date]])</f>
        <v>2019</v>
      </c>
      <c r="N1363" s="8">
        <f>ROUNDUP(MONTH(Order_Details[[#This Row],[Order Date]])/3, 0)</f>
        <v>1</v>
      </c>
    </row>
    <row r="1364" spans="1:14">
      <c r="A1364" s="1" t="s">
        <v>1006</v>
      </c>
      <c r="B1364" s="1">
        <v>671</v>
      </c>
      <c r="C1364" s="1">
        <v>114</v>
      </c>
      <c r="D1364" s="1">
        <v>9</v>
      </c>
      <c r="E1364" s="1" t="s">
        <v>1077</v>
      </c>
      <c r="F1364" s="1" t="s">
        <v>1105</v>
      </c>
      <c r="G1364" s="7" t="str">
        <f>_xlfn.XLOOKUP(Order_Details[[#This Row],[Order ID]], List_of_orders[Order ID], List_of_orders[State])</f>
        <v>Madhya Pradesh</v>
      </c>
      <c r="H1364" s="10">
        <f>_xlfn.XLOOKUP(Order_Details[[#This Row],[Order ID]], List_of_orders[Order ID], List_of_orders[Order Date (Clean)])</f>
        <v>43534</v>
      </c>
      <c r="I1364" s="7" t="str">
        <f>_xlfn.XLOOKUP(Order_Details[[#This Row],[Order ID]], List_of_orders[Order ID], List_of_orders[CustomerName])</f>
        <v>Yaanvi</v>
      </c>
      <c r="J1364" s="7" t="str">
        <f>_xlfn.XLOOKUP(Order_Details[[#This Row],[Order ID]], List_of_orders[Order ID], List_of_orders[City])</f>
        <v>Indore</v>
      </c>
      <c r="K1364" s="8" t="str">
        <f>TEXT(Order_Details[[#This Row],[Order Date]], "YY-MMM")</f>
        <v>19-Mar</v>
      </c>
      <c r="L1364" s="11">
        <f>Order_Details[[#This Row],[Profit]]/Order_Details[[#This Row],[Amount]]</f>
        <v>0.16989567809239942</v>
      </c>
      <c r="M1364" s="8">
        <f>YEAR(Order_Details[[#This Row],[Order Date]])</f>
        <v>2019</v>
      </c>
      <c r="N1364" s="8">
        <f>ROUNDUP(MONTH(Order_Details[[#This Row],[Order Date]])/3, 0)</f>
        <v>1</v>
      </c>
    </row>
    <row r="1365" spans="1:14">
      <c r="A1365" s="1" t="s">
        <v>1006</v>
      </c>
      <c r="B1365" s="1">
        <v>57</v>
      </c>
      <c r="C1365" s="1">
        <v>7</v>
      </c>
      <c r="D1365" s="1">
        <v>2</v>
      </c>
      <c r="E1365" s="1" t="s">
        <v>1076</v>
      </c>
      <c r="F1365" s="1" t="s">
        <v>1111</v>
      </c>
      <c r="G1365" s="7" t="str">
        <f>_xlfn.XLOOKUP(Order_Details[[#This Row],[Order ID]], List_of_orders[Order ID], List_of_orders[State])</f>
        <v>Madhya Pradesh</v>
      </c>
      <c r="H1365" s="10">
        <f>_xlfn.XLOOKUP(Order_Details[[#This Row],[Order ID]], List_of_orders[Order ID], List_of_orders[Order Date (Clean)])</f>
        <v>43534</v>
      </c>
      <c r="I1365" s="7" t="str">
        <f>_xlfn.XLOOKUP(Order_Details[[#This Row],[Order ID]], List_of_orders[Order ID], List_of_orders[CustomerName])</f>
        <v>Yaanvi</v>
      </c>
      <c r="J1365" s="7" t="str">
        <f>_xlfn.XLOOKUP(Order_Details[[#This Row],[Order ID]], List_of_orders[Order ID], List_of_orders[City])</f>
        <v>Indore</v>
      </c>
      <c r="K1365" s="8" t="str">
        <f>TEXT(Order_Details[[#This Row],[Order Date]], "YY-MMM")</f>
        <v>19-Mar</v>
      </c>
      <c r="L1365" s="11">
        <f>Order_Details[[#This Row],[Profit]]/Order_Details[[#This Row],[Amount]]</f>
        <v>0.12280701754385964</v>
      </c>
      <c r="M1365" s="8">
        <f>YEAR(Order_Details[[#This Row],[Order Date]])</f>
        <v>2019</v>
      </c>
      <c r="N1365" s="8">
        <f>ROUNDUP(MONTH(Order_Details[[#This Row],[Order Date]])/3, 0)</f>
        <v>1</v>
      </c>
    </row>
    <row r="1366" spans="1:14">
      <c r="A1366" s="1" t="s">
        <v>1007</v>
      </c>
      <c r="B1366" s="1">
        <v>70</v>
      </c>
      <c r="C1366" s="1">
        <v>24</v>
      </c>
      <c r="D1366" s="1">
        <v>3</v>
      </c>
      <c r="E1366" s="1" t="s">
        <v>1076</v>
      </c>
      <c r="F1366" s="1" t="s">
        <v>1102</v>
      </c>
      <c r="G1366" s="7" t="str">
        <f>_xlfn.XLOOKUP(Order_Details[[#This Row],[Order ID]], List_of_orders[Order ID], List_of_orders[State])</f>
        <v>Bihar</v>
      </c>
      <c r="H1366" s="10">
        <f>_xlfn.XLOOKUP(Order_Details[[#This Row],[Order ID]], List_of_orders[Order ID], List_of_orders[Order Date (Clean)])</f>
        <v>43534</v>
      </c>
      <c r="I1366" s="7" t="str">
        <f>_xlfn.XLOOKUP(Order_Details[[#This Row],[Order ID]], List_of_orders[Order ID], List_of_orders[CustomerName])</f>
        <v>Sonal</v>
      </c>
      <c r="J1366" s="7" t="str">
        <f>_xlfn.XLOOKUP(Order_Details[[#This Row],[Order ID]], List_of_orders[Order ID], List_of_orders[City])</f>
        <v>Patna</v>
      </c>
      <c r="K1366" s="8" t="str">
        <f>TEXT(Order_Details[[#This Row],[Order Date]], "YY-MMM")</f>
        <v>19-Mar</v>
      </c>
      <c r="L1366" s="11">
        <f>Order_Details[[#This Row],[Profit]]/Order_Details[[#This Row],[Amount]]</f>
        <v>0.34285714285714286</v>
      </c>
      <c r="M1366" s="8">
        <f>YEAR(Order_Details[[#This Row],[Order Date]])</f>
        <v>2019</v>
      </c>
      <c r="N1366" s="8">
        <f>ROUNDUP(MONTH(Order_Details[[#This Row],[Order Date]])/3, 0)</f>
        <v>1</v>
      </c>
    </row>
    <row r="1367" spans="1:14">
      <c r="A1367" s="1" t="s">
        <v>1007</v>
      </c>
      <c r="B1367" s="1">
        <v>47</v>
      </c>
      <c r="C1367" s="1">
        <v>20</v>
      </c>
      <c r="D1367" s="1">
        <v>7</v>
      </c>
      <c r="E1367" s="1" t="s">
        <v>1076</v>
      </c>
      <c r="F1367" s="1" t="s">
        <v>1103</v>
      </c>
      <c r="G1367" s="7" t="str">
        <f>_xlfn.XLOOKUP(Order_Details[[#This Row],[Order ID]], List_of_orders[Order ID], List_of_orders[State])</f>
        <v>Bihar</v>
      </c>
      <c r="H1367" s="10">
        <f>_xlfn.XLOOKUP(Order_Details[[#This Row],[Order ID]], List_of_orders[Order ID], List_of_orders[Order Date (Clean)])</f>
        <v>43534</v>
      </c>
      <c r="I1367" s="7" t="str">
        <f>_xlfn.XLOOKUP(Order_Details[[#This Row],[Order ID]], List_of_orders[Order ID], List_of_orders[CustomerName])</f>
        <v>Sonal</v>
      </c>
      <c r="J1367" s="7" t="str">
        <f>_xlfn.XLOOKUP(Order_Details[[#This Row],[Order ID]], List_of_orders[Order ID], List_of_orders[City])</f>
        <v>Patna</v>
      </c>
      <c r="K1367" s="8" t="str">
        <f>TEXT(Order_Details[[#This Row],[Order Date]], "YY-MMM")</f>
        <v>19-Mar</v>
      </c>
      <c r="L1367" s="11">
        <f>Order_Details[[#This Row],[Profit]]/Order_Details[[#This Row],[Amount]]</f>
        <v>0.42553191489361702</v>
      </c>
      <c r="M1367" s="8">
        <f>YEAR(Order_Details[[#This Row],[Order Date]])</f>
        <v>2019</v>
      </c>
      <c r="N1367" s="8">
        <f>ROUNDUP(MONTH(Order_Details[[#This Row],[Order Date]])/3, 0)</f>
        <v>1</v>
      </c>
    </row>
    <row r="1368" spans="1:14">
      <c r="A1368" s="1" t="s">
        <v>1007</v>
      </c>
      <c r="B1368" s="1">
        <v>33</v>
      </c>
      <c r="C1368" s="1">
        <v>9</v>
      </c>
      <c r="D1368" s="1">
        <v>2</v>
      </c>
      <c r="E1368" s="1" t="s">
        <v>1076</v>
      </c>
      <c r="F1368" s="1" t="s">
        <v>1103</v>
      </c>
      <c r="G1368" s="7" t="str">
        <f>_xlfn.XLOOKUP(Order_Details[[#This Row],[Order ID]], List_of_orders[Order ID], List_of_orders[State])</f>
        <v>Bihar</v>
      </c>
      <c r="H1368" s="10">
        <f>_xlfn.XLOOKUP(Order_Details[[#This Row],[Order ID]], List_of_orders[Order ID], List_of_orders[Order Date (Clean)])</f>
        <v>43534</v>
      </c>
      <c r="I1368" s="7" t="str">
        <f>_xlfn.XLOOKUP(Order_Details[[#This Row],[Order ID]], List_of_orders[Order ID], List_of_orders[CustomerName])</f>
        <v>Sonal</v>
      </c>
      <c r="J1368" s="7" t="str">
        <f>_xlfn.XLOOKUP(Order_Details[[#This Row],[Order ID]], List_of_orders[Order ID], List_of_orders[City])</f>
        <v>Patna</v>
      </c>
      <c r="K1368" s="8" t="str">
        <f>TEXT(Order_Details[[#This Row],[Order Date]], "YY-MMM")</f>
        <v>19-Mar</v>
      </c>
      <c r="L1368" s="11">
        <f>Order_Details[[#This Row],[Profit]]/Order_Details[[#This Row],[Amount]]</f>
        <v>0.27272727272727271</v>
      </c>
      <c r="M1368" s="8">
        <f>YEAR(Order_Details[[#This Row],[Order Date]])</f>
        <v>2019</v>
      </c>
      <c r="N1368" s="8">
        <f>ROUNDUP(MONTH(Order_Details[[#This Row],[Order Date]])/3, 0)</f>
        <v>1</v>
      </c>
    </row>
    <row r="1369" spans="1:14">
      <c r="A1369" s="1" t="s">
        <v>1007</v>
      </c>
      <c r="B1369" s="1">
        <v>424</v>
      </c>
      <c r="C1369" s="1">
        <v>161</v>
      </c>
      <c r="D1369" s="1">
        <v>2</v>
      </c>
      <c r="E1369" s="1" t="s">
        <v>1076</v>
      </c>
      <c r="F1369" s="1" t="s">
        <v>1106</v>
      </c>
      <c r="G1369" s="7" t="str">
        <f>_xlfn.XLOOKUP(Order_Details[[#This Row],[Order ID]], List_of_orders[Order ID], List_of_orders[State])</f>
        <v>Bihar</v>
      </c>
      <c r="H1369" s="10">
        <f>_xlfn.XLOOKUP(Order_Details[[#This Row],[Order ID]], List_of_orders[Order ID], List_of_orders[Order Date (Clean)])</f>
        <v>43534</v>
      </c>
      <c r="I1369" s="7" t="str">
        <f>_xlfn.XLOOKUP(Order_Details[[#This Row],[Order ID]], List_of_orders[Order ID], List_of_orders[CustomerName])</f>
        <v>Sonal</v>
      </c>
      <c r="J1369" s="7" t="str">
        <f>_xlfn.XLOOKUP(Order_Details[[#This Row],[Order ID]], List_of_orders[Order ID], List_of_orders[City])</f>
        <v>Patna</v>
      </c>
      <c r="K1369" s="8" t="str">
        <f>TEXT(Order_Details[[#This Row],[Order Date]], "YY-MMM")</f>
        <v>19-Mar</v>
      </c>
      <c r="L1369" s="11">
        <f>Order_Details[[#This Row],[Profit]]/Order_Details[[#This Row],[Amount]]</f>
        <v>0.37971698113207547</v>
      </c>
      <c r="M1369" s="8">
        <f>YEAR(Order_Details[[#This Row],[Order Date]])</f>
        <v>2019</v>
      </c>
      <c r="N1369" s="8">
        <f>ROUNDUP(MONTH(Order_Details[[#This Row],[Order Date]])/3, 0)</f>
        <v>1</v>
      </c>
    </row>
    <row r="1370" spans="1:14">
      <c r="A1370" s="1" t="s">
        <v>1007</v>
      </c>
      <c r="B1370" s="1">
        <v>391</v>
      </c>
      <c r="C1370" s="1">
        <v>90</v>
      </c>
      <c r="D1370" s="1">
        <v>6</v>
      </c>
      <c r="E1370" s="1" t="s">
        <v>1077</v>
      </c>
      <c r="F1370" s="1" t="s">
        <v>1105</v>
      </c>
      <c r="G1370" s="7" t="str">
        <f>_xlfn.XLOOKUP(Order_Details[[#This Row],[Order ID]], List_of_orders[Order ID], List_of_orders[State])</f>
        <v>Bihar</v>
      </c>
      <c r="H1370" s="10">
        <f>_xlfn.XLOOKUP(Order_Details[[#This Row],[Order ID]], List_of_orders[Order ID], List_of_orders[Order Date (Clean)])</f>
        <v>43534</v>
      </c>
      <c r="I1370" s="7" t="str">
        <f>_xlfn.XLOOKUP(Order_Details[[#This Row],[Order ID]], List_of_orders[Order ID], List_of_orders[CustomerName])</f>
        <v>Sonal</v>
      </c>
      <c r="J1370" s="7" t="str">
        <f>_xlfn.XLOOKUP(Order_Details[[#This Row],[Order ID]], List_of_orders[Order ID], List_of_orders[City])</f>
        <v>Patna</v>
      </c>
      <c r="K1370" s="8" t="str">
        <f>TEXT(Order_Details[[#This Row],[Order Date]], "YY-MMM")</f>
        <v>19-Mar</v>
      </c>
      <c r="L1370" s="11">
        <f>Order_Details[[#This Row],[Profit]]/Order_Details[[#This Row],[Amount]]</f>
        <v>0.23017902813299232</v>
      </c>
      <c r="M1370" s="8">
        <f>YEAR(Order_Details[[#This Row],[Order Date]])</f>
        <v>2019</v>
      </c>
      <c r="N1370" s="8">
        <f>ROUNDUP(MONTH(Order_Details[[#This Row],[Order Date]])/3, 0)</f>
        <v>1</v>
      </c>
    </row>
    <row r="1371" spans="1:14">
      <c r="A1371" s="1" t="s">
        <v>1007</v>
      </c>
      <c r="B1371" s="1">
        <v>15</v>
      </c>
      <c r="C1371" s="1">
        <v>6</v>
      </c>
      <c r="D1371" s="1">
        <v>2</v>
      </c>
      <c r="E1371" s="1" t="s">
        <v>1076</v>
      </c>
      <c r="F1371" s="1" t="s">
        <v>1103</v>
      </c>
      <c r="G1371" s="7" t="str">
        <f>_xlfn.XLOOKUP(Order_Details[[#This Row],[Order ID]], List_of_orders[Order ID], List_of_orders[State])</f>
        <v>Bihar</v>
      </c>
      <c r="H1371" s="10">
        <f>_xlfn.XLOOKUP(Order_Details[[#This Row],[Order ID]], List_of_orders[Order ID], List_of_orders[Order Date (Clean)])</f>
        <v>43534</v>
      </c>
      <c r="I1371" s="7" t="str">
        <f>_xlfn.XLOOKUP(Order_Details[[#This Row],[Order ID]], List_of_orders[Order ID], List_of_orders[CustomerName])</f>
        <v>Sonal</v>
      </c>
      <c r="J1371" s="7" t="str">
        <f>_xlfn.XLOOKUP(Order_Details[[#This Row],[Order ID]], List_of_orders[Order ID], List_of_orders[City])</f>
        <v>Patna</v>
      </c>
      <c r="K1371" s="8" t="str">
        <f>TEXT(Order_Details[[#This Row],[Order Date]], "YY-MMM")</f>
        <v>19-Mar</v>
      </c>
      <c r="L1371" s="11">
        <f>Order_Details[[#This Row],[Profit]]/Order_Details[[#This Row],[Amount]]</f>
        <v>0.4</v>
      </c>
      <c r="M1371" s="8">
        <f>YEAR(Order_Details[[#This Row],[Order Date]])</f>
        <v>2019</v>
      </c>
      <c r="N1371" s="8">
        <f>ROUNDUP(MONTH(Order_Details[[#This Row],[Order Date]])/3, 0)</f>
        <v>1</v>
      </c>
    </row>
    <row r="1372" spans="1:14">
      <c r="A1372" s="1" t="s">
        <v>1007</v>
      </c>
      <c r="B1372" s="1">
        <v>101</v>
      </c>
      <c r="C1372" s="1">
        <v>11</v>
      </c>
      <c r="D1372" s="1">
        <v>2</v>
      </c>
      <c r="E1372" s="1" t="s">
        <v>1076</v>
      </c>
      <c r="F1372" s="1" t="s">
        <v>1103</v>
      </c>
      <c r="G1372" s="7" t="str">
        <f>_xlfn.XLOOKUP(Order_Details[[#This Row],[Order ID]], List_of_orders[Order ID], List_of_orders[State])</f>
        <v>Bihar</v>
      </c>
      <c r="H1372" s="10">
        <f>_xlfn.XLOOKUP(Order_Details[[#This Row],[Order ID]], List_of_orders[Order ID], List_of_orders[Order Date (Clean)])</f>
        <v>43534</v>
      </c>
      <c r="I1372" s="7" t="str">
        <f>_xlfn.XLOOKUP(Order_Details[[#This Row],[Order ID]], List_of_orders[Order ID], List_of_orders[CustomerName])</f>
        <v>Sonal</v>
      </c>
      <c r="J1372" s="7" t="str">
        <f>_xlfn.XLOOKUP(Order_Details[[#This Row],[Order ID]], List_of_orders[Order ID], List_of_orders[City])</f>
        <v>Patna</v>
      </c>
      <c r="K1372" s="8" t="str">
        <f>TEXT(Order_Details[[#This Row],[Order Date]], "YY-MMM")</f>
        <v>19-Mar</v>
      </c>
      <c r="L1372" s="11">
        <f>Order_Details[[#This Row],[Profit]]/Order_Details[[#This Row],[Amount]]</f>
        <v>0.10891089108910891</v>
      </c>
      <c r="M1372" s="8">
        <f>YEAR(Order_Details[[#This Row],[Order Date]])</f>
        <v>2019</v>
      </c>
      <c r="N1372" s="8">
        <f>ROUNDUP(MONTH(Order_Details[[#This Row],[Order Date]])/3, 0)</f>
        <v>1</v>
      </c>
    </row>
    <row r="1373" spans="1:14">
      <c r="A1373" s="1" t="s">
        <v>1007</v>
      </c>
      <c r="B1373" s="1">
        <v>31</v>
      </c>
      <c r="C1373" s="1">
        <v>9</v>
      </c>
      <c r="D1373" s="1">
        <v>2</v>
      </c>
      <c r="E1373" s="1" t="s">
        <v>1076</v>
      </c>
      <c r="F1373" s="1" t="s">
        <v>1103</v>
      </c>
      <c r="G1373" s="7" t="str">
        <f>_xlfn.XLOOKUP(Order_Details[[#This Row],[Order ID]], List_of_orders[Order ID], List_of_orders[State])</f>
        <v>Bihar</v>
      </c>
      <c r="H1373" s="10">
        <f>_xlfn.XLOOKUP(Order_Details[[#This Row],[Order ID]], List_of_orders[Order ID], List_of_orders[Order Date (Clean)])</f>
        <v>43534</v>
      </c>
      <c r="I1373" s="7" t="str">
        <f>_xlfn.XLOOKUP(Order_Details[[#This Row],[Order ID]], List_of_orders[Order ID], List_of_orders[CustomerName])</f>
        <v>Sonal</v>
      </c>
      <c r="J1373" s="7" t="str">
        <f>_xlfn.XLOOKUP(Order_Details[[#This Row],[Order ID]], List_of_orders[Order ID], List_of_orders[City])</f>
        <v>Patna</v>
      </c>
      <c r="K1373" s="8" t="str">
        <f>TEXT(Order_Details[[#This Row],[Order Date]], "YY-MMM")</f>
        <v>19-Mar</v>
      </c>
      <c r="L1373" s="11">
        <f>Order_Details[[#This Row],[Profit]]/Order_Details[[#This Row],[Amount]]</f>
        <v>0.29032258064516131</v>
      </c>
      <c r="M1373" s="8">
        <f>YEAR(Order_Details[[#This Row],[Order Date]])</f>
        <v>2019</v>
      </c>
      <c r="N1373" s="8">
        <f>ROUNDUP(MONTH(Order_Details[[#This Row],[Order Date]])/3, 0)</f>
        <v>1</v>
      </c>
    </row>
    <row r="1374" spans="1:14">
      <c r="A1374" s="1" t="s">
        <v>1007</v>
      </c>
      <c r="B1374" s="1">
        <v>220</v>
      </c>
      <c r="C1374" s="1">
        <v>40</v>
      </c>
      <c r="D1374" s="1">
        <v>2</v>
      </c>
      <c r="E1374" s="1" t="s">
        <v>1077</v>
      </c>
      <c r="F1374" s="1" t="s">
        <v>1115</v>
      </c>
      <c r="G1374" s="7" t="str">
        <f>_xlfn.XLOOKUP(Order_Details[[#This Row],[Order ID]], List_of_orders[Order ID], List_of_orders[State])</f>
        <v>Bihar</v>
      </c>
      <c r="H1374" s="10">
        <f>_xlfn.XLOOKUP(Order_Details[[#This Row],[Order ID]], List_of_orders[Order ID], List_of_orders[Order Date (Clean)])</f>
        <v>43534</v>
      </c>
      <c r="I1374" s="7" t="str">
        <f>_xlfn.XLOOKUP(Order_Details[[#This Row],[Order ID]], List_of_orders[Order ID], List_of_orders[CustomerName])</f>
        <v>Sonal</v>
      </c>
      <c r="J1374" s="7" t="str">
        <f>_xlfn.XLOOKUP(Order_Details[[#This Row],[Order ID]], List_of_orders[Order ID], List_of_orders[City])</f>
        <v>Patna</v>
      </c>
      <c r="K1374" s="8" t="str">
        <f>TEXT(Order_Details[[#This Row],[Order Date]], "YY-MMM")</f>
        <v>19-Mar</v>
      </c>
      <c r="L1374" s="11">
        <f>Order_Details[[#This Row],[Profit]]/Order_Details[[#This Row],[Amount]]</f>
        <v>0.18181818181818182</v>
      </c>
      <c r="M1374" s="8">
        <f>YEAR(Order_Details[[#This Row],[Order Date]])</f>
        <v>2019</v>
      </c>
      <c r="N1374" s="8">
        <f>ROUNDUP(MONTH(Order_Details[[#This Row],[Order Date]])/3, 0)</f>
        <v>1</v>
      </c>
    </row>
    <row r="1375" spans="1:14">
      <c r="A1375" s="1" t="s">
        <v>1007</v>
      </c>
      <c r="B1375" s="1">
        <v>213</v>
      </c>
      <c r="C1375" s="1">
        <v>-145</v>
      </c>
      <c r="D1375" s="1">
        <v>3</v>
      </c>
      <c r="E1375" s="1" t="s">
        <v>1075</v>
      </c>
      <c r="F1375" s="1" t="s">
        <v>1101</v>
      </c>
      <c r="G1375" s="7" t="str">
        <f>_xlfn.XLOOKUP(Order_Details[[#This Row],[Order ID]], List_of_orders[Order ID], List_of_orders[State])</f>
        <v>Bihar</v>
      </c>
      <c r="H1375" s="10">
        <f>_xlfn.XLOOKUP(Order_Details[[#This Row],[Order ID]], List_of_orders[Order ID], List_of_orders[Order Date (Clean)])</f>
        <v>43534</v>
      </c>
      <c r="I1375" s="7" t="str">
        <f>_xlfn.XLOOKUP(Order_Details[[#This Row],[Order ID]], List_of_orders[Order ID], List_of_orders[CustomerName])</f>
        <v>Sonal</v>
      </c>
      <c r="J1375" s="7" t="str">
        <f>_xlfn.XLOOKUP(Order_Details[[#This Row],[Order ID]], List_of_orders[Order ID], List_of_orders[City])</f>
        <v>Patna</v>
      </c>
      <c r="K1375" s="8" t="str">
        <f>TEXT(Order_Details[[#This Row],[Order Date]], "YY-MMM")</f>
        <v>19-Mar</v>
      </c>
      <c r="L1375" s="11">
        <f>Order_Details[[#This Row],[Profit]]/Order_Details[[#This Row],[Amount]]</f>
        <v>-0.68075117370892024</v>
      </c>
      <c r="M1375" s="8">
        <f>YEAR(Order_Details[[#This Row],[Order Date]])</f>
        <v>2019</v>
      </c>
      <c r="N1375" s="8">
        <f>ROUNDUP(MONTH(Order_Details[[#This Row],[Order Date]])/3, 0)</f>
        <v>1</v>
      </c>
    </row>
    <row r="1376" spans="1:14">
      <c r="A1376" s="1" t="s">
        <v>1007</v>
      </c>
      <c r="B1376" s="1">
        <v>19</v>
      </c>
      <c r="C1376" s="1">
        <v>-18</v>
      </c>
      <c r="D1376" s="1">
        <v>4</v>
      </c>
      <c r="E1376" s="1" t="s">
        <v>1076</v>
      </c>
      <c r="F1376" s="1" t="s">
        <v>1109</v>
      </c>
      <c r="G1376" s="7" t="str">
        <f>_xlfn.XLOOKUP(Order_Details[[#This Row],[Order ID]], List_of_orders[Order ID], List_of_orders[State])</f>
        <v>Bihar</v>
      </c>
      <c r="H1376" s="10">
        <f>_xlfn.XLOOKUP(Order_Details[[#This Row],[Order ID]], List_of_orders[Order ID], List_of_orders[Order Date (Clean)])</f>
        <v>43534</v>
      </c>
      <c r="I1376" s="7" t="str">
        <f>_xlfn.XLOOKUP(Order_Details[[#This Row],[Order ID]], List_of_orders[Order ID], List_of_orders[CustomerName])</f>
        <v>Sonal</v>
      </c>
      <c r="J1376" s="7" t="str">
        <f>_xlfn.XLOOKUP(Order_Details[[#This Row],[Order ID]], List_of_orders[Order ID], List_of_orders[City])</f>
        <v>Patna</v>
      </c>
      <c r="K1376" s="8" t="str">
        <f>TEXT(Order_Details[[#This Row],[Order Date]], "YY-MMM")</f>
        <v>19-Mar</v>
      </c>
      <c r="L1376" s="11">
        <f>Order_Details[[#This Row],[Profit]]/Order_Details[[#This Row],[Amount]]</f>
        <v>-0.94736842105263153</v>
      </c>
      <c r="M1376" s="8">
        <f>YEAR(Order_Details[[#This Row],[Order Date]])</f>
        <v>2019</v>
      </c>
      <c r="N1376" s="8">
        <f>ROUNDUP(MONTH(Order_Details[[#This Row],[Order Date]])/3, 0)</f>
        <v>1</v>
      </c>
    </row>
    <row r="1377" spans="1:14">
      <c r="A1377" s="1" t="s">
        <v>1007</v>
      </c>
      <c r="B1377" s="1">
        <v>206</v>
      </c>
      <c r="C1377" s="1">
        <v>18</v>
      </c>
      <c r="D1377" s="1">
        <v>4</v>
      </c>
      <c r="E1377" s="1" t="s">
        <v>1076</v>
      </c>
      <c r="F1377" s="1" t="s">
        <v>1103</v>
      </c>
      <c r="G1377" s="7" t="str">
        <f>_xlfn.XLOOKUP(Order_Details[[#This Row],[Order ID]], List_of_orders[Order ID], List_of_orders[State])</f>
        <v>Bihar</v>
      </c>
      <c r="H1377" s="10">
        <f>_xlfn.XLOOKUP(Order_Details[[#This Row],[Order ID]], List_of_orders[Order ID], List_of_orders[Order Date (Clean)])</f>
        <v>43534</v>
      </c>
      <c r="I1377" s="7" t="str">
        <f>_xlfn.XLOOKUP(Order_Details[[#This Row],[Order ID]], List_of_orders[Order ID], List_of_orders[CustomerName])</f>
        <v>Sonal</v>
      </c>
      <c r="J1377" s="7" t="str">
        <f>_xlfn.XLOOKUP(Order_Details[[#This Row],[Order ID]], List_of_orders[Order ID], List_of_orders[City])</f>
        <v>Patna</v>
      </c>
      <c r="K1377" s="8" t="str">
        <f>TEXT(Order_Details[[#This Row],[Order Date]], "YY-MMM")</f>
        <v>19-Mar</v>
      </c>
      <c r="L1377" s="11">
        <f>Order_Details[[#This Row],[Profit]]/Order_Details[[#This Row],[Amount]]</f>
        <v>8.7378640776699032E-2</v>
      </c>
      <c r="M1377" s="8">
        <f>YEAR(Order_Details[[#This Row],[Order Date]])</f>
        <v>2019</v>
      </c>
      <c r="N1377" s="8">
        <f>ROUNDUP(MONTH(Order_Details[[#This Row],[Order Date]])/3, 0)</f>
        <v>1</v>
      </c>
    </row>
    <row r="1378" spans="1:14">
      <c r="A1378" s="1" t="s">
        <v>1008</v>
      </c>
      <c r="B1378" s="1">
        <v>736</v>
      </c>
      <c r="C1378" s="1">
        <v>346</v>
      </c>
      <c r="D1378" s="1">
        <v>5</v>
      </c>
      <c r="E1378" s="1" t="s">
        <v>1077</v>
      </c>
      <c r="F1378" s="1" t="s">
        <v>1114</v>
      </c>
      <c r="G1378" s="7" t="str">
        <f>_xlfn.XLOOKUP(Order_Details[[#This Row],[Order ID]], List_of_orders[Order ID], List_of_orders[State])</f>
        <v xml:space="preserve">Kerala </v>
      </c>
      <c r="H1378" s="10">
        <f>_xlfn.XLOOKUP(Order_Details[[#This Row],[Order ID]], List_of_orders[Order ID], List_of_orders[Order Date (Clean)])</f>
        <v>43534</v>
      </c>
      <c r="I1378" s="7" t="str">
        <f>_xlfn.XLOOKUP(Order_Details[[#This Row],[Order ID]], List_of_orders[Order ID], List_of_orders[CustomerName])</f>
        <v>Sharda</v>
      </c>
      <c r="J1378" s="7" t="str">
        <f>_xlfn.XLOOKUP(Order_Details[[#This Row],[Order ID]], List_of_orders[Order ID], List_of_orders[City])</f>
        <v>Thiruvananthapuram</v>
      </c>
      <c r="K1378" s="8" t="str">
        <f>TEXT(Order_Details[[#This Row],[Order Date]], "YY-MMM")</f>
        <v>19-Mar</v>
      </c>
      <c r="L1378" s="11">
        <f>Order_Details[[#This Row],[Profit]]/Order_Details[[#This Row],[Amount]]</f>
        <v>0.47010869565217389</v>
      </c>
      <c r="M1378" s="8">
        <f>YEAR(Order_Details[[#This Row],[Order Date]])</f>
        <v>2019</v>
      </c>
      <c r="N1378" s="8">
        <f>ROUNDUP(MONTH(Order_Details[[#This Row],[Order Date]])/3, 0)</f>
        <v>1</v>
      </c>
    </row>
    <row r="1379" spans="1:14">
      <c r="A1379" s="1" t="s">
        <v>1008</v>
      </c>
      <c r="B1379" s="1">
        <v>54</v>
      </c>
      <c r="C1379" s="1">
        <v>8</v>
      </c>
      <c r="D1379" s="1">
        <v>4</v>
      </c>
      <c r="E1379" s="1" t="s">
        <v>1076</v>
      </c>
      <c r="F1379" s="1" t="s">
        <v>1110</v>
      </c>
      <c r="G1379" s="7" t="str">
        <f>_xlfn.XLOOKUP(Order_Details[[#This Row],[Order ID]], List_of_orders[Order ID], List_of_orders[State])</f>
        <v xml:space="preserve">Kerala </v>
      </c>
      <c r="H1379" s="10">
        <f>_xlfn.XLOOKUP(Order_Details[[#This Row],[Order ID]], List_of_orders[Order ID], List_of_orders[Order Date (Clean)])</f>
        <v>43534</v>
      </c>
      <c r="I1379" s="7" t="str">
        <f>_xlfn.XLOOKUP(Order_Details[[#This Row],[Order ID]], List_of_orders[Order ID], List_of_orders[CustomerName])</f>
        <v>Sharda</v>
      </c>
      <c r="J1379" s="7" t="str">
        <f>_xlfn.XLOOKUP(Order_Details[[#This Row],[Order ID]], List_of_orders[Order ID], List_of_orders[City])</f>
        <v>Thiruvananthapuram</v>
      </c>
      <c r="K1379" s="8" t="str">
        <f>TEXT(Order_Details[[#This Row],[Order Date]], "YY-MMM")</f>
        <v>19-Mar</v>
      </c>
      <c r="L1379" s="11">
        <f>Order_Details[[#This Row],[Profit]]/Order_Details[[#This Row],[Amount]]</f>
        <v>0.14814814814814814</v>
      </c>
      <c r="M1379" s="8">
        <f>YEAR(Order_Details[[#This Row],[Order Date]])</f>
        <v>2019</v>
      </c>
      <c r="N1379" s="8">
        <f>ROUNDUP(MONTH(Order_Details[[#This Row],[Order Date]])/3, 0)</f>
        <v>1</v>
      </c>
    </row>
    <row r="1380" spans="1:14">
      <c r="A1380" s="1" t="s">
        <v>1008</v>
      </c>
      <c r="B1380" s="1">
        <v>659</v>
      </c>
      <c r="C1380" s="1">
        <v>-37</v>
      </c>
      <c r="D1380" s="1">
        <v>2</v>
      </c>
      <c r="E1380" s="1" t="s">
        <v>1075</v>
      </c>
      <c r="F1380" s="1" t="s">
        <v>1101</v>
      </c>
      <c r="G1380" s="7" t="str">
        <f>_xlfn.XLOOKUP(Order_Details[[#This Row],[Order ID]], List_of_orders[Order ID], List_of_orders[State])</f>
        <v xml:space="preserve">Kerala </v>
      </c>
      <c r="H1380" s="10">
        <f>_xlfn.XLOOKUP(Order_Details[[#This Row],[Order ID]], List_of_orders[Order ID], List_of_orders[Order Date (Clean)])</f>
        <v>43534</v>
      </c>
      <c r="I1380" s="7" t="str">
        <f>_xlfn.XLOOKUP(Order_Details[[#This Row],[Order ID]], List_of_orders[Order ID], List_of_orders[CustomerName])</f>
        <v>Sharda</v>
      </c>
      <c r="J1380" s="7" t="str">
        <f>_xlfn.XLOOKUP(Order_Details[[#This Row],[Order ID]], List_of_orders[Order ID], List_of_orders[City])</f>
        <v>Thiruvananthapuram</v>
      </c>
      <c r="K1380" s="8" t="str">
        <f>TEXT(Order_Details[[#This Row],[Order Date]], "YY-MMM")</f>
        <v>19-Mar</v>
      </c>
      <c r="L1380" s="11">
        <f>Order_Details[[#This Row],[Profit]]/Order_Details[[#This Row],[Amount]]</f>
        <v>-5.614567526555387E-2</v>
      </c>
      <c r="M1380" s="8">
        <f>YEAR(Order_Details[[#This Row],[Order Date]])</f>
        <v>2019</v>
      </c>
      <c r="N1380" s="8">
        <f>ROUNDUP(MONTH(Order_Details[[#This Row],[Order Date]])/3, 0)</f>
        <v>1</v>
      </c>
    </row>
    <row r="1381" spans="1:14">
      <c r="A1381" s="1" t="s">
        <v>1008</v>
      </c>
      <c r="B1381" s="1">
        <v>224</v>
      </c>
      <c r="C1381" s="1">
        <v>87</v>
      </c>
      <c r="D1381" s="1">
        <v>3</v>
      </c>
      <c r="E1381" s="1" t="s">
        <v>1076</v>
      </c>
      <c r="F1381" s="1" t="s">
        <v>1107</v>
      </c>
      <c r="G1381" s="7" t="str">
        <f>_xlfn.XLOOKUP(Order_Details[[#This Row],[Order ID]], List_of_orders[Order ID], List_of_orders[State])</f>
        <v xml:space="preserve">Kerala </v>
      </c>
      <c r="H1381" s="10">
        <f>_xlfn.XLOOKUP(Order_Details[[#This Row],[Order ID]], List_of_orders[Order ID], List_of_orders[Order Date (Clean)])</f>
        <v>43534</v>
      </c>
      <c r="I1381" s="7" t="str">
        <f>_xlfn.XLOOKUP(Order_Details[[#This Row],[Order ID]], List_of_orders[Order ID], List_of_orders[CustomerName])</f>
        <v>Sharda</v>
      </c>
      <c r="J1381" s="7" t="str">
        <f>_xlfn.XLOOKUP(Order_Details[[#This Row],[Order ID]], List_of_orders[Order ID], List_of_orders[City])</f>
        <v>Thiruvananthapuram</v>
      </c>
      <c r="K1381" s="8" t="str">
        <f>TEXT(Order_Details[[#This Row],[Order Date]], "YY-MMM")</f>
        <v>19-Mar</v>
      </c>
      <c r="L1381" s="11">
        <f>Order_Details[[#This Row],[Profit]]/Order_Details[[#This Row],[Amount]]</f>
        <v>0.38839285714285715</v>
      </c>
      <c r="M1381" s="8">
        <f>YEAR(Order_Details[[#This Row],[Order Date]])</f>
        <v>2019</v>
      </c>
      <c r="N1381" s="8">
        <f>ROUNDUP(MONTH(Order_Details[[#This Row],[Order Date]])/3, 0)</f>
        <v>1</v>
      </c>
    </row>
    <row r="1382" spans="1:14">
      <c r="A1382" s="1" t="s">
        <v>1009</v>
      </c>
      <c r="B1382" s="1">
        <v>212</v>
      </c>
      <c r="C1382" s="1">
        <v>97</v>
      </c>
      <c r="D1382" s="1">
        <v>7</v>
      </c>
      <c r="E1382" s="1" t="s">
        <v>1076</v>
      </c>
      <c r="F1382" s="1" t="s">
        <v>1103</v>
      </c>
      <c r="G1382" s="7" t="str">
        <f>_xlfn.XLOOKUP(Order_Details[[#This Row],[Order ID]], List_of_orders[Order ID], List_of_orders[State])</f>
        <v>Punjab</v>
      </c>
      <c r="H1382" s="10">
        <f>_xlfn.XLOOKUP(Order_Details[[#This Row],[Order ID]], List_of_orders[Order ID], List_of_orders[Order Date (Clean)])</f>
        <v>43535</v>
      </c>
      <c r="I1382" s="7" t="str">
        <f>_xlfn.XLOOKUP(Order_Details[[#This Row],[Order ID]], List_of_orders[Order ID], List_of_orders[CustomerName])</f>
        <v>Aditya</v>
      </c>
      <c r="J1382" s="7" t="str">
        <f>_xlfn.XLOOKUP(Order_Details[[#This Row],[Order ID]], List_of_orders[Order ID], List_of_orders[City])</f>
        <v>Chandigarh</v>
      </c>
      <c r="K1382" s="8" t="str">
        <f>TEXT(Order_Details[[#This Row],[Order Date]], "YY-MMM")</f>
        <v>19-Mar</v>
      </c>
      <c r="L1382" s="11">
        <f>Order_Details[[#This Row],[Profit]]/Order_Details[[#This Row],[Amount]]</f>
        <v>0.45754716981132076</v>
      </c>
      <c r="M1382" s="8">
        <f>YEAR(Order_Details[[#This Row],[Order Date]])</f>
        <v>2019</v>
      </c>
      <c r="N1382" s="8">
        <f>ROUNDUP(MONTH(Order_Details[[#This Row],[Order Date]])/3, 0)</f>
        <v>1</v>
      </c>
    </row>
    <row r="1383" spans="1:14">
      <c r="A1383" s="1" t="s">
        <v>1010</v>
      </c>
      <c r="B1383" s="1">
        <v>20</v>
      </c>
      <c r="C1383" s="1">
        <v>6</v>
      </c>
      <c r="D1383" s="1">
        <v>1</v>
      </c>
      <c r="E1383" s="1" t="s">
        <v>1076</v>
      </c>
      <c r="F1383" s="1" t="s">
        <v>1110</v>
      </c>
      <c r="G1383" s="7" t="str">
        <f>_xlfn.XLOOKUP(Order_Details[[#This Row],[Order ID]], List_of_orders[Order ID], List_of_orders[State])</f>
        <v>Haryana</v>
      </c>
      <c r="H1383" s="10">
        <f>_xlfn.XLOOKUP(Order_Details[[#This Row],[Order ID]], List_of_orders[Order ID], List_of_orders[Order Date (Clean)])</f>
        <v>43536</v>
      </c>
      <c r="I1383" s="7" t="str">
        <f>_xlfn.XLOOKUP(Order_Details[[#This Row],[Order ID]], List_of_orders[Order ID], List_of_orders[CustomerName])</f>
        <v>Rachna</v>
      </c>
      <c r="J1383" s="7" t="str">
        <f>_xlfn.XLOOKUP(Order_Details[[#This Row],[Order ID]], List_of_orders[Order ID], List_of_orders[City])</f>
        <v>Chandigarh</v>
      </c>
      <c r="K1383" s="8" t="str">
        <f>TEXT(Order_Details[[#This Row],[Order Date]], "YY-MMM")</f>
        <v>19-Mar</v>
      </c>
      <c r="L1383" s="11">
        <f>Order_Details[[#This Row],[Profit]]/Order_Details[[#This Row],[Amount]]</f>
        <v>0.3</v>
      </c>
      <c r="M1383" s="8">
        <f>YEAR(Order_Details[[#This Row],[Order Date]])</f>
        <v>2019</v>
      </c>
      <c r="N1383" s="8">
        <f>ROUNDUP(MONTH(Order_Details[[#This Row],[Order Date]])/3, 0)</f>
        <v>1</v>
      </c>
    </row>
    <row r="1384" spans="1:14">
      <c r="A1384" s="1" t="s">
        <v>1011</v>
      </c>
      <c r="B1384" s="1">
        <v>382</v>
      </c>
      <c r="C1384" s="1">
        <v>68</v>
      </c>
      <c r="D1384" s="1">
        <v>3</v>
      </c>
      <c r="E1384" s="1" t="s">
        <v>1076</v>
      </c>
      <c r="F1384" s="1" t="s">
        <v>1106</v>
      </c>
      <c r="G1384" s="7" t="str">
        <f>_xlfn.XLOOKUP(Order_Details[[#This Row],[Order ID]], List_of_orders[Order ID], List_of_orders[State])</f>
        <v>Maharashtra</v>
      </c>
      <c r="H1384" s="10">
        <f>_xlfn.XLOOKUP(Order_Details[[#This Row],[Order ID]], List_of_orders[Order ID], List_of_orders[Order Date (Clean)])</f>
        <v>43537</v>
      </c>
      <c r="I1384" s="7" t="str">
        <f>_xlfn.XLOOKUP(Order_Details[[#This Row],[Order ID]], List_of_orders[Order ID], List_of_orders[CustomerName])</f>
        <v>Chirag</v>
      </c>
      <c r="J1384" s="7" t="str">
        <f>_xlfn.XLOOKUP(Order_Details[[#This Row],[Order ID]], List_of_orders[Order ID], List_of_orders[City])</f>
        <v>Mumbai</v>
      </c>
      <c r="K1384" s="8" t="str">
        <f>TEXT(Order_Details[[#This Row],[Order Date]], "YY-MMM")</f>
        <v>19-Mar</v>
      </c>
      <c r="L1384" s="11">
        <f>Order_Details[[#This Row],[Profit]]/Order_Details[[#This Row],[Amount]]</f>
        <v>0.17801047120418848</v>
      </c>
      <c r="M1384" s="8">
        <f>YEAR(Order_Details[[#This Row],[Order Date]])</f>
        <v>2019</v>
      </c>
      <c r="N1384" s="8">
        <f>ROUNDUP(MONTH(Order_Details[[#This Row],[Order Date]])/3, 0)</f>
        <v>1</v>
      </c>
    </row>
    <row r="1385" spans="1:14">
      <c r="A1385" s="1" t="s">
        <v>1013</v>
      </c>
      <c r="B1385" s="1">
        <v>508</v>
      </c>
      <c r="C1385" s="1">
        <v>203</v>
      </c>
      <c r="D1385" s="1">
        <v>2</v>
      </c>
      <c r="E1385" s="1" t="s">
        <v>1077</v>
      </c>
      <c r="F1385" s="1" t="s">
        <v>1115</v>
      </c>
      <c r="G1385" s="7" t="str">
        <f>_xlfn.XLOOKUP(Order_Details[[#This Row],[Order ID]], List_of_orders[Order ID], List_of_orders[State])</f>
        <v>Madhya Pradesh</v>
      </c>
      <c r="H1385" s="10">
        <f>_xlfn.XLOOKUP(Order_Details[[#This Row],[Order ID]], List_of_orders[Order ID], List_of_orders[Order Date (Clean)])</f>
        <v>43538</v>
      </c>
      <c r="I1385" s="7" t="str">
        <f>_xlfn.XLOOKUP(Order_Details[[#This Row],[Order ID]], List_of_orders[Order ID], List_of_orders[CustomerName])</f>
        <v>Anurag</v>
      </c>
      <c r="J1385" s="7" t="str">
        <f>_xlfn.XLOOKUP(Order_Details[[#This Row],[Order ID]], List_of_orders[Order ID], List_of_orders[City])</f>
        <v>Indore</v>
      </c>
      <c r="K1385" s="8" t="str">
        <f>TEXT(Order_Details[[#This Row],[Order Date]], "YY-MMM")</f>
        <v>19-Mar</v>
      </c>
      <c r="L1385" s="11">
        <f>Order_Details[[#This Row],[Profit]]/Order_Details[[#This Row],[Amount]]</f>
        <v>0.39960629921259844</v>
      </c>
      <c r="M1385" s="8">
        <f>YEAR(Order_Details[[#This Row],[Order Date]])</f>
        <v>2019</v>
      </c>
      <c r="N1385" s="8">
        <f>ROUNDUP(MONTH(Order_Details[[#This Row],[Order Date]])/3, 0)</f>
        <v>1</v>
      </c>
    </row>
    <row r="1386" spans="1:14">
      <c r="A1386" s="1" t="s">
        <v>1013</v>
      </c>
      <c r="B1386" s="1">
        <v>965</v>
      </c>
      <c r="C1386" s="1">
        <v>-68</v>
      </c>
      <c r="D1386" s="1">
        <v>3</v>
      </c>
      <c r="E1386" s="1" t="s">
        <v>1077</v>
      </c>
      <c r="F1386" s="1" t="s">
        <v>1114</v>
      </c>
      <c r="G1386" s="7" t="str">
        <f>_xlfn.XLOOKUP(Order_Details[[#This Row],[Order ID]], List_of_orders[Order ID], List_of_orders[State])</f>
        <v>Madhya Pradesh</v>
      </c>
      <c r="H1386" s="10">
        <f>_xlfn.XLOOKUP(Order_Details[[#This Row],[Order ID]], List_of_orders[Order ID], List_of_orders[Order Date (Clean)])</f>
        <v>43538</v>
      </c>
      <c r="I1386" s="7" t="str">
        <f>_xlfn.XLOOKUP(Order_Details[[#This Row],[Order ID]], List_of_orders[Order ID], List_of_orders[CustomerName])</f>
        <v>Anurag</v>
      </c>
      <c r="J1386" s="7" t="str">
        <f>_xlfn.XLOOKUP(Order_Details[[#This Row],[Order ID]], List_of_orders[Order ID], List_of_orders[City])</f>
        <v>Indore</v>
      </c>
      <c r="K1386" s="8" t="str">
        <f>TEXT(Order_Details[[#This Row],[Order Date]], "YY-MMM")</f>
        <v>19-Mar</v>
      </c>
      <c r="L1386" s="11">
        <f>Order_Details[[#This Row],[Profit]]/Order_Details[[#This Row],[Amount]]</f>
        <v>-7.0466321243523311E-2</v>
      </c>
      <c r="M1386" s="8">
        <f>YEAR(Order_Details[[#This Row],[Order Date]])</f>
        <v>2019</v>
      </c>
      <c r="N1386" s="8">
        <f>ROUNDUP(MONTH(Order_Details[[#This Row],[Order Date]])/3, 0)</f>
        <v>1</v>
      </c>
    </row>
    <row r="1387" spans="1:14">
      <c r="A1387" s="1" t="s">
        <v>1013</v>
      </c>
      <c r="B1387" s="1">
        <v>206</v>
      </c>
      <c r="C1387" s="1">
        <v>12</v>
      </c>
      <c r="D1387" s="1">
        <v>1</v>
      </c>
      <c r="E1387" s="1" t="s">
        <v>1077</v>
      </c>
      <c r="F1387" s="1" t="s">
        <v>1114</v>
      </c>
      <c r="G1387" s="7" t="str">
        <f>_xlfn.XLOOKUP(Order_Details[[#This Row],[Order ID]], List_of_orders[Order ID], List_of_orders[State])</f>
        <v>Madhya Pradesh</v>
      </c>
      <c r="H1387" s="10">
        <f>_xlfn.XLOOKUP(Order_Details[[#This Row],[Order ID]], List_of_orders[Order ID], List_of_orders[Order Date (Clean)])</f>
        <v>43538</v>
      </c>
      <c r="I1387" s="7" t="str">
        <f>_xlfn.XLOOKUP(Order_Details[[#This Row],[Order ID]], List_of_orders[Order ID], List_of_orders[CustomerName])</f>
        <v>Anurag</v>
      </c>
      <c r="J1387" s="7" t="str">
        <f>_xlfn.XLOOKUP(Order_Details[[#This Row],[Order ID]], List_of_orders[Order ID], List_of_orders[City])</f>
        <v>Indore</v>
      </c>
      <c r="K1387" s="8" t="str">
        <f>TEXT(Order_Details[[#This Row],[Order Date]], "YY-MMM")</f>
        <v>19-Mar</v>
      </c>
      <c r="L1387" s="11">
        <f>Order_Details[[#This Row],[Profit]]/Order_Details[[#This Row],[Amount]]</f>
        <v>5.8252427184466021E-2</v>
      </c>
      <c r="M1387" s="8">
        <f>YEAR(Order_Details[[#This Row],[Order Date]])</f>
        <v>2019</v>
      </c>
      <c r="N1387" s="8">
        <f>ROUNDUP(MONTH(Order_Details[[#This Row],[Order Date]])/3, 0)</f>
        <v>1</v>
      </c>
    </row>
    <row r="1388" spans="1:14">
      <c r="A1388" s="1" t="s">
        <v>1013</v>
      </c>
      <c r="B1388" s="1">
        <v>642</v>
      </c>
      <c r="C1388" s="1">
        <v>180</v>
      </c>
      <c r="D1388" s="1">
        <v>5</v>
      </c>
      <c r="E1388" s="1" t="s">
        <v>1076</v>
      </c>
      <c r="F1388" s="1" t="s">
        <v>1106</v>
      </c>
      <c r="G1388" s="7" t="str">
        <f>_xlfn.XLOOKUP(Order_Details[[#This Row],[Order ID]], List_of_orders[Order ID], List_of_orders[State])</f>
        <v>Madhya Pradesh</v>
      </c>
      <c r="H1388" s="10">
        <f>_xlfn.XLOOKUP(Order_Details[[#This Row],[Order ID]], List_of_orders[Order ID], List_of_orders[Order Date (Clean)])</f>
        <v>43538</v>
      </c>
      <c r="I1388" s="7" t="str">
        <f>_xlfn.XLOOKUP(Order_Details[[#This Row],[Order ID]], List_of_orders[Order ID], List_of_orders[CustomerName])</f>
        <v>Anurag</v>
      </c>
      <c r="J1388" s="7" t="str">
        <f>_xlfn.XLOOKUP(Order_Details[[#This Row],[Order ID]], List_of_orders[Order ID], List_of_orders[City])</f>
        <v>Indore</v>
      </c>
      <c r="K1388" s="8" t="str">
        <f>TEXT(Order_Details[[#This Row],[Order Date]], "YY-MMM")</f>
        <v>19-Mar</v>
      </c>
      <c r="L1388" s="11">
        <f>Order_Details[[#This Row],[Profit]]/Order_Details[[#This Row],[Amount]]</f>
        <v>0.28037383177570091</v>
      </c>
      <c r="M1388" s="8">
        <f>YEAR(Order_Details[[#This Row],[Order Date]])</f>
        <v>2019</v>
      </c>
      <c r="N1388" s="8">
        <f>ROUNDUP(MONTH(Order_Details[[#This Row],[Order Date]])/3, 0)</f>
        <v>1</v>
      </c>
    </row>
    <row r="1389" spans="1:14">
      <c r="A1389" s="1" t="s">
        <v>1013</v>
      </c>
      <c r="B1389" s="1">
        <v>109</v>
      </c>
      <c r="C1389" s="1">
        <v>52</v>
      </c>
      <c r="D1389" s="1">
        <v>2</v>
      </c>
      <c r="E1389" s="1" t="s">
        <v>1076</v>
      </c>
      <c r="F1389" s="1" t="s">
        <v>1102</v>
      </c>
      <c r="G1389" s="7" t="str">
        <f>_xlfn.XLOOKUP(Order_Details[[#This Row],[Order ID]], List_of_orders[Order ID], List_of_orders[State])</f>
        <v>Madhya Pradesh</v>
      </c>
      <c r="H1389" s="10">
        <f>_xlfn.XLOOKUP(Order_Details[[#This Row],[Order ID]], List_of_orders[Order ID], List_of_orders[Order Date (Clean)])</f>
        <v>43538</v>
      </c>
      <c r="I1389" s="7" t="str">
        <f>_xlfn.XLOOKUP(Order_Details[[#This Row],[Order ID]], List_of_orders[Order ID], List_of_orders[CustomerName])</f>
        <v>Anurag</v>
      </c>
      <c r="J1389" s="7" t="str">
        <f>_xlfn.XLOOKUP(Order_Details[[#This Row],[Order ID]], List_of_orders[Order ID], List_of_orders[City])</f>
        <v>Indore</v>
      </c>
      <c r="K1389" s="8" t="str">
        <f>TEXT(Order_Details[[#This Row],[Order Date]], "YY-MMM")</f>
        <v>19-Mar</v>
      </c>
      <c r="L1389" s="11">
        <f>Order_Details[[#This Row],[Profit]]/Order_Details[[#This Row],[Amount]]</f>
        <v>0.47706422018348627</v>
      </c>
      <c r="M1389" s="8">
        <f>YEAR(Order_Details[[#This Row],[Order Date]])</f>
        <v>2019</v>
      </c>
      <c r="N1389" s="8">
        <f>ROUNDUP(MONTH(Order_Details[[#This Row],[Order Date]])/3, 0)</f>
        <v>1</v>
      </c>
    </row>
    <row r="1390" spans="1:14">
      <c r="A1390" s="1" t="s">
        <v>1013</v>
      </c>
      <c r="B1390" s="1">
        <v>27</v>
      </c>
      <c r="C1390" s="1">
        <v>8</v>
      </c>
      <c r="D1390" s="1">
        <v>2</v>
      </c>
      <c r="E1390" s="1" t="s">
        <v>1076</v>
      </c>
      <c r="F1390" s="1" t="s">
        <v>1110</v>
      </c>
      <c r="G1390" s="7" t="str">
        <f>_xlfn.XLOOKUP(Order_Details[[#This Row],[Order ID]], List_of_orders[Order ID], List_of_orders[State])</f>
        <v>Madhya Pradesh</v>
      </c>
      <c r="H1390" s="10">
        <f>_xlfn.XLOOKUP(Order_Details[[#This Row],[Order ID]], List_of_orders[Order ID], List_of_orders[Order Date (Clean)])</f>
        <v>43538</v>
      </c>
      <c r="I1390" s="7" t="str">
        <f>_xlfn.XLOOKUP(Order_Details[[#This Row],[Order ID]], List_of_orders[Order ID], List_of_orders[CustomerName])</f>
        <v>Anurag</v>
      </c>
      <c r="J1390" s="7" t="str">
        <f>_xlfn.XLOOKUP(Order_Details[[#This Row],[Order ID]], List_of_orders[Order ID], List_of_orders[City])</f>
        <v>Indore</v>
      </c>
      <c r="K1390" s="8" t="str">
        <f>TEXT(Order_Details[[#This Row],[Order Date]], "YY-MMM")</f>
        <v>19-Mar</v>
      </c>
      <c r="L1390" s="11">
        <f>Order_Details[[#This Row],[Profit]]/Order_Details[[#This Row],[Amount]]</f>
        <v>0.29629629629629628</v>
      </c>
      <c r="M1390" s="8">
        <f>YEAR(Order_Details[[#This Row],[Order Date]])</f>
        <v>2019</v>
      </c>
      <c r="N1390" s="8">
        <f>ROUNDUP(MONTH(Order_Details[[#This Row],[Order Date]])/3, 0)</f>
        <v>1</v>
      </c>
    </row>
    <row r="1391" spans="1:14">
      <c r="A1391" s="1" t="s">
        <v>1015</v>
      </c>
      <c r="B1391" s="1">
        <v>44</v>
      </c>
      <c r="C1391" s="1">
        <v>-40</v>
      </c>
      <c r="D1391" s="1">
        <v>3</v>
      </c>
      <c r="E1391" s="1" t="s">
        <v>1076</v>
      </c>
      <c r="F1391" s="1" t="s">
        <v>1102</v>
      </c>
      <c r="G1391" s="7" t="str">
        <f>_xlfn.XLOOKUP(Order_Details[[#This Row],[Order ID]], List_of_orders[Order ID], List_of_orders[State])</f>
        <v>Goa</v>
      </c>
      <c r="H1391" s="10">
        <f>_xlfn.XLOOKUP(Order_Details[[#This Row],[Order ID]], List_of_orders[Order ID], List_of_orders[Order Date (Clean)])</f>
        <v>43539</v>
      </c>
      <c r="I1391" s="7" t="str">
        <f>_xlfn.XLOOKUP(Order_Details[[#This Row],[Order ID]], List_of_orders[Order ID], List_of_orders[CustomerName])</f>
        <v>Tushina</v>
      </c>
      <c r="J1391" s="7" t="str">
        <f>_xlfn.XLOOKUP(Order_Details[[#This Row],[Order ID]], List_of_orders[Order ID], List_of_orders[City])</f>
        <v>Goa</v>
      </c>
      <c r="K1391" s="8" t="str">
        <f>TEXT(Order_Details[[#This Row],[Order Date]], "YY-MMM")</f>
        <v>19-Mar</v>
      </c>
      <c r="L1391" s="11">
        <f>Order_Details[[#This Row],[Profit]]/Order_Details[[#This Row],[Amount]]</f>
        <v>-0.90909090909090906</v>
      </c>
      <c r="M1391" s="8">
        <f>YEAR(Order_Details[[#This Row],[Order Date]])</f>
        <v>2019</v>
      </c>
      <c r="N1391" s="8">
        <f>ROUNDUP(MONTH(Order_Details[[#This Row],[Order Date]])/3, 0)</f>
        <v>1</v>
      </c>
    </row>
    <row r="1392" spans="1:14">
      <c r="A1392" s="1" t="s">
        <v>1015</v>
      </c>
      <c r="B1392" s="1">
        <v>50</v>
      </c>
      <c r="C1392" s="1">
        <v>-17</v>
      </c>
      <c r="D1392" s="1">
        <v>2</v>
      </c>
      <c r="E1392" s="1" t="s">
        <v>1076</v>
      </c>
      <c r="F1392" s="1" t="s">
        <v>1102</v>
      </c>
      <c r="G1392" s="7" t="str">
        <f>_xlfn.XLOOKUP(Order_Details[[#This Row],[Order ID]], List_of_orders[Order ID], List_of_orders[State])</f>
        <v>Goa</v>
      </c>
      <c r="H1392" s="10">
        <f>_xlfn.XLOOKUP(Order_Details[[#This Row],[Order ID]], List_of_orders[Order ID], List_of_orders[Order Date (Clean)])</f>
        <v>43539</v>
      </c>
      <c r="I1392" s="7" t="str">
        <f>_xlfn.XLOOKUP(Order_Details[[#This Row],[Order ID]], List_of_orders[Order ID], List_of_orders[CustomerName])</f>
        <v>Tushina</v>
      </c>
      <c r="J1392" s="7" t="str">
        <f>_xlfn.XLOOKUP(Order_Details[[#This Row],[Order ID]], List_of_orders[Order ID], List_of_orders[City])</f>
        <v>Goa</v>
      </c>
      <c r="K1392" s="8" t="str">
        <f>TEXT(Order_Details[[#This Row],[Order Date]], "YY-MMM")</f>
        <v>19-Mar</v>
      </c>
      <c r="L1392" s="11">
        <f>Order_Details[[#This Row],[Profit]]/Order_Details[[#This Row],[Amount]]</f>
        <v>-0.34</v>
      </c>
      <c r="M1392" s="8">
        <f>YEAR(Order_Details[[#This Row],[Order Date]])</f>
        <v>2019</v>
      </c>
      <c r="N1392" s="8">
        <f>ROUNDUP(MONTH(Order_Details[[#This Row],[Order Date]])/3, 0)</f>
        <v>1</v>
      </c>
    </row>
    <row r="1393" spans="1:14">
      <c r="A1393" s="1" t="s">
        <v>1015</v>
      </c>
      <c r="B1393" s="1">
        <v>13</v>
      </c>
      <c r="C1393" s="1">
        <v>-2</v>
      </c>
      <c r="D1393" s="1">
        <v>1</v>
      </c>
      <c r="E1393" s="1" t="s">
        <v>1076</v>
      </c>
      <c r="F1393" s="1" t="s">
        <v>1102</v>
      </c>
      <c r="G1393" s="7" t="str">
        <f>_xlfn.XLOOKUP(Order_Details[[#This Row],[Order ID]], List_of_orders[Order ID], List_of_orders[State])</f>
        <v>Goa</v>
      </c>
      <c r="H1393" s="10">
        <f>_xlfn.XLOOKUP(Order_Details[[#This Row],[Order ID]], List_of_orders[Order ID], List_of_orders[Order Date (Clean)])</f>
        <v>43539</v>
      </c>
      <c r="I1393" s="7" t="str">
        <f>_xlfn.XLOOKUP(Order_Details[[#This Row],[Order ID]], List_of_orders[Order ID], List_of_orders[CustomerName])</f>
        <v>Tushina</v>
      </c>
      <c r="J1393" s="7" t="str">
        <f>_xlfn.XLOOKUP(Order_Details[[#This Row],[Order ID]], List_of_orders[Order ID], List_of_orders[City])</f>
        <v>Goa</v>
      </c>
      <c r="K1393" s="8" t="str">
        <f>TEXT(Order_Details[[#This Row],[Order Date]], "YY-MMM")</f>
        <v>19-Mar</v>
      </c>
      <c r="L1393" s="11">
        <f>Order_Details[[#This Row],[Profit]]/Order_Details[[#This Row],[Amount]]</f>
        <v>-0.15384615384615385</v>
      </c>
      <c r="M1393" s="8">
        <f>YEAR(Order_Details[[#This Row],[Order Date]])</f>
        <v>2019</v>
      </c>
      <c r="N1393" s="8">
        <f>ROUNDUP(MONTH(Order_Details[[#This Row],[Order Date]])/3, 0)</f>
        <v>1</v>
      </c>
    </row>
    <row r="1394" spans="1:14">
      <c r="A1394" s="1" t="s">
        <v>1017</v>
      </c>
      <c r="B1394" s="1">
        <v>241</v>
      </c>
      <c r="C1394" s="1">
        <v>-77</v>
      </c>
      <c r="D1394" s="1">
        <v>4</v>
      </c>
      <c r="E1394" s="1" t="s">
        <v>1077</v>
      </c>
      <c r="F1394" s="1" t="s">
        <v>1104</v>
      </c>
      <c r="G1394" s="7" t="str">
        <f>_xlfn.XLOOKUP(Order_Details[[#This Row],[Order ID]], List_of_orders[Order ID], List_of_orders[State])</f>
        <v>Nagaland</v>
      </c>
      <c r="H1394" s="10">
        <f>_xlfn.XLOOKUP(Order_Details[[#This Row],[Order ID]], List_of_orders[Order ID], List_of_orders[Order Date (Clean)])</f>
        <v>43539</v>
      </c>
      <c r="I1394" s="7" t="str">
        <f>_xlfn.XLOOKUP(Order_Details[[#This Row],[Order ID]], List_of_orders[Order ID], List_of_orders[CustomerName])</f>
        <v>Farah</v>
      </c>
      <c r="J1394" s="7" t="str">
        <f>_xlfn.XLOOKUP(Order_Details[[#This Row],[Order ID]], List_of_orders[Order ID], List_of_orders[City])</f>
        <v>Kohima</v>
      </c>
      <c r="K1394" s="8" t="str">
        <f>TEXT(Order_Details[[#This Row],[Order Date]], "YY-MMM")</f>
        <v>19-Mar</v>
      </c>
      <c r="L1394" s="11">
        <f>Order_Details[[#This Row],[Profit]]/Order_Details[[#This Row],[Amount]]</f>
        <v>-0.31950207468879666</v>
      </c>
      <c r="M1394" s="8">
        <f>YEAR(Order_Details[[#This Row],[Order Date]])</f>
        <v>2019</v>
      </c>
      <c r="N1394" s="8">
        <f>ROUNDUP(MONTH(Order_Details[[#This Row],[Order Date]])/3, 0)</f>
        <v>1</v>
      </c>
    </row>
    <row r="1395" spans="1:14">
      <c r="A1395" s="1" t="s">
        <v>1018</v>
      </c>
      <c r="B1395" s="1">
        <v>75</v>
      </c>
      <c r="C1395" s="1">
        <v>2</v>
      </c>
      <c r="D1395" s="1">
        <v>5</v>
      </c>
      <c r="E1395" s="1" t="s">
        <v>1076</v>
      </c>
      <c r="F1395" s="1" t="s">
        <v>1112</v>
      </c>
      <c r="G1395" s="7" t="str">
        <f>_xlfn.XLOOKUP(Order_Details[[#This Row],[Order ID]], List_of_orders[Order ID], List_of_orders[State])</f>
        <v>Maharashtra</v>
      </c>
      <c r="H1395" s="10">
        <f>_xlfn.XLOOKUP(Order_Details[[#This Row],[Order ID]], List_of_orders[Order ID], List_of_orders[Order Date (Clean)])</f>
        <v>43540</v>
      </c>
      <c r="I1395" s="7" t="str">
        <f>_xlfn.XLOOKUP(Order_Details[[#This Row],[Order ID]], List_of_orders[Order ID], List_of_orders[CustomerName])</f>
        <v>Ankita</v>
      </c>
      <c r="J1395" s="7" t="str">
        <f>_xlfn.XLOOKUP(Order_Details[[#This Row],[Order ID]], List_of_orders[Order ID], List_of_orders[City])</f>
        <v>Mumbai</v>
      </c>
      <c r="K1395" s="8" t="str">
        <f>TEXT(Order_Details[[#This Row],[Order Date]], "YY-MMM")</f>
        <v>19-Mar</v>
      </c>
      <c r="L1395" s="11">
        <f>Order_Details[[#This Row],[Profit]]/Order_Details[[#This Row],[Amount]]</f>
        <v>2.6666666666666668E-2</v>
      </c>
      <c r="M1395" s="8">
        <f>YEAR(Order_Details[[#This Row],[Order Date]])</f>
        <v>2019</v>
      </c>
      <c r="N1395" s="8">
        <f>ROUNDUP(MONTH(Order_Details[[#This Row],[Order Date]])/3, 0)</f>
        <v>1</v>
      </c>
    </row>
    <row r="1396" spans="1:14">
      <c r="A1396" s="1" t="s">
        <v>1018</v>
      </c>
      <c r="B1396" s="1">
        <v>61</v>
      </c>
      <c r="C1396" s="1">
        <v>3</v>
      </c>
      <c r="D1396" s="1">
        <v>4</v>
      </c>
      <c r="E1396" s="1" t="s">
        <v>1076</v>
      </c>
      <c r="F1396" s="1" t="s">
        <v>1103</v>
      </c>
      <c r="G1396" s="7" t="str">
        <f>_xlfn.XLOOKUP(Order_Details[[#This Row],[Order ID]], List_of_orders[Order ID], List_of_orders[State])</f>
        <v>Maharashtra</v>
      </c>
      <c r="H1396" s="10">
        <f>_xlfn.XLOOKUP(Order_Details[[#This Row],[Order ID]], List_of_orders[Order ID], List_of_orders[Order Date (Clean)])</f>
        <v>43540</v>
      </c>
      <c r="I1396" s="7" t="str">
        <f>_xlfn.XLOOKUP(Order_Details[[#This Row],[Order ID]], List_of_orders[Order ID], List_of_orders[CustomerName])</f>
        <v>Ankita</v>
      </c>
      <c r="J1396" s="7" t="str">
        <f>_xlfn.XLOOKUP(Order_Details[[#This Row],[Order ID]], List_of_orders[Order ID], List_of_orders[City])</f>
        <v>Mumbai</v>
      </c>
      <c r="K1396" s="8" t="str">
        <f>TEXT(Order_Details[[#This Row],[Order Date]], "YY-MMM")</f>
        <v>19-Mar</v>
      </c>
      <c r="L1396" s="11">
        <f>Order_Details[[#This Row],[Profit]]/Order_Details[[#This Row],[Amount]]</f>
        <v>4.9180327868852458E-2</v>
      </c>
      <c r="M1396" s="8">
        <f>YEAR(Order_Details[[#This Row],[Order Date]])</f>
        <v>2019</v>
      </c>
      <c r="N1396" s="8">
        <f>ROUNDUP(MONTH(Order_Details[[#This Row],[Order Date]])/3, 0)</f>
        <v>1</v>
      </c>
    </row>
    <row r="1397" spans="1:14">
      <c r="A1397" s="1" t="s">
        <v>1018</v>
      </c>
      <c r="B1397" s="1">
        <v>122</v>
      </c>
      <c r="C1397" s="1">
        <v>38</v>
      </c>
      <c r="D1397" s="1">
        <v>6</v>
      </c>
      <c r="E1397" s="1" t="s">
        <v>1076</v>
      </c>
      <c r="F1397" s="1" t="s">
        <v>1110</v>
      </c>
      <c r="G1397" s="7" t="str">
        <f>_xlfn.XLOOKUP(Order_Details[[#This Row],[Order ID]], List_of_orders[Order ID], List_of_orders[State])</f>
        <v>Maharashtra</v>
      </c>
      <c r="H1397" s="10">
        <f>_xlfn.XLOOKUP(Order_Details[[#This Row],[Order ID]], List_of_orders[Order ID], List_of_orders[Order Date (Clean)])</f>
        <v>43540</v>
      </c>
      <c r="I1397" s="7" t="str">
        <f>_xlfn.XLOOKUP(Order_Details[[#This Row],[Order ID]], List_of_orders[Order ID], List_of_orders[CustomerName])</f>
        <v>Ankita</v>
      </c>
      <c r="J1397" s="7" t="str">
        <f>_xlfn.XLOOKUP(Order_Details[[#This Row],[Order ID]], List_of_orders[Order ID], List_of_orders[City])</f>
        <v>Mumbai</v>
      </c>
      <c r="K1397" s="8" t="str">
        <f>TEXT(Order_Details[[#This Row],[Order Date]], "YY-MMM")</f>
        <v>19-Mar</v>
      </c>
      <c r="L1397" s="11">
        <f>Order_Details[[#This Row],[Profit]]/Order_Details[[#This Row],[Amount]]</f>
        <v>0.31147540983606559</v>
      </c>
      <c r="M1397" s="8">
        <f>YEAR(Order_Details[[#This Row],[Order Date]])</f>
        <v>2019</v>
      </c>
      <c r="N1397" s="8">
        <f>ROUNDUP(MONTH(Order_Details[[#This Row],[Order Date]])/3, 0)</f>
        <v>1</v>
      </c>
    </row>
    <row r="1398" spans="1:14">
      <c r="A1398" s="1" t="s">
        <v>1018</v>
      </c>
      <c r="B1398" s="1">
        <v>22</v>
      </c>
      <c r="C1398" s="1">
        <v>0</v>
      </c>
      <c r="D1398" s="1">
        <v>2</v>
      </c>
      <c r="E1398" s="1" t="s">
        <v>1076</v>
      </c>
      <c r="F1398" s="1" t="s">
        <v>1106</v>
      </c>
      <c r="G1398" s="7" t="str">
        <f>_xlfn.XLOOKUP(Order_Details[[#This Row],[Order ID]], List_of_orders[Order ID], List_of_orders[State])</f>
        <v>Maharashtra</v>
      </c>
      <c r="H1398" s="10">
        <f>_xlfn.XLOOKUP(Order_Details[[#This Row],[Order ID]], List_of_orders[Order ID], List_of_orders[Order Date (Clean)])</f>
        <v>43540</v>
      </c>
      <c r="I1398" s="7" t="str">
        <f>_xlfn.XLOOKUP(Order_Details[[#This Row],[Order ID]], List_of_orders[Order ID], List_of_orders[CustomerName])</f>
        <v>Ankita</v>
      </c>
      <c r="J1398" s="7" t="str">
        <f>_xlfn.XLOOKUP(Order_Details[[#This Row],[Order ID]], List_of_orders[Order ID], List_of_orders[City])</f>
        <v>Mumbai</v>
      </c>
      <c r="K1398" s="8" t="str">
        <f>TEXT(Order_Details[[#This Row],[Order Date]], "YY-MMM")</f>
        <v>19-Mar</v>
      </c>
      <c r="L1398" s="11">
        <f>Order_Details[[#This Row],[Profit]]/Order_Details[[#This Row],[Amount]]</f>
        <v>0</v>
      </c>
      <c r="M1398" s="8">
        <f>YEAR(Order_Details[[#This Row],[Order Date]])</f>
        <v>2019</v>
      </c>
      <c r="N1398" s="8">
        <f>ROUNDUP(MONTH(Order_Details[[#This Row],[Order Date]])/3, 0)</f>
        <v>1</v>
      </c>
    </row>
    <row r="1399" spans="1:14">
      <c r="A1399" s="1" t="s">
        <v>1021</v>
      </c>
      <c r="B1399" s="1">
        <v>146</v>
      </c>
      <c r="C1399" s="1">
        <v>19</v>
      </c>
      <c r="D1399" s="1">
        <v>5</v>
      </c>
      <c r="E1399" s="1" t="s">
        <v>1076</v>
      </c>
      <c r="F1399" s="1" t="s">
        <v>1102</v>
      </c>
      <c r="G1399" s="7" t="str">
        <f>_xlfn.XLOOKUP(Order_Details[[#This Row],[Order ID]], List_of_orders[Order ID], List_of_orders[State])</f>
        <v>Madhya Pradesh</v>
      </c>
      <c r="H1399" s="10">
        <f>_xlfn.XLOOKUP(Order_Details[[#This Row],[Order ID]], List_of_orders[Order ID], List_of_orders[Order Date (Clean)])</f>
        <v>43540</v>
      </c>
      <c r="I1399" s="7" t="str">
        <f>_xlfn.XLOOKUP(Order_Details[[#This Row],[Order ID]], List_of_orders[Order ID], List_of_orders[CustomerName])</f>
        <v>Nida</v>
      </c>
      <c r="J1399" s="7" t="str">
        <f>_xlfn.XLOOKUP(Order_Details[[#This Row],[Order ID]], List_of_orders[Order ID], List_of_orders[City])</f>
        <v>Indore</v>
      </c>
      <c r="K1399" s="8" t="str">
        <f>TEXT(Order_Details[[#This Row],[Order Date]], "YY-MMM")</f>
        <v>19-Mar</v>
      </c>
      <c r="L1399" s="11">
        <f>Order_Details[[#This Row],[Profit]]/Order_Details[[#This Row],[Amount]]</f>
        <v>0.13013698630136986</v>
      </c>
      <c r="M1399" s="8">
        <f>YEAR(Order_Details[[#This Row],[Order Date]])</f>
        <v>2019</v>
      </c>
      <c r="N1399" s="8">
        <f>ROUNDUP(MONTH(Order_Details[[#This Row],[Order Date]])/3, 0)</f>
        <v>1</v>
      </c>
    </row>
    <row r="1400" spans="1:14">
      <c r="A1400" s="1" t="s">
        <v>1022</v>
      </c>
      <c r="B1400" s="1">
        <v>86</v>
      </c>
      <c r="C1400" s="1">
        <v>22</v>
      </c>
      <c r="D1400" s="1">
        <v>2</v>
      </c>
      <c r="E1400" s="1" t="s">
        <v>1076</v>
      </c>
      <c r="F1400" s="1" t="s">
        <v>1106</v>
      </c>
      <c r="G1400" s="7" t="str">
        <f>_xlfn.XLOOKUP(Order_Details[[#This Row],[Order ID]], List_of_orders[Order ID], List_of_orders[State])</f>
        <v>Maharashtra</v>
      </c>
      <c r="H1400" s="10">
        <f>_xlfn.XLOOKUP(Order_Details[[#This Row],[Order ID]], List_of_orders[Order ID], List_of_orders[Order Date (Clean)])</f>
        <v>43540</v>
      </c>
      <c r="I1400" s="7" t="str">
        <f>_xlfn.XLOOKUP(Order_Details[[#This Row],[Order ID]], List_of_orders[Order ID], List_of_orders[CustomerName])</f>
        <v>Priyanka</v>
      </c>
      <c r="J1400" s="7" t="str">
        <f>_xlfn.XLOOKUP(Order_Details[[#This Row],[Order ID]], List_of_orders[Order ID], List_of_orders[City])</f>
        <v>Pune</v>
      </c>
      <c r="K1400" s="8" t="str">
        <f>TEXT(Order_Details[[#This Row],[Order Date]], "YY-MMM")</f>
        <v>19-Mar</v>
      </c>
      <c r="L1400" s="11">
        <f>Order_Details[[#This Row],[Profit]]/Order_Details[[#This Row],[Amount]]</f>
        <v>0.2558139534883721</v>
      </c>
      <c r="M1400" s="8">
        <f>YEAR(Order_Details[[#This Row],[Order Date]])</f>
        <v>2019</v>
      </c>
      <c r="N1400" s="8">
        <f>ROUNDUP(MONTH(Order_Details[[#This Row],[Order Date]])/3, 0)</f>
        <v>1</v>
      </c>
    </row>
    <row r="1401" spans="1:14">
      <c r="A1401" s="1" t="s">
        <v>1023</v>
      </c>
      <c r="B1401" s="1">
        <v>618</v>
      </c>
      <c r="C1401" s="1">
        <v>27</v>
      </c>
      <c r="D1401" s="1">
        <v>4</v>
      </c>
      <c r="E1401" s="1" t="s">
        <v>1075</v>
      </c>
      <c r="F1401" s="1" t="s">
        <v>1101</v>
      </c>
      <c r="G1401" s="7" t="str">
        <f>_xlfn.XLOOKUP(Order_Details[[#This Row],[Order ID]], List_of_orders[Order ID], List_of_orders[State])</f>
        <v>Madhya Pradesh</v>
      </c>
      <c r="H1401" s="10">
        <f>_xlfn.XLOOKUP(Order_Details[[#This Row],[Order ID]], List_of_orders[Order ID], List_of_orders[Order Date (Clean)])</f>
        <v>43540</v>
      </c>
      <c r="I1401" s="7" t="str">
        <f>_xlfn.XLOOKUP(Order_Details[[#This Row],[Order ID]], List_of_orders[Order ID], List_of_orders[CustomerName])</f>
        <v>Tulika</v>
      </c>
      <c r="J1401" s="7" t="str">
        <f>_xlfn.XLOOKUP(Order_Details[[#This Row],[Order ID]], List_of_orders[Order ID], List_of_orders[City])</f>
        <v>Bhopal</v>
      </c>
      <c r="K1401" s="8" t="str">
        <f>TEXT(Order_Details[[#This Row],[Order Date]], "YY-MMM")</f>
        <v>19-Mar</v>
      </c>
      <c r="L1401" s="11">
        <f>Order_Details[[#This Row],[Profit]]/Order_Details[[#This Row],[Amount]]</f>
        <v>4.3689320388349516E-2</v>
      </c>
      <c r="M1401" s="8">
        <f>YEAR(Order_Details[[#This Row],[Order Date]])</f>
        <v>2019</v>
      </c>
      <c r="N1401" s="8">
        <f>ROUNDUP(MONTH(Order_Details[[#This Row],[Order Date]])/3, 0)</f>
        <v>1</v>
      </c>
    </row>
    <row r="1402" spans="1:14">
      <c r="A1402" s="1" t="s">
        <v>1023</v>
      </c>
      <c r="B1402" s="1">
        <v>53</v>
      </c>
      <c r="C1402" s="1">
        <v>2</v>
      </c>
      <c r="D1402" s="1">
        <v>4</v>
      </c>
      <c r="E1402" s="1" t="s">
        <v>1076</v>
      </c>
      <c r="F1402" s="1" t="s">
        <v>1103</v>
      </c>
      <c r="G1402" s="7" t="str">
        <f>_xlfn.XLOOKUP(Order_Details[[#This Row],[Order ID]], List_of_orders[Order ID], List_of_orders[State])</f>
        <v>Madhya Pradesh</v>
      </c>
      <c r="H1402" s="10">
        <f>_xlfn.XLOOKUP(Order_Details[[#This Row],[Order ID]], List_of_orders[Order ID], List_of_orders[Order Date (Clean)])</f>
        <v>43540</v>
      </c>
      <c r="I1402" s="7" t="str">
        <f>_xlfn.XLOOKUP(Order_Details[[#This Row],[Order ID]], List_of_orders[Order ID], List_of_orders[CustomerName])</f>
        <v>Tulika</v>
      </c>
      <c r="J1402" s="7" t="str">
        <f>_xlfn.XLOOKUP(Order_Details[[#This Row],[Order ID]], List_of_orders[Order ID], List_of_orders[City])</f>
        <v>Bhopal</v>
      </c>
      <c r="K1402" s="8" t="str">
        <f>TEXT(Order_Details[[#This Row],[Order Date]], "YY-MMM")</f>
        <v>19-Mar</v>
      </c>
      <c r="L1402" s="11">
        <f>Order_Details[[#This Row],[Profit]]/Order_Details[[#This Row],[Amount]]</f>
        <v>3.7735849056603772E-2</v>
      </c>
      <c r="M1402" s="8">
        <f>YEAR(Order_Details[[#This Row],[Order Date]])</f>
        <v>2019</v>
      </c>
      <c r="N1402" s="8">
        <f>ROUNDUP(MONTH(Order_Details[[#This Row],[Order Date]])/3, 0)</f>
        <v>1</v>
      </c>
    </row>
    <row r="1403" spans="1:14">
      <c r="A1403" s="1" t="s">
        <v>1023</v>
      </c>
      <c r="B1403" s="1">
        <v>1120</v>
      </c>
      <c r="C1403" s="1">
        <v>199</v>
      </c>
      <c r="D1403" s="1">
        <v>6</v>
      </c>
      <c r="E1403" s="1" t="s">
        <v>1076</v>
      </c>
      <c r="F1403" s="1" t="s">
        <v>1106</v>
      </c>
      <c r="G1403" s="7" t="str">
        <f>_xlfn.XLOOKUP(Order_Details[[#This Row],[Order ID]], List_of_orders[Order ID], List_of_orders[State])</f>
        <v>Madhya Pradesh</v>
      </c>
      <c r="H1403" s="10">
        <f>_xlfn.XLOOKUP(Order_Details[[#This Row],[Order ID]], List_of_orders[Order ID], List_of_orders[Order Date (Clean)])</f>
        <v>43540</v>
      </c>
      <c r="I1403" s="7" t="str">
        <f>_xlfn.XLOOKUP(Order_Details[[#This Row],[Order ID]], List_of_orders[Order ID], List_of_orders[CustomerName])</f>
        <v>Tulika</v>
      </c>
      <c r="J1403" s="7" t="str">
        <f>_xlfn.XLOOKUP(Order_Details[[#This Row],[Order ID]], List_of_orders[Order ID], List_of_orders[City])</f>
        <v>Bhopal</v>
      </c>
      <c r="K1403" s="8" t="str">
        <f>TEXT(Order_Details[[#This Row],[Order Date]], "YY-MMM")</f>
        <v>19-Mar</v>
      </c>
      <c r="L1403" s="11">
        <f>Order_Details[[#This Row],[Profit]]/Order_Details[[#This Row],[Amount]]</f>
        <v>0.17767857142857144</v>
      </c>
      <c r="M1403" s="8">
        <f>YEAR(Order_Details[[#This Row],[Order Date]])</f>
        <v>2019</v>
      </c>
      <c r="N1403" s="8">
        <f>ROUNDUP(MONTH(Order_Details[[#This Row],[Order Date]])/3, 0)</f>
        <v>1</v>
      </c>
    </row>
    <row r="1404" spans="1:14">
      <c r="A1404" s="1" t="s">
        <v>1023</v>
      </c>
      <c r="B1404" s="1">
        <v>1137</v>
      </c>
      <c r="C1404" s="1">
        <v>-14</v>
      </c>
      <c r="D1404" s="1">
        <v>7</v>
      </c>
      <c r="E1404" s="1" t="s">
        <v>1077</v>
      </c>
      <c r="F1404" s="1" t="s">
        <v>1114</v>
      </c>
      <c r="G1404" s="7" t="str">
        <f>_xlfn.XLOOKUP(Order_Details[[#This Row],[Order ID]], List_of_orders[Order ID], List_of_orders[State])</f>
        <v>Madhya Pradesh</v>
      </c>
      <c r="H1404" s="10">
        <f>_xlfn.XLOOKUP(Order_Details[[#This Row],[Order ID]], List_of_orders[Order ID], List_of_orders[Order Date (Clean)])</f>
        <v>43540</v>
      </c>
      <c r="I1404" s="7" t="str">
        <f>_xlfn.XLOOKUP(Order_Details[[#This Row],[Order ID]], List_of_orders[Order ID], List_of_orders[CustomerName])</f>
        <v>Tulika</v>
      </c>
      <c r="J1404" s="7" t="str">
        <f>_xlfn.XLOOKUP(Order_Details[[#This Row],[Order ID]], List_of_orders[Order ID], List_of_orders[City])</f>
        <v>Bhopal</v>
      </c>
      <c r="K1404" s="8" t="str">
        <f>TEXT(Order_Details[[#This Row],[Order Date]], "YY-MMM")</f>
        <v>19-Mar</v>
      </c>
      <c r="L1404" s="11">
        <f>Order_Details[[#This Row],[Profit]]/Order_Details[[#This Row],[Amount]]</f>
        <v>-1.2313104661389622E-2</v>
      </c>
      <c r="M1404" s="8">
        <f>YEAR(Order_Details[[#This Row],[Order Date]])</f>
        <v>2019</v>
      </c>
      <c r="N1404" s="8">
        <f>ROUNDUP(MONTH(Order_Details[[#This Row],[Order Date]])/3, 0)</f>
        <v>1</v>
      </c>
    </row>
    <row r="1405" spans="1:14">
      <c r="A1405" s="1" t="s">
        <v>1023</v>
      </c>
      <c r="B1405" s="1">
        <v>67</v>
      </c>
      <c r="C1405" s="1">
        <v>2</v>
      </c>
      <c r="D1405" s="1">
        <v>4</v>
      </c>
      <c r="E1405" s="1" t="s">
        <v>1076</v>
      </c>
      <c r="F1405" s="1" t="s">
        <v>1110</v>
      </c>
      <c r="G1405" s="7" t="str">
        <f>_xlfn.XLOOKUP(Order_Details[[#This Row],[Order ID]], List_of_orders[Order ID], List_of_orders[State])</f>
        <v>Madhya Pradesh</v>
      </c>
      <c r="H1405" s="10">
        <f>_xlfn.XLOOKUP(Order_Details[[#This Row],[Order ID]], List_of_orders[Order ID], List_of_orders[Order Date (Clean)])</f>
        <v>43540</v>
      </c>
      <c r="I1405" s="7" t="str">
        <f>_xlfn.XLOOKUP(Order_Details[[#This Row],[Order ID]], List_of_orders[Order ID], List_of_orders[CustomerName])</f>
        <v>Tulika</v>
      </c>
      <c r="J1405" s="7" t="str">
        <f>_xlfn.XLOOKUP(Order_Details[[#This Row],[Order ID]], List_of_orders[Order ID], List_of_orders[City])</f>
        <v>Bhopal</v>
      </c>
      <c r="K1405" s="8" t="str">
        <f>TEXT(Order_Details[[#This Row],[Order Date]], "YY-MMM")</f>
        <v>19-Mar</v>
      </c>
      <c r="L1405" s="11">
        <f>Order_Details[[#This Row],[Profit]]/Order_Details[[#This Row],[Amount]]</f>
        <v>2.9850746268656716E-2</v>
      </c>
      <c r="M1405" s="8">
        <f>YEAR(Order_Details[[#This Row],[Order Date]])</f>
        <v>2019</v>
      </c>
      <c r="N1405" s="8">
        <f>ROUNDUP(MONTH(Order_Details[[#This Row],[Order Date]])/3, 0)</f>
        <v>1</v>
      </c>
    </row>
    <row r="1406" spans="1:14">
      <c r="A1406" s="1" t="s">
        <v>1024</v>
      </c>
      <c r="B1406" s="1">
        <v>193</v>
      </c>
      <c r="C1406" s="1">
        <v>33</v>
      </c>
      <c r="D1406" s="1">
        <v>5</v>
      </c>
      <c r="E1406" s="1" t="s">
        <v>1077</v>
      </c>
      <c r="F1406" s="1" t="s">
        <v>1115</v>
      </c>
      <c r="G1406" s="7" t="str">
        <f>_xlfn.XLOOKUP(Order_Details[[#This Row],[Order ID]], List_of_orders[Order ID], List_of_orders[State])</f>
        <v>Rajasthan</v>
      </c>
      <c r="H1406" s="10">
        <f>_xlfn.XLOOKUP(Order_Details[[#This Row],[Order ID]], List_of_orders[Order ID], List_of_orders[Order Date (Clean)])</f>
        <v>43540</v>
      </c>
      <c r="I1406" s="7" t="str">
        <f>_xlfn.XLOOKUP(Order_Details[[#This Row],[Order ID]], List_of_orders[Order ID], List_of_orders[CustomerName])</f>
        <v>Shefali</v>
      </c>
      <c r="J1406" s="7" t="str">
        <f>_xlfn.XLOOKUP(Order_Details[[#This Row],[Order ID]], List_of_orders[Order ID], List_of_orders[City])</f>
        <v>Jaipur</v>
      </c>
      <c r="K1406" s="8" t="str">
        <f>TEXT(Order_Details[[#This Row],[Order Date]], "YY-MMM")</f>
        <v>19-Mar</v>
      </c>
      <c r="L1406" s="11">
        <f>Order_Details[[#This Row],[Profit]]/Order_Details[[#This Row],[Amount]]</f>
        <v>0.17098445595854922</v>
      </c>
      <c r="M1406" s="8">
        <f>YEAR(Order_Details[[#This Row],[Order Date]])</f>
        <v>2019</v>
      </c>
      <c r="N1406" s="8">
        <f>ROUNDUP(MONTH(Order_Details[[#This Row],[Order Date]])/3, 0)</f>
        <v>1</v>
      </c>
    </row>
    <row r="1407" spans="1:14">
      <c r="A1407" s="1" t="s">
        <v>1025</v>
      </c>
      <c r="B1407" s="1">
        <v>55</v>
      </c>
      <c r="C1407" s="1">
        <v>18</v>
      </c>
      <c r="D1407" s="1">
        <v>2</v>
      </c>
      <c r="E1407" s="1" t="s">
        <v>1076</v>
      </c>
      <c r="F1407" s="1" t="s">
        <v>1109</v>
      </c>
      <c r="G1407" s="7" t="str">
        <f>_xlfn.XLOOKUP(Order_Details[[#This Row],[Order ID]], List_of_orders[Order ID], List_of_orders[State])</f>
        <v>West Bengal</v>
      </c>
      <c r="H1407" s="10">
        <f>_xlfn.XLOOKUP(Order_Details[[#This Row],[Order ID]], List_of_orders[Order ID], List_of_orders[Order Date (Clean)])</f>
        <v>43541</v>
      </c>
      <c r="I1407" s="7" t="str">
        <f>_xlfn.XLOOKUP(Order_Details[[#This Row],[Order ID]], List_of_orders[Order ID], List_of_orders[CustomerName])</f>
        <v>Sanskriti</v>
      </c>
      <c r="J1407" s="7" t="str">
        <f>_xlfn.XLOOKUP(Order_Details[[#This Row],[Order ID]], List_of_orders[Order ID], List_of_orders[City])</f>
        <v>Kolkata</v>
      </c>
      <c r="K1407" s="8" t="str">
        <f>TEXT(Order_Details[[#This Row],[Order Date]], "YY-MMM")</f>
        <v>19-Mar</v>
      </c>
      <c r="L1407" s="11">
        <f>Order_Details[[#This Row],[Profit]]/Order_Details[[#This Row],[Amount]]</f>
        <v>0.32727272727272727</v>
      </c>
      <c r="M1407" s="8">
        <f>YEAR(Order_Details[[#This Row],[Order Date]])</f>
        <v>2019</v>
      </c>
      <c r="N1407" s="8">
        <f>ROUNDUP(MONTH(Order_Details[[#This Row],[Order Date]])/3, 0)</f>
        <v>1</v>
      </c>
    </row>
    <row r="1408" spans="1:14">
      <c r="A1408" s="1" t="s">
        <v>1027</v>
      </c>
      <c r="B1408" s="1">
        <v>54</v>
      </c>
      <c r="C1408" s="1">
        <v>12</v>
      </c>
      <c r="D1408" s="1">
        <v>4</v>
      </c>
      <c r="E1408" s="1" t="s">
        <v>1076</v>
      </c>
      <c r="F1408" s="1" t="s">
        <v>1111</v>
      </c>
      <c r="G1408" s="7" t="str">
        <f>_xlfn.XLOOKUP(Order_Details[[#This Row],[Order ID]], List_of_orders[Order ID], List_of_orders[State])</f>
        <v>Karnataka</v>
      </c>
      <c r="H1408" s="10">
        <f>_xlfn.XLOOKUP(Order_Details[[#This Row],[Order ID]], List_of_orders[Order ID], List_of_orders[Order Date (Clean)])</f>
        <v>43542</v>
      </c>
      <c r="I1408" s="7" t="str">
        <f>_xlfn.XLOOKUP(Order_Details[[#This Row],[Order ID]], List_of_orders[Order ID], List_of_orders[CustomerName])</f>
        <v>Shruti</v>
      </c>
      <c r="J1408" s="7" t="str">
        <f>_xlfn.XLOOKUP(Order_Details[[#This Row],[Order ID]], List_of_orders[Order ID], List_of_orders[City])</f>
        <v>Bangalore</v>
      </c>
      <c r="K1408" s="8" t="str">
        <f>TEXT(Order_Details[[#This Row],[Order Date]], "YY-MMM")</f>
        <v>19-Mar</v>
      </c>
      <c r="L1408" s="11">
        <f>Order_Details[[#This Row],[Profit]]/Order_Details[[#This Row],[Amount]]</f>
        <v>0.22222222222222221</v>
      </c>
      <c r="M1408" s="8">
        <f>YEAR(Order_Details[[#This Row],[Order Date]])</f>
        <v>2019</v>
      </c>
      <c r="N1408" s="8">
        <f>ROUNDUP(MONTH(Order_Details[[#This Row],[Order Date]])/3, 0)</f>
        <v>1</v>
      </c>
    </row>
    <row r="1409" spans="1:14">
      <c r="A1409" s="1" t="s">
        <v>1027</v>
      </c>
      <c r="B1409" s="1">
        <v>582</v>
      </c>
      <c r="C1409" s="1">
        <v>262</v>
      </c>
      <c r="D1409" s="1">
        <v>5</v>
      </c>
      <c r="E1409" s="1" t="s">
        <v>1075</v>
      </c>
      <c r="F1409" s="1" t="s">
        <v>1116</v>
      </c>
      <c r="G1409" s="7" t="str">
        <f>_xlfn.XLOOKUP(Order_Details[[#This Row],[Order ID]], List_of_orders[Order ID], List_of_orders[State])</f>
        <v>Karnataka</v>
      </c>
      <c r="H1409" s="10">
        <f>_xlfn.XLOOKUP(Order_Details[[#This Row],[Order ID]], List_of_orders[Order ID], List_of_orders[Order Date (Clean)])</f>
        <v>43542</v>
      </c>
      <c r="I1409" s="7" t="str">
        <f>_xlfn.XLOOKUP(Order_Details[[#This Row],[Order ID]], List_of_orders[Order ID], List_of_orders[CustomerName])</f>
        <v>Shruti</v>
      </c>
      <c r="J1409" s="7" t="str">
        <f>_xlfn.XLOOKUP(Order_Details[[#This Row],[Order ID]], List_of_orders[Order ID], List_of_orders[City])</f>
        <v>Bangalore</v>
      </c>
      <c r="K1409" s="8" t="str">
        <f>TEXT(Order_Details[[#This Row],[Order Date]], "YY-MMM")</f>
        <v>19-Mar</v>
      </c>
      <c r="L1409" s="11">
        <f>Order_Details[[#This Row],[Profit]]/Order_Details[[#This Row],[Amount]]</f>
        <v>0.45017182130584193</v>
      </c>
      <c r="M1409" s="8">
        <f>YEAR(Order_Details[[#This Row],[Order Date]])</f>
        <v>2019</v>
      </c>
      <c r="N1409" s="8">
        <f>ROUNDUP(MONTH(Order_Details[[#This Row],[Order Date]])/3, 0)</f>
        <v>1</v>
      </c>
    </row>
    <row r="1410" spans="1:14">
      <c r="A1410" s="1" t="s">
        <v>1027</v>
      </c>
      <c r="B1410" s="1">
        <v>75</v>
      </c>
      <c r="C1410" s="1">
        <v>29</v>
      </c>
      <c r="D1410" s="1">
        <v>1</v>
      </c>
      <c r="E1410" s="1" t="s">
        <v>1076</v>
      </c>
      <c r="F1410" s="1" t="s">
        <v>1107</v>
      </c>
      <c r="G1410" s="7" t="str">
        <f>_xlfn.XLOOKUP(Order_Details[[#This Row],[Order ID]], List_of_orders[Order ID], List_of_orders[State])</f>
        <v>Karnataka</v>
      </c>
      <c r="H1410" s="10">
        <f>_xlfn.XLOOKUP(Order_Details[[#This Row],[Order ID]], List_of_orders[Order ID], List_of_orders[Order Date (Clean)])</f>
        <v>43542</v>
      </c>
      <c r="I1410" s="7" t="str">
        <f>_xlfn.XLOOKUP(Order_Details[[#This Row],[Order ID]], List_of_orders[Order ID], List_of_orders[CustomerName])</f>
        <v>Shruti</v>
      </c>
      <c r="J1410" s="7" t="str">
        <f>_xlfn.XLOOKUP(Order_Details[[#This Row],[Order ID]], List_of_orders[Order ID], List_of_orders[City])</f>
        <v>Bangalore</v>
      </c>
      <c r="K1410" s="8" t="str">
        <f>TEXT(Order_Details[[#This Row],[Order Date]], "YY-MMM")</f>
        <v>19-Mar</v>
      </c>
      <c r="L1410" s="11">
        <f>Order_Details[[#This Row],[Profit]]/Order_Details[[#This Row],[Amount]]</f>
        <v>0.38666666666666666</v>
      </c>
      <c r="M1410" s="8">
        <f>YEAR(Order_Details[[#This Row],[Order Date]])</f>
        <v>2019</v>
      </c>
      <c r="N1410" s="8">
        <f>ROUNDUP(MONTH(Order_Details[[#This Row],[Order Date]])/3, 0)</f>
        <v>1</v>
      </c>
    </row>
    <row r="1411" spans="1:14">
      <c r="A1411" s="1" t="s">
        <v>1027</v>
      </c>
      <c r="B1411" s="1">
        <v>14</v>
      </c>
      <c r="C1411" s="1">
        <v>7</v>
      </c>
      <c r="D1411" s="1">
        <v>2</v>
      </c>
      <c r="E1411" s="1" t="s">
        <v>1076</v>
      </c>
      <c r="F1411" s="1" t="s">
        <v>1103</v>
      </c>
      <c r="G1411" s="7" t="str">
        <f>_xlfn.XLOOKUP(Order_Details[[#This Row],[Order ID]], List_of_orders[Order ID], List_of_orders[State])</f>
        <v>Karnataka</v>
      </c>
      <c r="H1411" s="10">
        <f>_xlfn.XLOOKUP(Order_Details[[#This Row],[Order ID]], List_of_orders[Order ID], List_of_orders[Order Date (Clean)])</f>
        <v>43542</v>
      </c>
      <c r="I1411" s="7" t="str">
        <f>_xlfn.XLOOKUP(Order_Details[[#This Row],[Order ID]], List_of_orders[Order ID], List_of_orders[CustomerName])</f>
        <v>Shruti</v>
      </c>
      <c r="J1411" s="7" t="str">
        <f>_xlfn.XLOOKUP(Order_Details[[#This Row],[Order ID]], List_of_orders[Order ID], List_of_orders[City])</f>
        <v>Bangalore</v>
      </c>
      <c r="K1411" s="8" t="str">
        <f>TEXT(Order_Details[[#This Row],[Order Date]], "YY-MMM")</f>
        <v>19-Mar</v>
      </c>
      <c r="L1411" s="11">
        <f>Order_Details[[#This Row],[Profit]]/Order_Details[[#This Row],[Amount]]</f>
        <v>0.5</v>
      </c>
      <c r="M1411" s="8">
        <f>YEAR(Order_Details[[#This Row],[Order Date]])</f>
        <v>2019</v>
      </c>
      <c r="N1411" s="8">
        <f>ROUNDUP(MONTH(Order_Details[[#This Row],[Order Date]])/3, 0)</f>
        <v>1</v>
      </c>
    </row>
    <row r="1412" spans="1:14">
      <c r="A1412" s="1" t="s">
        <v>1029</v>
      </c>
      <c r="B1412" s="1">
        <v>21</v>
      </c>
      <c r="C1412" s="1">
        <v>4</v>
      </c>
      <c r="D1412" s="1">
        <v>3</v>
      </c>
      <c r="E1412" s="1" t="s">
        <v>1076</v>
      </c>
      <c r="F1412" s="1" t="s">
        <v>1103</v>
      </c>
      <c r="G1412" s="7" t="str">
        <f>_xlfn.XLOOKUP(Order_Details[[#This Row],[Order ID]], List_of_orders[Order ID], List_of_orders[State])</f>
        <v>Jammu and Kashmir</v>
      </c>
      <c r="H1412" s="10">
        <f>_xlfn.XLOOKUP(Order_Details[[#This Row],[Order ID]], List_of_orders[Order ID], List_of_orders[Order Date (Clean)])</f>
        <v>43543</v>
      </c>
      <c r="I1412" s="7" t="str">
        <f>_xlfn.XLOOKUP(Order_Details[[#This Row],[Order ID]], List_of_orders[Order ID], List_of_orders[CustomerName])</f>
        <v>Subhashree</v>
      </c>
      <c r="J1412" s="7" t="str">
        <f>_xlfn.XLOOKUP(Order_Details[[#This Row],[Order ID]], List_of_orders[Order ID], List_of_orders[City])</f>
        <v>Kashmir</v>
      </c>
      <c r="K1412" s="8" t="str">
        <f>TEXT(Order_Details[[#This Row],[Order Date]], "YY-MMM")</f>
        <v>19-Mar</v>
      </c>
      <c r="L1412" s="11">
        <f>Order_Details[[#This Row],[Profit]]/Order_Details[[#This Row],[Amount]]</f>
        <v>0.19047619047619047</v>
      </c>
      <c r="M1412" s="8">
        <f>YEAR(Order_Details[[#This Row],[Order Date]])</f>
        <v>2019</v>
      </c>
      <c r="N1412" s="8">
        <f>ROUNDUP(MONTH(Order_Details[[#This Row],[Order Date]])/3, 0)</f>
        <v>1</v>
      </c>
    </row>
    <row r="1413" spans="1:14">
      <c r="A1413" s="1" t="s">
        <v>1031</v>
      </c>
      <c r="B1413" s="1">
        <v>313</v>
      </c>
      <c r="C1413" s="1">
        <v>44</v>
      </c>
      <c r="D1413" s="1">
        <v>3</v>
      </c>
      <c r="E1413" s="1" t="s">
        <v>1077</v>
      </c>
      <c r="F1413" s="1" t="s">
        <v>1104</v>
      </c>
      <c r="G1413" s="7" t="str">
        <f>_xlfn.XLOOKUP(Order_Details[[#This Row],[Order ID]], List_of_orders[Order ID], List_of_orders[State])</f>
        <v>Maharashtra</v>
      </c>
      <c r="H1413" s="10">
        <f>_xlfn.XLOOKUP(Order_Details[[#This Row],[Order ID]], List_of_orders[Order ID], List_of_orders[Order Date (Clean)])</f>
        <v>43544</v>
      </c>
      <c r="I1413" s="7" t="str">
        <f>_xlfn.XLOOKUP(Order_Details[[#This Row],[Order ID]], List_of_orders[Order ID], List_of_orders[CustomerName])</f>
        <v>Sweta</v>
      </c>
      <c r="J1413" s="7" t="str">
        <f>_xlfn.XLOOKUP(Order_Details[[#This Row],[Order ID]], List_of_orders[Order ID], List_of_orders[City])</f>
        <v>Mumbai</v>
      </c>
      <c r="K1413" s="8" t="str">
        <f>TEXT(Order_Details[[#This Row],[Order Date]], "YY-MMM")</f>
        <v>19-Mar</v>
      </c>
      <c r="L1413" s="11">
        <f>Order_Details[[#This Row],[Profit]]/Order_Details[[#This Row],[Amount]]</f>
        <v>0.14057507987220447</v>
      </c>
      <c r="M1413" s="8">
        <f>YEAR(Order_Details[[#This Row],[Order Date]])</f>
        <v>2019</v>
      </c>
      <c r="N1413" s="8">
        <f>ROUNDUP(MONTH(Order_Details[[#This Row],[Order Date]])/3, 0)</f>
        <v>1</v>
      </c>
    </row>
    <row r="1414" spans="1:14">
      <c r="A1414" s="1" t="s">
        <v>1033</v>
      </c>
      <c r="B1414" s="1">
        <v>37</v>
      </c>
      <c r="C1414" s="1">
        <v>17</v>
      </c>
      <c r="D1414" s="1">
        <v>3</v>
      </c>
      <c r="E1414" s="1" t="s">
        <v>1076</v>
      </c>
      <c r="F1414" s="1" t="s">
        <v>1103</v>
      </c>
      <c r="G1414" s="7" t="str">
        <f>_xlfn.XLOOKUP(Order_Details[[#This Row],[Order ID]], List_of_orders[Order ID], List_of_orders[State])</f>
        <v>Madhya Pradesh</v>
      </c>
      <c r="H1414" s="10">
        <f>_xlfn.XLOOKUP(Order_Details[[#This Row],[Order ID]], List_of_orders[Order ID], List_of_orders[Order Date (Clean)])</f>
        <v>43545</v>
      </c>
      <c r="I1414" s="7" t="str">
        <f>_xlfn.XLOOKUP(Order_Details[[#This Row],[Order ID]], List_of_orders[Order ID], List_of_orders[CustomerName])</f>
        <v>Pournamasi</v>
      </c>
      <c r="J1414" s="7" t="str">
        <f>_xlfn.XLOOKUP(Order_Details[[#This Row],[Order ID]], List_of_orders[Order ID], List_of_orders[City])</f>
        <v>Indore</v>
      </c>
      <c r="K1414" s="8" t="str">
        <f>TEXT(Order_Details[[#This Row],[Order Date]], "YY-MMM")</f>
        <v>19-Mar</v>
      </c>
      <c r="L1414" s="11">
        <f>Order_Details[[#This Row],[Profit]]/Order_Details[[#This Row],[Amount]]</f>
        <v>0.45945945945945948</v>
      </c>
      <c r="M1414" s="8">
        <f>YEAR(Order_Details[[#This Row],[Order Date]])</f>
        <v>2019</v>
      </c>
      <c r="N1414" s="8">
        <f>ROUNDUP(MONTH(Order_Details[[#This Row],[Order Date]])/3, 0)</f>
        <v>1</v>
      </c>
    </row>
    <row r="1415" spans="1:14">
      <c r="A1415" s="1" t="s">
        <v>1033</v>
      </c>
      <c r="B1415" s="1">
        <v>290</v>
      </c>
      <c r="C1415" s="1">
        <v>110</v>
      </c>
      <c r="D1415" s="1">
        <v>9</v>
      </c>
      <c r="E1415" s="1" t="s">
        <v>1076</v>
      </c>
      <c r="F1415" s="1" t="s">
        <v>1102</v>
      </c>
      <c r="G1415" s="7" t="str">
        <f>_xlfn.XLOOKUP(Order_Details[[#This Row],[Order ID]], List_of_orders[Order ID], List_of_orders[State])</f>
        <v>Madhya Pradesh</v>
      </c>
      <c r="H1415" s="10">
        <f>_xlfn.XLOOKUP(Order_Details[[#This Row],[Order ID]], List_of_orders[Order ID], List_of_orders[Order Date (Clean)])</f>
        <v>43545</v>
      </c>
      <c r="I1415" s="7" t="str">
        <f>_xlfn.XLOOKUP(Order_Details[[#This Row],[Order ID]], List_of_orders[Order ID], List_of_orders[CustomerName])</f>
        <v>Pournamasi</v>
      </c>
      <c r="J1415" s="7" t="str">
        <f>_xlfn.XLOOKUP(Order_Details[[#This Row],[Order ID]], List_of_orders[Order ID], List_of_orders[City])</f>
        <v>Indore</v>
      </c>
      <c r="K1415" s="8" t="str">
        <f>TEXT(Order_Details[[#This Row],[Order Date]], "YY-MMM")</f>
        <v>19-Mar</v>
      </c>
      <c r="L1415" s="11">
        <f>Order_Details[[#This Row],[Profit]]/Order_Details[[#This Row],[Amount]]</f>
        <v>0.37931034482758619</v>
      </c>
      <c r="M1415" s="8">
        <f>YEAR(Order_Details[[#This Row],[Order Date]])</f>
        <v>2019</v>
      </c>
      <c r="N1415" s="8">
        <f>ROUNDUP(MONTH(Order_Details[[#This Row],[Order Date]])/3, 0)</f>
        <v>1</v>
      </c>
    </row>
    <row r="1416" spans="1:14">
      <c r="A1416" s="1" t="s">
        <v>1033</v>
      </c>
      <c r="B1416" s="1">
        <v>122</v>
      </c>
      <c r="C1416" s="1">
        <v>11</v>
      </c>
      <c r="D1416" s="1">
        <v>4</v>
      </c>
      <c r="E1416" s="1" t="s">
        <v>1076</v>
      </c>
      <c r="F1416" s="1" t="s">
        <v>1103</v>
      </c>
      <c r="G1416" s="7" t="str">
        <f>_xlfn.XLOOKUP(Order_Details[[#This Row],[Order ID]], List_of_orders[Order ID], List_of_orders[State])</f>
        <v>Madhya Pradesh</v>
      </c>
      <c r="H1416" s="10">
        <f>_xlfn.XLOOKUP(Order_Details[[#This Row],[Order ID]], List_of_orders[Order ID], List_of_orders[Order Date (Clean)])</f>
        <v>43545</v>
      </c>
      <c r="I1416" s="7" t="str">
        <f>_xlfn.XLOOKUP(Order_Details[[#This Row],[Order ID]], List_of_orders[Order ID], List_of_orders[CustomerName])</f>
        <v>Pournamasi</v>
      </c>
      <c r="J1416" s="7" t="str">
        <f>_xlfn.XLOOKUP(Order_Details[[#This Row],[Order ID]], List_of_orders[Order ID], List_of_orders[City])</f>
        <v>Indore</v>
      </c>
      <c r="K1416" s="8" t="str">
        <f>TEXT(Order_Details[[#This Row],[Order Date]], "YY-MMM")</f>
        <v>19-Mar</v>
      </c>
      <c r="L1416" s="11">
        <f>Order_Details[[#This Row],[Profit]]/Order_Details[[#This Row],[Amount]]</f>
        <v>9.0163934426229511E-2</v>
      </c>
      <c r="M1416" s="8">
        <f>YEAR(Order_Details[[#This Row],[Order Date]])</f>
        <v>2019</v>
      </c>
      <c r="N1416" s="8">
        <f>ROUNDUP(MONTH(Order_Details[[#This Row],[Order Date]])/3, 0)</f>
        <v>1</v>
      </c>
    </row>
    <row r="1417" spans="1:14">
      <c r="A1417" s="1" t="s">
        <v>1033</v>
      </c>
      <c r="B1417" s="1">
        <v>29</v>
      </c>
      <c r="C1417" s="1">
        <v>9</v>
      </c>
      <c r="D1417" s="1">
        <v>3</v>
      </c>
      <c r="E1417" s="1" t="s">
        <v>1076</v>
      </c>
      <c r="F1417" s="1" t="s">
        <v>1106</v>
      </c>
      <c r="G1417" s="7" t="str">
        <f>_xlfn.XLOOKUP(Order_Details[[#This Row],[Order ID]], List_of_orders[Order ID], List_of_orders[State])</f>
        <v>Madhya Pradesh</v>
      </c>
      <c r="H1417" s="10">
        <f>_xlfn.XLOOKUP(Order_Details[[#This Row],[Order ID]], List_of_orders[Order ID], List_of_orders[Order Date (Clean)])</f>
        <v>43545</v>
      </c>
      <c r="I1417" s="7" t="str">
        <f>_xlfn.XLOOKUP(Order_Details[[#This Row],[Order ID]], List_of_orders[Order ID], List_of_orders[CustomerName])</f>
        <v>Pournamasi</v>
      </c>
      <c r="J1417" s="7" t="str">
        <f>_xlfn.XLOOKUP(Order_Details[[#This Row],[Order ID]], List_of_orders[Order ID], List_of_orders[City])</f>
        <v>Indore</v>
      </c>
      <c r="K1417" s="8" t="str">
        <f>TEXT(Order_Details[[#This Row],[Order Date]], "YY-MMM")</f>
        <v>19-Mar</v>
      </c>
      <c r="L1417" s="11">
        <f>Order_Details[[#This Row],[Profit]]/Order_Details[[#This Row],[Amount]]</f>
        <v>0.31034482758620691</v>
      </c>
      <c r="M1417" s="8">
        <f>YEAR(Order_Details[[#This Row],[Order Date]])</f>
        <v>2019</v>
      </c>
      <c r="N1417" s="8">
        <f>ROUNDUP(MONTH(Order_Details[[#This Row],[Order Date]])/3, 0)</f>
        <v>1</v>
      </c>
    </row>
    <row r="1418" spans="1:14">
      <c r="A1418" s="1" t="s">
        <v>1033</v>
      </c>
      <c r="B1418" s="1">
        <v>1514</v>
      </c>
      <c r="C1418" s="1">
        <v>742</v>
      </c>
      <c r="D1418" s="1">
        <v>4</v>
      </c>
      <c r="E1418" s="1" t="s">
        <v>1077</v>
      </c>
      <c r="F1418" s="1" t="s">
        <v>1114</v>
      </c>
      <c r="G1418" s="7" t="str">
        <f>_xlfn.XLOOKUP(Order_Details[[#This Row],[Order ID]], List_of_orders[Order ID], List_of_orders[State])</f>
        <v>Madhya Pradesh</v>
      </c>
      <c r="H1418" s="10">
        <f>_xlfn.XLOOKUP(Order_Details[[#This Row],[Order ID]], List_of_orders[Order ID], List_of_orders[Order Date (Clean)])</f>
        <v>43545</v>
      </c>
      <c r="I1418" s="7" t="str">
        <f>_xlfn.XLOOKUP(Order_Details[[#This Row],[Order ID]], List_of_orders[Order ID], List_of_orders[CustomerName])</f>
        <v>Pournamasi</v>
      </c>
      <c r="J1418" s="7" t="str">
        <f>_xlfn.XLOOKUP(Order_Details[[#This Row],[Order ID]], List_of_orders[Order ID], List_of_orders[City])</f>
        <v>Indore</v>
      </c>
      <c r="K1418" s="8" t="str">
        <f>TEXT(Order_Details[[#This Row],[Order Date]], "YY-MMM")</f>
        <v>19-Mar</v>
      </c>
      <c r="L1418" s="11">
        <f>Order_Details[[#This Row],[Profit]]/Order_Details[[#This Row],[Amount]]</f>
        <v>0.49009247027741082</v>
      </c>
      <c r="M1418" s="8">
        <f>YEAR(Order_Details[[#This Row],[Order Date]])</f>
        <v>2019</v>
      </c>
      <c r="N1418" s="8">
        <f>ROUNDUP(MONTH(Order_Details[[#This Row],[Order Date]])/3, 0)</f>
        <v>1</v>
      </c>
    </row>
    <row r="1419" spans="1:14">
      <c r="A1419" s="1" t="s">
        <v>1035</v>
      </c>
      <c r="B1419" s="1">
        <v>57</v>
      </c>
      <c r="C1419" s="1">
        <v>21</v>
      </c>
      <c r="D1419" s="1">
        <v>4</v>
      </c>
      <c r="E1419" s="1" t="s">
        <v>1076</v>
      </c>
      <c r="F1419" s="1" t="s">
        <v>1112</v>
      </c>
      <c r="G1419" s="7" t="str">
        <f>_xlfn.XLOOKUP(Order_Details[[#This Row],[Order ID]], List_of_orders[Order ID], List_of_orders[State])</f>
        <v>Gujarat</v>
      </c>
      <c r="H1419" s="10">
        <f>_xlfn.XLOOKUP(Order_Details[[#This Row],[Order ID]], List_of_orders[Order ID], List_of_orders[Order Date (Clean)])</f>
        <v>43545</v>
      </c>
      <c r="I1419" s="7" t="str">
        <f>_xlfn.XLOOKUP(Order_Details[[#This Row],[Order ID]], List_of_orders[Order ID], List_of_orders[CustomerName])</f>
        <v>Bharat</v>
      </c>
      <c r="J1419" s="7" t="str">
        <f>_xlfn.XLOOKUP(Order_Details[[#This Row],[Order ID]], List_of_orders[Order ID], List_of_orders[City])</f>
        <v>Ahmedabad</v>
      </c>
      <c r="K1419" s="8" t="str">
        <f>TEXT(Order_Details[[#This Row],[Order Date]], "YY-MMM")</f>
        <v>19-Mar</v>
      </c>
      <c r="L1419" s="11">
        <f>Order_Details[[#This Row],[Profit]]/Order_Details[[#This Row],[Amount]]</f>
        <v>0.36842105263157893</v>
      </c>
      <c r="M1419" s="8">
        <f>YEAR(Order_Details[[#This Row],[Order Date]])</f>
        <v>2019</v>
      </c>
      <c r="N1419" s="8">
        <f>ROUNDUP(MONTH(Order_Details[[#This Row],[Order Date]])/3, 0)</f>
        <v>1</v>
      </c>
    </row>
    <row r="1420" spans="1:14">
      <c r="A1420" s="1" t="s">
        <v>1036</v>
      </c>
      <c r="B1420" s="1">
        <v>34</v>
      </c>
      <c r="C1420" s="1">
        <v>12</v>
      </c>
      <c r="D1420" s="1">
        <v>2</v>
      </c>
      <c r="E1420" s="1" t="s">
        <v>1076</v>
      </c>
      <c r="F1420" s="1" t="s">
        <v>1102</v>
      </c>
      <c r="G1420" s="7" t="str">
        <f>_xlfn.XLOOKUP(Order_Details[[#This Row],[Order ID]], List_of_orders[Order ID], List_of_orders[State])</f>
        <v>Maharashtra</v>
      </c>
      <c r="H1420" s="10">
        <f>_xlfn.XLOOKUP(Order_Details[[#This Row],[Order ID]], List_of_orders[Order ID], List_of_orders[Order Date (Clean)])</f>
        <v>43545</v>
      </c>
      <c r="I1420" s="7" t="str">
        <f>_xlfn.XLOOKUP(Order_Details[[#This Row],[Order ID]], List_of_orders[Order ID], List_of_orders[CustomerName])</f>
        <v>Pearl</v>
      </c>
      <c r="J1420" s="7" t="str">
        <f>_xlfn.XLOOKUP(Order_Details[[#This Row],[Order ID]], List_of_orders[Order ID], List_of_orders[City])</f>
        <v>Pune</v>
      </c>
      <c r="K1420" s="8" t="str">
        <f>TEXT(Order_Details[[#This Row],[Order Date]], "YY-MMM")</f>
        <v>19-Mar</v>
      </c>
      <c r="L1420" s="11">
        <f>Order_Details[[#This Row],[Profit]]/Order_Details[[#This Row],[Amount]]</f>
        <v>0.35294117647058826</v>
      </c>
      <c r="M1420" s="8">
        <f>YEAR(Order_Details[[#This Row],[Order Date]])</f>
        <v>2019</v>
      </c>
      <c r="N1420" s="8">
        <f>ROUNDUP(MONTH(Order_Details[[#This Row],[Order Date]])/3, 0)</f>
        <v>1</v>
      </c>
    </row>
    <row r="1421" spans="1:14">
      <c r="A1421" s="1" t="s">
        <v>1037</v>
      </c>
      <c r="B1421" s="1">
        <v>91</v>
      </c>
      <c r="C1421" s="1">
        <v>22</v>
      </c>
      <c r="D1421" s="1">
        <v>2</v>
      </c>
      <c r="E1421" s="1" t="s">
        <v>1076</v>
      </c>
      <c r="F1421" s="1" t="s">
        <v>1102</v>
      </c>
      <c r="G1421" s="7" t="str">
        <f>_xlfn.XLOOKUP(Order_Details[[#This Row],[Order ID]], List_of_orders[Order ID], List_of_orders[State])</f>
        <v>Madhya Pradesh</v>
      </c>
      <c r="H1421" s="10">
        <f>_xlfn.XLOOKUP(Order_Details[[#This Row],[Order ID]], List_of_orders[Order ID], List_of_orders[Order Date (Clean)])</f>
        <v>43545</v>
      </c>
      <c r="I1421" s="7" t="str">
        <f>_xlfn.XLOOKUP(Order_Details[[#This Row],[Order ID]], List_of_orders[Order ID], List_of_orders[CustomerName])</f>
        <v>Jahan</v>
      </c>
      <c r="J1421" s="7" t="str">
        <f>_xlfn.XLOOKUP(Order_Details[[#This Row],[Order ID]], List_of_orders[Order ID], List_of_orders[City])</f>
        <v>Bhopal</v>
      </c>
      <c r="K1421" s="8" t="str">
        <f>TEXT(Order_Details[[#This Row],[Order Date]], "YY-MMM")</f>
        <v>19-Mar</v>
      </c>
      <c r="L1421" s="11">
        <f>Order_Details[[#This Row],[Profit]]/Order_Details[[#This Row],[Amount]]</f>
        <v>0.24175824175824176</v>
      </c>
      <c r="M1421" s="8">
        <f>YEAR(Order_Details[[#This Row],[Order Date]])</f>
        <v>2019</v>
      </c>
      <c r="N1421" s="8">
        <f>ROUNDUP(MONTH(Order_Details[[#This Row],[Order Date]])/3, 0)</f>
        <v>1</v>
      </c>
    </row>
    <row r="1422" spans="1:14">
      <c r="A1422" s="1" t="s">
        <v>1037</v>
      </c>
      <c r="B1422" s="1">
        <v>133</v>
      </c>
      <c r="C1422" s="1">
        <v>46</v>
      </c>
      <c r="D1422" s="1">
        <v>5</v>
      </c>
      <c r="E1422" s="1" t="s">
        <v>1076</v>
      </c>
      <c r="F1422" s="1" t="s">
        <v>1111</v>
      </c>
      <c r="G1422" s="7" t="str">
        <f>_xlfn.XLOOKUP(Order_Details[[#This Row],[Order ID]], List_of_orders[Order ID], List_of_orders[State])</f>
        <v>Madhya Pradesh</v>
      </c>
      <c r="H1422" s="10">
        <f>_xlfn.XLOOKUP(Order_Details[[#This Row],[Order ID]], List_of_orders[Order ID], List_of_orders[Order Date (Clean)])</f>
        <v>43545</v>
      </c>
      <c r="I1422" s="7" t="str">
        <f>_xlfn.XLOOKUP(Order_Details[[#This Row],[Order ID]], List_of_orders[Order ID], List_of_orders[CustomerName])</f>
        <v>Jahan</v>
      </c>
      <c r="J1422" s="7" t="str">
        <f>_xlfn.XLOOKUP(Order_Details[[#This Row],[Order ID]], List_of_orders[Order ID], List_of_orders[City])</f>
        <v>Bhopal</v>
      </c>
      <c r="K1422" s="8" t="str">
        <f>TEXT(Order_Details[[#This Row],[Order Date]], "YY-MMM")</f>
        <v>19-Mar</v>
      </c>
      <c r="L1422" s="11">
        <f>Order_Details[[#This Row],[Profit]]/Order_Details[[#This Row],[Amount]]</f>
        <v>0.34586466165413532</v>
      </c>
      <c r="M1422" s="8">
        <f>YEAR(Order_Details[[#This Row],[Order Date]])</f>
        <v>2019</v>
      </c>
      <c r="N1422" s="8">
        <f>ROUNDUP(MONTH(Order_Details[[#This Row],[Order Date]])/3, 0)</f>
        <v>1</v>
      </c>
    </row>
    <row r="1423" spans="1:14">
      <c r="A1423" s="1" t="s">
        <v>1037</v>
      </c>
      <c r="B1423" s="1">
        <v>60</v>
      </c>
      <c r="C1423" s="1">
        <v>13</v>
      </c>
      <c r="D1423" s="1">
        <v>2</v>
      </c>
      <c r="E1423" s="1" t="s">
        <v>1076</v>
      </c>
      <c r="F1423" s="1" t="s">
        <v>1110</v>
      </c>
      <c r="G1423" s="7" t="str">
        <f>_xlfn.XLOOKUP(Order_Details[[#This Row],[Order ID]], List_of_orders[Order ID], List_of_orders[State])</f>
        <v>Madhya Pradesh</v>
      </c>
      <c r="H1423" s="10">
        <f>_xlfn.XLOOKUP(Order_Details[[#This Row],[Order ID]], List_of_orders[Order ID], List_of_orders[Order Date (Clean)])</f>
        <v>43545</v>
      </c>
      <c r="I1423" s="7" t="str">
        <f>_xlfn.XLOOKUP(Order_Details[[#This Row],[Order ID]], List_of_orders[Order ID], List_of_orders[CustomerName])</f>
        <v>Jahan</v>
      </c>
      <c r="J1423" s="7" t="str">
        <f>_xlfn.XLOOKUP(Order_Details[[#This Row],[Order ID]], List_of_orders[Order ID], List_of_orders[City])</f>
        <v>Bhopal</v>
      </c>
      <c r="K1423" s="8" t="str">
        <f>TEXT(Order_Details[[#This Row],[Order Date]], "YY-MMM")</f>
        <v>19-Mar</v>
      </c>
      <c r="L1423" s="11">
        <f>Order_Details[[#This Row],[Profit]]/Order_Details[[#This Row],[Amount]]</f>
        <v>0.21666666666666667</v>
      </c>
      <c r="M1423" s="8">
        <f>YEAR(Order_Details[[#This Row],[Order Date]])</f>
        <v>2019</v>
      </c>
      <c r="N1423" s="8">
        <f>ROUNDUP(MONTH(Order_Details[[#This Row],[Order Date]])/3, 0)</f>
        <v>1</v>
      </c>
    </row>
    <row r="1424" spans="1:14">
      <c r="A1424" s="1" t="s">
        <v>1037</v>
      </c>
      <c r="B1424" s="1">
        <v>19</v>
      </c>
      <c r="C1424" s="1">
        <v>4</v>
      </c>
      <c r="D1424" s="1">
        <v>2</v>
      </c>
      <c r="E1424" s="1" t="s">
        <v>1076</v>
      </c>
      <c r="F1424" s="1" t="s">
        <v>1106</v>
      </c>
      <c r="G1424" s="7" t="str">
        <f>_xlfn.XLOOKUP(Order_Details[[#This Row],[Order ID]], List_of_orders[Order ID], List_of_orders[State])</f>
        <v>Madhya Pradesh</v>
      </c>
      <c r="H1424" s="10">
        <f>_xlfn.XLOOKUP(Order_Details[[#This Row],[Order ID]], List_of_orders[Order ID], List_of_orders[Order Date (Clean)])</f>
        <v>43545</v>
      </c>
      <c r="I1424" s="7" t="str">
        <f>_xlfn.XLOOKUP(Order_Details[[#This Row],[Order ID]], List_of_orders[Order ID], List_of_orders[CustomerName])</f>
        <v>Jahan</v>
      </c>
      <c r="J1424" s="7" t="str">
        <f>_xlfn.XLOOKUP(Order_Details[[#This Row],[Order ID]], List_of_orders[Order ID], List_of_orders[City])</f>
        <v>Bhopal</v>
      </c>
      <c r="K1424" s="8" t="str">
        <f>TEXT(Order_Details[[#This Row],[Order Date]], "YY-MMM")</f>
        <v>19-Mar</v>
      </c>
      <c r="L1424" s="11">
        <f>Order_Details[[#This Row],[Profit]]/Order_Details[[#This Row],[Amount]]</f>
        <v>0.21052631578947367</v>
      </c>
      <c r="M1424" s="8">
        <f>YEAR(Order_Details[[#This Row],[Order Date]])</f>
        <v>2019</v>
      </c>
      <c r="N1424" s="8">
        <f>ROUNDUP(MONTH(Order_Details[[#This Row],[Order Date]])/3, 0)</f>
        <v>1</v>
      </c>
    </row>
    <row r="1425" spans="1:14">
      <c r="A1425" s="1" t="s">
        <v>1037</v>
      </c>
      <c r="B1425" s="1">
        <v>450</v>
      </c>
      <c r="C1425" s="1">
        <v>190</v>
      </c>
      <c r="D1425" s="1">
        <v>4</v>
      </c>
      <c r="E1425" s="1" t="s">
        <v>1075</v>
      </c>
      <c r="F1425" s="1" t="s">
        <v>1101</v>
      </c>
      <c r="G1425" s="7" t="str">
        <f>_xlfn.XLOOKUP(Order_Details[[#This Row],[Order ID]], List_of_orders[Order ID], List_of_orders[State])</f>
        <v>Madhya Pradesh</v>
      </c>
      <c r="H1425" s="10">
        <f>_xlfn.XLOOKUP(Order_Details[[#This Row],[Order ID]], List_of_orders[Order ID], List_of_orders[Order Date (Clean)])</f>
        <v>43545</v>
      </c>
      <c r="I1425" s="7" t="str">
        <f>_xlfn.XLOOKUP(Order_Details[[#This Row],[Order ID]], List_of_orders[Order ID], List_of_orders[CustomerName])</f>
        <v>Jahan</v>
      </c>
      <c r="J1425" s="7" t="str">
        <f>_xlfn.XLOOKUP(Order_Details[[#This Row],[Order ID]], List_of_orders[Order ID], List_of_orders[City])</f>
        <v>Bhopal</v>
      </c>
      <c r="K1425" s="8" t="str">
        <f>TEXT(Order_Details[[#This Row],[Order Date]], "YY-MMM")</f>
        <v>19-Mar</v>
      </c>
      <c r="L1425" s="11">
        <f>Order_Details[[#This Row],[Profit]]/Order_Details[[#This Row],[Amount]]</f>
        <v>0.42222222222222222</v>
      </c>
      <c r="M1425" s="8">
        <f>YEAR(Order_Details[[#This Row],[Order Date]])</f>
        <v>2019</v>
      </c>
      <c r="N1425" s="8">
        <f>ROUNDUP(MONTH(Order_Details[[#This Row],[Order Date]])/3, 0)</f>
        <v>1</v>
      </c>
    </row>
    <row r="1426" spans="1:14">
      <c r="A1426" s="1" t="s">
        <v>1038</v>
      </c>
      <c r="B1426" s="1">
        <v>62</v>
      </c>
      <c r="C1426" s="1">
        <v>11</v>
      </c>
      <c r="D1426" s="1">
        <v>7</v>
      </c>
      <c r="E1426" s="1" t="s">
        <v>1076</v>
      </c>
      <c r="F1426" s="1" t="s">
        <v>1103</v>
      </c>
      <c r="G1426" s="7" t="str">
        <f>_xlfn.XLOOKUP(Order_Details[[#This Row],[Order ID]], List_of_orders[Order ID], List_of_orders[State])</f>
        <v>Rajasthan</v>
      </c>
      <c r="H1426" s="10">
        <f>_xlfn.XLOOKUP(Order_Details[[#This Row],[Order ID]], List_of_orders[Order ID], List_of_orders[Order Date (Clean)])</f>
        <v>43546</v>
      </c>
      <c r="I1426" s="7" t="str">
        <f>_xlfn.XLOOKUP(Order_Details[[#This Row],[Order ID]], List_of_orders[Order ID], List_of_orders[CustomerName])</f>
        <v>Divsha</v>
      </c>
      <c r="J1426" s="7" t="str">
        <f>_xlfn.XLOOKUP(Order_Details[[#This Row],[Order ID]], List_of_orders[Order ID], List_of_orders[City])</f>
        <v>Jaipur</v>
      </c>
      <c r="K1426" s="8" t="str">
        <f>TEXT(Order_Details[[#This Row],[Order Date]], "YY-MMM")</f>
        <v>19-Mar</v>
      </c>
      <c r="L1426" s="11">
        <f>Order_Details[[#This Row],[Profit]]/Order_Details[[#This Row],[Amount]]</f>
        <v>0.17741935483870969</v>
      </c>
      <c r="M1426" s="8">
        <f>YEAR(Order_Details[[#This Row],[Order Date]])</f>
        <v>2019</v>
      </c>
      <c r="N1426" s="8">
        <f>ROUNDUP(MONTH(Order_Details[[#This Row],[Order Date]])/3, 0)</f>
        <v>1</v>
      </c>
    </row>
    <row r="1427" spans="1:14">
      <c r="A1427" s="1" t="s">
        <v>1040</v>
      </c>
      <c r="B1427" s="1">
        <v>17</v>
      </c>
      <c r="C1427" s="1">
        <v>8</v>
      </c>
      <c r="D1427" s="1">
        <v>2</v>
      </c>
      <c r="E1427" s="1" t="s">
        <v>1076</v>
      </c>
      <c r="F1427" s="1" t="s">
        <v>1117</v>
      </c>
      <c r="G1427" s="7" t="str">
        <f>_xlfn.XLOOKUP(Order_Details[[#This Row],[Order ID]], List_of_orders[Order ID], List_of_orders[State])</f>
        <v>West Bengal</v>
      </c>
      <c r="H1427" s="10">
        <f>_xlfn.XLOOKUP(Order_Details[[#This Row],[Order ID]], List_of_orders[Order ID], List_of_orders[Order Date (Clean)])</f>
        <v>43546</v>
      </c>
      <c r="I1427" s="7" t="str">
        <f>_xlfn.XLOOKUP(Order_Details[[#This Row],[Order ID]], List_of_orders[Order ID], List_of_orders[CustomerName])</f>
        <v>Kasheen</v>
      </c>
      <c r="J1427" s="7" t="str">
        <f>_xlfn.XLOOKUP(Order_Details[[#This Row],[Order ID]], List_of_orders[Order ID], List_of_orders[City])</f>
        <v>Kolkata</v>
      </c>
      <c r="K1427" s="8" t="str">
        <f>TEXT(Order_Details[[#This Row],[Order Date]], "YY-MMM")</f>
        <v>19-Mar</v>
      </c>
      <c r="L1427" s="11">
        <f>Order_Details[[#This Row],[Profit]]/Order_Details[[#This Row],[Amount]]</f>
        <v>0.47058823529411764</v>
      </c>
      <c r="M1427" s="8">
        <f>YEAR(Order_Details[[#This Row],[Order Date]])</f>
        <v>2019</v>
      </c>
      <c r="N1427" s="8">
        <f>ROUNDUP(MONTH(Order_Details[[#This Row],[Order Date]])/3, 0)</f>
        <v>1</v>
      </c>
    </row>
    <row r="1428" spans="1:14">
      <c r="A1428" s="1" t="s">
        <v>1040</v>
      </c>
      <c r="B1428" s="1">
        <v>44</v>
      </c>
      <c r="C1428" s="1">
        <v>20</v>
      </c>
      <c r="D1428" s="1">
        <v>2</v>
      </c>
      <c r="E1428" s="1" t="s">
        <v>1076</v>
      </c>
      <c r="F1428" s="1" t="s">
        <v>1110</v>
      </c>
      <c r="G1428" s="7" t="str">
        <f>_xlfn.XLOOKUP(Order_Details[[#This Row],[Order ID]], List_of_orders[Order ID], List_of_orders[State])</f>
        <v>West Bengal</v>
      </c>
      <c r="H1428" s="10">
        <f>_xlfn.XLOOKUP(Order_Details[[#This Row],[Order ID]], List_of_orders[Order ID], List_of_orders[Order Date (Clean)])</f>
        <v>43546</v>
      </c>
      <c r="I1428" s="7" t="str">
        <f>_xlfn.XLOOKUP(Order_Details[[#This Row],[Order ID]], List_of_orders[Order ID], List_of_orders[CustomerName])</f>
        <v>Kasheen</v>
      </c>
      <c r="J1428" s="7" t="str">
        <f>_xlfn.XLOOKUP(Order_Details[[#This Row],[Order ID]], List_of_orders[Order ID], List_of_orders[City])</f>
        <v>Kolkata</v>
      </c>
      <c r="K1428" s="8" t="str">
        <f>TEXT(Order_Details[[#This Row],[Order Date]], "YY-MMM")</f>
        <v>19-Mar</v>
      </c>
      <c r="L1428" s="11">
        <f>Order_Details[[#This Row],[Profit]]/Order_Details[[#This Row],[Amount]]</f>
        <v>0.45454545454545453</v>
      </c>
      <c r="M1428" s="8">
        <f>YEAR(Order_Details[[#This Row],[Order Date]])</f>
        <v>2019</v>
      </c>
      <c r="N1428" s="8">
        <f>ROUNDUP(MONTH(Order_Details[[#This Row],[Order Date]])/3, 0)</f>
        <v>1</v>
      </c>
    </row>
    <row r="1429" spans="1:14">
      <c r="A1429" s="1" t="s">
        <v>1040</v>
      </c>
      <c r="B1429" s="1">
        <v>557</v>
      </c>
      <c r="C1429" s="1">
        <v>111</v>
      </c>
      <c r="D1429" s="1">
        <v>2</v>
      </c>
      <c r="E1429" s="1" t="s">
        <v>1077</v>
      </c>
      <c r="F1429" s="1" t="s">
        <v>1104</v>
      </c>
      <c r="G1429" s="7" t="str">
        <f>_xlfn.XLOOKUP(Order_Details[[#This Row],[Order ID]], List_of_orders[Order ID], List_of_orders[State])</f>
        <v>West Bengal</v>
      </c>
      <c r="H1429" s="10">
        <f>_xlfn.XLOOKUP(Order_Details[[#This Row],[Order ID]], List_of_orders[Order ID], List_of_orders[Order Date (Clean)])</f>
        <v>43546</v>
      </c>
      <c r="I1429" s="7" t="str">
        <f>_xlfn.XLOOKUP(Order_Details[[#This Row],[Order ID]], List_of_orders[Order ID], List_of_orders[CustomerName])</f>
        <v>Kasheen</v>
      </c>
      <c r="J1429" s="7" t="str">
        <f>_xlfn.XLOOKUP(Order_Details[[#This Row],[Order ID]], List_of_orders[Order ID], List_of_orders[City])</f>
        <v>Kolkata</v>
      </c>
      <c r="K1429" s="8" t="str">
        <f>TEXT(Order_Details[[#This Row],[Order Date]], "YY-MMM")</f>
        <v>19-Mar</v>
      </c>
      <c r="L1429" s="11">
        <f>Order_Details[[#This Row],[Profit]]/Order_Details[[#This Row],[Amount]]</f>
        <v>0.1992818671454219</v>
      </c>
      <c r="M1429" s="8">
        <f>YEAR(Order_Details[[#This Row],[Order Date]])</f>
        <v>2019</v>
      </c>
      <c r="N1429" s="8">
        <f>ROUNDUP(MONTH(Order_Details[[#This Row],[Order Date]])/3, 0)</f>
        <v>1</v>
      </c>
    </row>
    <row r="1430" spans="1:14">
      <c r="A1430" s="1" t="s">
        <v>1040</v>
      </c>
      <c r="B1430" s="1">
        <v>137</v>
      </c>
      <c r="C1430" s="1">
        <v>63</v>
      </c>
      <c r="D1430" s="1">
        <v>3</v>
      </c>
      <c r="E1430" s="1" t="s">
        <v>1076</v>
      </c>
      <c r="F1430" s="1" t="s">
        <v>1102</v>
      </c>
      <c r="G1430" s="7" t="str">
        <f>_xlfn.XLOOKUP(Order_Details[[#This Row],[Order ID]], List_of_orders[Order ID], List_of_orders[State])</f>
        <v>West Bengal</v>
      </c>
      <c r="H1430" s="10">
        <f>_xlfn.XLOOKUP(Order_Details[[#This Row],[Order ID]], List_of_orders[Order ID], List_of_orders[Order Date (Clean)])</f>
        <v>43546</v>
      </c>
      <c r="I1430" s="7" t="str">
        <f>_xlfn.XLOOKUP(Order_Details[[#This Row],[Order ID]], List_of_orders[Order ID], List_of_orders[CustomerName])</f>
        <v>Kasheen</v>
      </c>
      <c r="J1430" s="7" t="str">
        <f>_xlfn.XLOOKUP(Order_Details[[#This Row],[Order ID]], List_of_orders[Order ID], List_of_orders[City])</f>
        <v>Kolkata</v>
      </c>
      <c r="K1430" s="8" t="str">
        <f>TEXT(Order_Details[[#This Row],[Order Date]], "YY-MMM")</f>
        <v>19-Mar</v>
      </c>
      <c r="L1430" s="11">
        <f>Order_Details[[#This Row],[Profit]]/Order_Details[[#This Row],[Amount]]</f>
        <v>0.45985401459854014</v>
      </c>
      <c r="M1430" s="8">
        <f>YEAR(Order_Details[[#This Row],[Order Date]])</f>
        <v>2019</v>
      </c>
      <c r="N1430" s="8">
        <f>ROUNDUP(MONTH(Order_Details[[#This Row],[Order Date]])/3, 0)</f>
        <v>1</v>
      </c>
    </row>
    <row r="1431" spans="1:14">
      <c r="A1431" s="1" t="s">
        <v>1041</v>
      </c>
      <c r="B1431" s="1">
        <v>18</v>
      </c>
      <c r="C1431" s="1">
        <v>3</v>
      </c>
      <c r="D1431" s="1">
        <v>2</v>
      </c>
      <c r="E1431" s="1" t="s">
        <v>1076</v>
      </c>
      <c r="F1431" s="1" t="s">
        <v>1103</v>
      </c>
      <c r="G1431" s="7" t="str">
        <f>_xlfn.XLOOKUP(Order_Details[[#This Row],[Order ID]], List_of_orders[Order ID], List_of_orders[State])</f>
        <v>Karnataka</v>
      </c>
      <c r="H1431" s="10">
        <f>_xlfn.XLOOKUP(Order_Details[[#This Row],[Order ID]], List_of_orders[Order ID], List_of_orders[Order Date (Clean)])</f>
        <v>43546</v>
      </c>
      <c r="I1431" s="7" t="str">
        <f>_xlfn.XLOOKUP(Order_Details[[#This Row],[Order ID]], List_of_orders[Order ID], List_of_orders[CustomerName])</f>
        <v>Hazel</v>
      </c>
      <c r="J1431" s="7" t="str">
        <f>_xlfn.XLOOKUP(Order_Details[[#This Row],[Order ID]], List_of_orders[Order ID], List_of_orders[City])</f>
        <v>Bangalore</v>
      </c>
      <c r="K1431" s="8" t="str">
        <f>TEXT(Order_Details[[#This Row],[Order Date]], "YY-MMM")</f>
        <v>19-Mar</v>
      </c>
      <c r="L1431" s="11">
        <f>Order_Details[[#This Row],[Profit]]/Order_Details[[#This Row],[Amount]]</f>
        <v>0.16666666666666666</v>
      </c>
      <c r="M1431" s="8">
        <f>YEAR(Order_Details[[#This Row],[Order Date]])</f>
        <v>2019</v>
      </c>
      <c r="N1431" s="8">
        <f>ROUNDUP(MONTH(Order_Details[[#This Row],[Order Date]])/3, 0)</f>
        <v>1</v>
      </c>
    </row>
    <row r="1432" spans="1:14">
      <c r="A1432" s="1" t="s">
        <v>1042</v>
      </c>
      <c r="B1432" s="1">
        <v>109</v>
      </c>
      <c r="C1432" s="1">
        <v>35</v>
      </c>
      <c r="D1432" s="1">
        <v>6</v>
      </c>
      <c r="E1432" s="1" t="s">
        <v>1076</v>
      </c>
      <c r="F1432" s="1" t="s">
        <v>1110</v>
      </c>
      <c r="G1432" s="7" t="str">
        <f>_xlfn.XLOOKUP(Order_Details[[#This Row],[Order ID]], List_of_orders[Order ID], List_of_orders[State])</f>
        <v>Jammu and Kashmir</v>
      </c>
      <c r="H1432" s="10">
        <f>_xlfn.XLOOKUP(Order_Details[[#This Row],[Order ID]], List_of_orders[Order ID], List_of_orders[Order Date (Clean)])</f>
        <v>43546</v>
      </c>
      <c r="I1432" s="7" t="str">
        <f>_xlfn.XLOOKUP(Order_Details[[#This Row],[Order ID]], List_of_orders[Order ID], List_of_orders[CustomerName])</f>
        <v>Sonakshi</v>
      </c>
      <c r="J1432" s="7" t="str">
        <f>_xlfn.XLOOKUP(Order_Details[[#This Row],[Order ID]], List_of_orders[Order ID], List_of_orders[City])</f>
        <v>Kashmir</v>
      </c>
      <c r="K1432" s="8" t="str">
        <f>TEXT(Order_Details[[#This Row],[Order Date]], "YY-MMM")</f>
        <v>19-Mar</v>
      </c>
      <c r="L1432" s="11">
        <f>Order_Details[[#This Row],[Profit]]/Order_Details[[#This Row],[Amount]]</f>
        <v>0.32110091743119268</v>
      </c>
      <c r="M1432" s="8">
        <f>YEAR(Order_Details[[#This Row],[Order Date]])</f>
        <v>2019</v>
      </c>
      <c r="N1432" s="8">
        <f>ROUNDUP(MONTH(Order_Details[[#This Row],[Order Date]])/3, 0)</f>
        <v>1</v>
      </c>
    </row>
    <row r="1433" spans="1:14">
      <c r="A1433" s="1" t="s">
        <v>1043</v>
      </c>
      <c r="B1433" s="1">
        <v>359</v>
      </c>
      <c r="C1433" s="1">
        <v>-338</v>
      </c>
      <c r="D1433" s="1">
        <v>5</v>
      </c>
      <c r="E1433" s="1" t="s">
        <v>1075</v>
      </c>
      <c r="F1433" s="1" t="s">
        <v>1101</v>
      </c>
      <c r="G1433" s="7" t="str">
        <f>_xlfn.XLOOKUP(Order_Details[[#This Row],[Order ID]], List_of_orders[Order ID], List_of_orders[State])</f>
        <v>Tamil Nadu</v>
      </c>
      <c r="H1433" s="10">
        <f>_xlfn.XLOOKUP(Order_Details[[#This Row],[Order ID]], List_of_orders[Order ID], List_of_orders[Order Date (Clean)])</f>
        <v>43546</v>
      </c>
      <c r="I1433" s="7" t="str">
        <f>_xlfn.XLOOKUP(Order_Details[[#This Row],[Order ID]], List_of_orders[Order ID], List_of_orders[CustomerName])</f>
        <v>Aarushi</v>
      </c>
      <c r="J1433" s="7" t="str">
        <f>_xlfn.XLOOKUP(Order_Details[[#This Row],[Order ID]], List_of_orders[Order ID], List_of_orders[City])</f>
        <v>Chennai</v>
      </c>
      <c r="K1433" s="8" t="str">
        <f>TEXT(Order_Details[[#This Row],[Order Date]], "YY-MMM")</f>
        <v>19-Mar</v>
      </c>
      <c r="L1433" s="11">
        <f>Order_Details[[#This Row],[Profit]]/Order_Details[[#This Row],[Amount]]</f>
        <v>-0.9415041782729805</v>
      </c>
      <c r="M1433" s="8">
        <f>YEAR(Order_Details[[#This Row],[Order Date]])</f>
        <v>2019</v>
      </c>
      <c r="N1433" s="8">
        <f>ROUNDUP(MONTH(Order_Details[[#This Row],[Order Date]])/3, 0)</f>
        <v>1</v>
      </c>
    </row>
    <row r="1434" spans="1:14">
      <c r="A1434" s="1" t="s">
        <v>1043</v>
      </c>
      <c r="B1434" s="1">
        <v>93</v>
      </c>
      <c r="C1434" s="1">
        <v>-84</v>
      </c>
      <c r="D1434" s="1">
        <v>3</v>
      </c>
      <c r="E1434" s="1" t="s">
        <v>1076</v>
      </c>
      <c r="F1434" s="1" t="s">
        <v>1106</v>
      </c>
      <c r="G1434" s="7" t="str">
        <f>_xlfn.XLOOKUP(Order_Details[[#This Row],[Order ID]], List_of_orders[Order ID], List_of_orders[State])</f>
        <v>Tamil Nadu</v>
      </c>
      <c r="H1434" s="10">
        <f>_xlfn.XLOOKUP(Order_Details[[#This Row],[Order ID]], List_of_orders[Order ID], List_of_orders[Order Date (Clean)])</f>
        <v>43546</v>
      </c>
      <c r="I1434" s="7" t="str">
        <f>_xlfn.XLOOKUP(Order_Details[[#This Row],[Order ID]], List_of_orders[Order ID], List_of_orders[CustomerName])</f>
        <v>Aarushi</v>
      </c>
      <c r="J1434" s="7" t="str">
        <f>_xlfn.XLOOKUP(Order_Details[[#This Row],[Order ID]], List_of_orders[Order ID], List_of_orders[City])</f>
        <v>Chennai</v>
      </c>
      <c r="K1434" s="8" t="str">
        <f>TEXT(Order_Details[[#This Row],[Order Date]], "YY-MMM")</f>
        <v>19-Mar</v>
      </c>
      <c r="L1434" s="11">
        <f>Order_Details[[#This Row],[Profit]]/Order_Details[[#This Row],[Amount]]</f>
        <v>-0.90322580645161288</v>
      </c>
      <c r="M1434" s="8">
        <f>YEAR(Order_Details[[#This Row],[Order Date]])</f>
        <v>2019</v>
      </c>
      <c r="N1434" s="8">
        <f>ROUNDUP(MONTH(Order_Details[[#This Row],[Order Date]])/3, 0)</f>
        <v>1</v>
      </c>
    </row>
    <row r="1435" spans="1:14">
      <c r="A1435" s="1" t="s">
        <v>1043</v>
      </c>
      <c r="B1435" s="1">
        <v>169</v>
      </c>
      <c r="C1435" s="1">
        <v>0</v>
      </c>
      <c r="D1435" s="1">
        <v>3</v>
      </c>
      <c r="E1435" s="1" t="s">
        <v>1077</v>
      </c>
      <c r="F1435" s="1" t="s">
        <v>1115</v>
      </c>
      <c r="G1435" s="7" t="str">
        <f>_xlfn.XLOOKUP(Order_Details[[#This Row],[Order ID]], List_of_orders[Order ID], List_of_orders[State])</f>
        <v>Tamil Nadu</v>
      </c>
      <c r="H1435" s="10">
        <f>_xlfn.XLOOKUP(Order_Details[[#This Row],[Order ID]], List_of_orders[Order ID], List_of_orders[Order Date (Clean)])</f>
        <v>43546</v>
      </c>
      <c r="I1435" s="7" t="str">
        <f>_xlfn.XLOOKUP(Order_Details[[#This Row],[Order ID]], List_of_orders[Order ID], List_of_orders[CustomerName])</f>
        <v>Aarushi</v>
      </c>
      <c r="J1435" s="7" t="str">
        <f>_xlfn.XLOOKUP(Order_Details[[#This Row],[Order ID]], List_of_orders[Order ID], List_of_orders[City])</f>
        <v>Chennai</v>
      </c>
      <c r="K1435" s="8" t="str">
        <f>TEXT(Order_Details[[#This Row],[Order Date]], "YY-MMM")</f>
        <v>19-Mar</v>
      </c>
      <c r="L1435" s="11">
        <f>Order_Details[[#This Row],[Profit]]/Order_Details[[#This Row],[Amount]]</f>
        <v>0</v>
      </c>
      <c r="M1435" s="8">
        <f>YEAR(Order_Details[[#This Row],[Order Date]])</f>
        <v>2019</v>
      </c>
      <c r="N1435" s="8">
        <f>ROUNDUP(MONTH(Order_Details[[#This Row],[Order Date]])/3, 0)</f>
        <v>1</v>
      </c>
    </row>
    <row r="1436" spans="1:14">
      <c r="A1436" s="1" t="s">
        <v>1043</v>
      </c>
      <c r="B1436" s="1">
        <v>79</v>
      </c>
      <c r="C1436" s="1">
        <v>33</v>
      </c>
      <c r="D1436" s="1">
        <v>4</v>
      </c>
      <c r="E1436" s="1" t="s">
        <v>1076</v>
      </c>
      <c r="F1436" s="1" t="s">
        <v>1102</v>
      </c>
      <c r="G1436" s="7" t="str">
        <f>_xlfn.XLOOKUP(Order_Details[[#This Row],[Order ID]], List_of_orders[Order ID], List_of_orders[State])</f>
        <v>Tamil Nadu</v>
      </c>
      <c r="H1436" s="10">
        <f>_xlfn.XLOOKUP(Order_Details[[#This Row],[Order ID]], List_of_orders[Order ID], List_of_orders[Order Date (Clean)])</f>
        <v>43546</v>
      </c>
      <c r="I1436" s="7" t="str">
        <f>_xlfn.XLOOKUP(Order_Details[[#This Row],[Order ID]], List_of_orders[Order ID], List_of_orders[CustomerName])</f>
        <v>Aarushi</v>
      </c>
      <c r="J1436" s="7" t="str">
        <f>_xlfn.XLOOKUP(Order_Details[[#This Row],[Order ID]], List_of_orders[Order ID], List_of_orders[City])</f>
        <v>Chennai</v>
      </c>
      <c r="K1436" s="8" t="str">
        <f>TEXT(Order_Details[[#This Row],[Order Date]], "YY-MMM")</f>
        <v>19-Mar</v>
      </c>
      <c r="L1436" s="11">
        <f>Order_Details[[#This Row],[Profit]]/Order_Details[[#This Row],[Amount]]</f>
        <v>0.41772151898734178</v>
      </c>
      <c r="M1436" s="8">
        <f>YEAR(Order_Details[[#This Row],[Order Date]])</f>
        <v>2019</v>
      </c>
      <c r="N1436" s="8">
        <f>ROUNDUP(MONTH(Order_Details[[#This Row],[Order Date]])/3, 0)</f>
        <v>1</v>
      </c>
    </row>
    <row r="1437" spans="1:14">
      <c r="A1437" s="1" t="s">
        <v>1043</v>
      </c>
      <c r="B1437" s="1">
        <v>24</v>
      </c>
      <c r="C1437" s="1">
        <v>11</v>
      </c>
      <c r="D1437" s="1">
        <v>3</v>
      </c>
      <c r="E1437" s="1" t="s">
        <v>1076</v>
      </c>
      <c r="F1437" s="1" t="s">
        <v>1103</v>
      </c>
      <c r="G1437" s="7" t="str">
        <f>_xlfn.XLOOKUP(Order_Details[[#This Row],[Order ID]], List_of_orders[Order ID], List_of_orders[State])</f>
        <v>Tamil Nadu</v>
      </c>
      <c r="H1437" s="10">
        <f>_xlfn.XLOOKUP(Order_Details[[#This Row],[Order ID]], List_of_orders[Order ID], List_of_orders[Order Date (Clean)])</f>
        <v>43546</v>
      </c>
      <c r="I1437" s="7" t="str">
        <f>_xlfn.XLOOKUP(Order_Details[[#This Row],[Order ID]], List_of_orders[Order ID], List_of_orders[CustomerName])</f>
        <v>Aarushi</v>
      </c>
      <c r="J1437" s="7" t="str">
        <f>_xlfn.XLOOKUP(Order_Details[[#This Row],[Order ID]], List_of_orders[Order ID], List_of_orders[City])</f>
        <v>Chennai</v>
      </c>
      <c r="K1437" s="8" t="str">
        <f>TEXT(Order_Details[[#This Row],[Order Date]], "YY-MMM")</f>
        <v>19-Mar</v>
      </c>
      <c r="L1437" s="11">
        <f>Order_Details[[#This Row],[Profit]]/Order_Details[[#This Row],[Amount]]</f>
        <v>0.45833333333333331</v>
      </c>
      <c r="M1437" s="8">
        <f>YEAR(Order_Details[[#This Row],[Order Date]])</f>
        <v>2019</v>
      </c>
      <c r="N1437" s="8">
        <f>ROUNDUP(MONTH(Order_Details[[#This Row],[Order Date]])/3, 0)</f>
        <v>1</v>
      </c>
    </row>
    <row r="1438" spans="1:14">
      <c r="A1438" s="1" t="s">
        <v>1043</v>
      </c>
      <c r="B1438" s="1">
        <v>637</v>
      </c>
      <c r="C1438" s="1">
        <v>50</v>
      </c>
      <c r="D1438" s="1">
        <v>5</v>
      </c>
      <c r="E1438" s="1" t="s">
        <v>1076</v>
      </c>
      <c r="F1438" s="1" t="s">
        <v>1106</v>
      </c>
      <c r="G1438" s="7" t="str">
        <f>_xlfn.XLOOKUP(Order_Details[[#This Row],[Order ID]], List_of_orders[Order ID], List_of_orders[State])</f>
        <v>Tamil Nadu</v>
      </c>
      <c r="H1438" s="10">
        <f>_xlfn.XLOOKUP(Order_Details[[#This Row],[Order ID]], List_of_orders[Order ID], List_of_orders[Order Date (Clean)])</f>
        <v>43546</v>
      </c>
      <c r="I1438" s="7" t="str">
        <f>_xlfn.XLOOKUP(Order_Details[[#This Row],[Order ID]], List_of_orders[Order ID], List_of_orders[CustomerName])</f>
        <v>Aarushi</v>
      </c>
      <c r="J1438" s="7" t="str">
        <f>_xlfn.XLOOKUP(Order_Details[[#This Row],[Order ID]], List_of_orders[Order ID], List_of_orders[City])</f>
        <v>Chennai</v>
      </c>
      <c r="K1438" s="8" t="str">
        <f>TEXT(Order_Details[[#This Row],[Order Date]], "YY-MMM")</f>
        <v>19-Mar</v>
      </c>
      <c r="L1438" s="11">
        <f>Order_Details[[#This Row],[Profit]]/Order_Details[[#This Row],[Amount]]</f>
        <v>7.8492935635792779E-2</v>
      </c>
      <c r="M1438" s="8">
        <f>YEAR(Order_Details[[#This Row],[Order Date]])</f>
        <v>2019</v>
      </c>
      <c r="N1438" s="8">
        <f>ROUNDUP(MONTH(Order_Details[[#This Row],[Order Date]])/3, 0)</f>
        <v>1</v>
      </c>
    </row>
    <row r="1439" spans="1:14">
      <c r="A1439" s="1" t="s">
        <v>1044</v>
      </c>
      <c r="B1439" s="1">
        <v>95</v>
      </c>
      <c r="C1439" s="1">
        <v>5</v>
      </c>
      <c r="D1439" s="1">
        <v>2</v>
      </c>
      <c r="E1439" s="1" t="s">
        <v>1076</v>
      </c>
      <c r="F1439" s="1" t="s">
        <v>1102</v>
      </c>
      <c r="G1439" s="7" t="str">
        <f>_xlfn.XLOOKUP(Order_Details[[#This Row],[Order ID]], List_of_orders[Order ID], List_of_orders[State])</f>
        <v>Uttar Pradesh</v>
      </c>
      <c r="H1439" s="10">
        <f>_xlfn.XLOOKUP(Order_Details[[#This Row],[Order ID]], List_of_orders[Order ID], List_of_orders[Order Date (Clean)])</f>
        <v>43547</v>
      </c>
      <c r="I1439" s="7" t="str">
        <f>_xlfn.XLOOKUP(Order_Details[[#This Row],[Order ID]], List_of_orders[Order ID], List_of_orders[CustomerName])</f>
        <v>Jitesh</v>
      </c>
      <c r="J1439" s="7" t="str">
        <f>_xlfn.XLOOKUP(Order_Details[[#This Row],[Order ID]], List_of_orders[Order ID], List_of_orders[City])</f>
        <v>Lucknow</v>
      </c>
      <c r="K1439" s="8" t="str">
        <f>TEXT(Order_Details[[#This Row],[Order Date]], "YY-MMM")</f>
        <v>19-Mar</v>
      </c>
      <c r="L1439" s="11">
        <f>Order_Details[[#This Row],[Profit]]/Order_Details[[#This Row],[Amount]]</f>
        <v>5.2631578947368418E-2</v>
      </c>
      <c r="M1439" s="8">
        <f>YEAR(Order_Details[[#This Row],[Order Date]])</f>
        <v>2019</v>
      </c>
      <c r="N1439" s="8">
        <f>ROUNDUP(MONTH(Order_Details[[#This Row],[Order Date]])/3, 0)</f>
        <v>1</v>
      </c>
    </row>
    <row r="1440" spans="1:14">
      <c r="A1440" s="1" t="s">
        <v>1046</v>
      </c>
      <c r="B1440" s="1">
        <v>43</v>
      </c>
      <c r="C1440" s="1">
        <v>8</v>
      </c>
      <c r="D1440" s="1">
        <v>3</v>
      </c>
      <c r="E1440" s="1" t="s">
        <v>1076</v>
      </c>
      <c r="F1440" s="1" t="s">
        <v>1112</v>
      </c>
      <c r="G1440" s="7" t="str">
        <f>_xlfn.XLOOKUP(Order_Details[[#This Row],[Order ID]], List_of_orders[Order ID], List_of_orders[State])</f>
        <v>Bihar</v>
      </c>
      <c r="H1440" s="10">
        <f>_xlfn.XLOOKUP(Order_Details[[#This Row],[Order ID]], List_of_orders[Order ID], List_of_orders[Order Date (Clean)])</f>
        <v>43548</v>
      </c>
      <c r="I1440" s="7" t="str">
        <f>_xlfn.XLOOKUP(Order_Details[[#This Row],[Order ID]], List_of_orders[Order ID], List_of_orders[CustomerName])</f>
        <v>Yogesh</v>
      </c>
      <c r="J1440" s="7" t="str">
        <f>_xlfn.XLOOKUP(Order_Details[[#This Row],[Order ID]], List_of_orders[Order ID], List_of_orders[City])</f>
        <v>Patna</v>
      </c>
      <c r="K1440" s="8" t="str">
        <f>TEXT(Order_Details[[#This Row],[Order Date]], "YY-MMM")</f>
        <v>19-Mar</v>
      </c>
      <c r="L1440" s="11">
        <f>Order_Details[[#This Row],[Profit]]/Order_Details[[#This Row],[Amount]]</f>
        <v>0.18604651162790697</v>
      </c>
      <c r="M1440" s="8">
        <f>YEAR(Order_Details[[#This Row],[Order Date]])</f>
        <v>2019</v>
      </c>
      <c r="N1440" s="8">
        <f>ROUNDUP(MONTH(Order_Details[[#This Row],[Order Date]])/3, 0)</f>
        <v>1</v>
      </c>
    </row>
    <row r="1441" spans="1:14">
      <c r="A1441" s="1" t="s">
        <v>1046</v>
      </c>
      <c r="B1441" s="1">
        <v>145</v>
      </c>
      <c r="C1441" s="1">
        <v>16</v>
      </c>
      <c r="D1441" s="1">
        <v>3</v>
      </c>
      <c r="E1441" s="1" t="s">
        <v>1076</v>
      </c>
      <c r="F1441" s="1" t="s">
        <v>1110</v>
      </c>
      <c r="G1441" s="7" t="str">
        <f>_xlfn.XLOOKUP(Order_Details[[#This Row],[Order ID]], List_of_orders[Order ID], List_of_orders[State])</f>
        <v>Bihar</v>
      </c>
      <c r="H1441" s="10">
        <f>_xlfn.XLOOKUP(Order_Details[[#This Row],[Order ID]], List_of_orders[Order ID], List_of_orders[Order Date (Clean)])</f>
        <v>43548</v>
      </c>
      <c r="I1441" s="7" t="str">
        <f>_xlfn.XLOOKUP(Order_Details[[#This Row],[Order ID]], List_of_orders[Order ID], List_of_orders[CustomerName])</f>
        <v>Yogesh</v>
      </c>
      <c r="J1441" s="7" t="str">
        <f>_xlfn.XLOOKUP(Order_Details[[#This Row],[Order ID]], List_of_orders[Order ID], List_of_orders[City])</f>
        <v>Patna</v>
      </c>
      <c r="K1441" s="8" t="str">
        <f>TEXT(Order_Details[[#This Row],[Order Date]], "YY-MMM")</f>
        <v>19-Mar</v>
      </c>
      <c r="L1441" s="11">
        <f>Order_Details[[#This Row],[Profit]]/Order_Details[[#This Row],[Amount]]</f>
        <v>0.1103448275862069</v>
      </c>
      <c r="M1441" s="8">
        <f>YEAR(Order_Details[[#This Row],[Order Date]])</f>
        <v>2019</v>
      </c>
      <c r="N1441" s="8">
        <f>ROUNDUP(MONTH(Order_Details[[#This Row],[Order Date]])/3, 0)</f>
        <v>1</v>
      </c>
    </row>
    <row r="1442" spans="1:14">
      <c r="A1442" s="1" t="s">
        <v>1046</v>
      </c>
      <c r="B1442" s="1">
        <v>34</v>
      </c>
      <c r="C1442" s="1">
        <v>3</v>
      </c>
      <c r="D1442" s="1">
        <v>3</v>
      </c>
      <c r="E1442" s="1" t="s">
        <v>1076</v>
      </c>
      <c r="F1442" s="1" t="s">
        <v>1106</v>
      </c>
      <c r="G1442" s="7" t="str">
        <f>_xlfn.XLOOKUP(Order_Details[[#This Row],[Order ID]], List_of_orders[Order ID], List_of_orders[State])</f>
        <v>Bihar</v>
      </c>
      <c r="H1442" s="10">
        <f>_xlfn.XLOOKUP(Order_Details[[#This Row],[Order ID]], List_of_orders[Order ID], List_of_orders[Order Date (Clean)])</f>
        <v>43548</v>
      </c>
      <c r="I1442" s="7" t="str">
        <f>_xlfn.XLOOKUP(Order_Details[[#This Row],[Order ID]], List_of_orders[Order ID], List_of_orders[CustomerName])</f>
        <v>Yogesh</v>
      </c>
      <c r="J1442" s="7" t="str">
        <f>_xlfn.XLOOKUP(Order_Details[[#This Row],[Order ID]], List_of_orders[Order ID], List_of_orders[City])</f>
        <v>Patna</v>
      </c>
      <c r="K1442" s="8" t="str">
        <f>TEXT(Order_Details[[#This Row],[Order Date]], "YY-MMM")</f>
        <v>19-Mar</v>
      </c>
      <c r="L1442" s="11">
        <f>Order_Details[[#This Row],[Profit]]/Order_Details[[#This Row],[Amount]]</f>
        <v>8.8235294117647065E-2</v>
      </c>
      <c r="M1442" s="8">
        <f>YEAR(Order_Details[[#This Row],[Order Date]])</f>
        <v>2019</v>
      </c>
      <c r="N1442" s="8">
        <f>ROUNDUP(MONTH(Order_Details[[#This Row],[Order Date]])/3, 0)</f>
        <v>1</v>
      </c>
    </row>
    <row r="1443" spans="1:14">
      <c r="A1443" s="1" t="s">
        <v>1046</v>
      </c>
      <c r="B1443" s="1">
        <v>143</v>
      </c>
      <c r="C1443" s="1">
        <v>6</v>
      </c>
      <c r="D1443" s="1">
        <v>2</v>
      </c>
      <c r="E1443" s="1" t="s">
        <v>1077</v>
      </c>
      <c r="F1443" s="1" t="s">
        <v>1115</v>
      </c>
      <c r="G1443" s="7" t="str">
        <f>_xlfn.XLOOKUP(Order_Details[[#This Row],[Order ID]], List_of_orders[Order ID], List_of_orders[State])</f>
        <v>Bihar</v>
      </c>
      <c r="H1443" s="10">
        <f>_xlfn.XLOOKUP(Order_Details[[#This Row],[Order ID]], List_of_orders[Order ID], List_of_orders[Order Date (Clean)])</f>
        <v>43548</v>
      </c>
      <c r="I1443" s="7" t="str">
        <f>_xlfn.XLOOKUP(Order_Details[[#This Row],[Order ID]], List_of_orders[Order ID], List_of_orders[CustomerName])</f>
        <v>Yogesh</v>
      </c>
      <c r="J1443" s="7" t="str">
        <f>_xlfn.XLOOKUP(Order_Details[[#This Row],[Order ID]], List_of_orders[Order ID], List_of_orders[City])</f>
        <v>Patna</v>
      </c>
      <c r="K1443" s="8" t="str">
        <f>TEXT(Order_Details[[#This Row],[Order Date]], "YY-MMM")</f>
        <v>19-Mar</v>
      </c>
      <c r="L1443" s="11">
        <f>Order_Details[[#This Row],[Profit]]/Order_Details[[#This Row],[Amount]]</f>
        <v>4.195804195804196E-2</v>
      </c>
      <c r="M1443" s="8">
        <f>YEAR(Order_Details[[#This Row],[Order Date]])</f>
        <v>2019</v>
      </c>
      <c r="N1443" s="8">
        <f>ROUNDUP(MONTH(Order_Details[[#This Row],[Order Date]])/3, 0)</f>
        <v>1</v>
      </c>
    </row>
    <row r="1444" spans="1:14">
      <c r="A1444" s="1" t="s">
        <v>1046</v>
      </c>
      <c r="B1444" s="1">
        <v>45</v>
      </c>
      <c r="C1444" s="1">
        <v>17</v>
      </c>
      <c r="D1444" s="1">
        <v>1</v>
      </c>
      <c r="E1444" s="1" t="s">
        <v>1077</v>
      </c>
      <c r="F1444" s="1" t="s">
        <v>1115</v>
      </c>
      <c r="G1444" s="7" t="str">
        <f>_xlfn.XLOOKUP(Order_Details[[#This Row],[Order ID]], List_of_orders[Order ID], List_of_orders[State])</f>
        <v>Bihar</v>
      </c>
      <c r="H1444" s="10">
        <f>_xlfn.XLOOKUP(Order_Details[[#This Row],[Order ID]], List_of_orders[Order ID], List_of_orders[Order Date (Clean)])</f>
        <v>43548</v>
      </c>
      <c r="I1444" s="7" t="str">
        <f>_xlfn.XLOOKUP(Order_Details[[#This Row],[Order ID]], List_of_orders[Order ID], List_of_orders[CustomerName])</f>
        <v>Yogesh</v>
      </c>
      <c r="J1444" s="7" t="str">
        <f>_xlfn.XLOOKUP(Order_Details[[#This Row],[Order ID]], List_of_orders[Order ID], List_of_orders[City])</f>
        <v>Patna</v>
      </c>
      <c r="K1444" s="8" t="str">
        <f>TEXT(Order_Details[[#This Row],[Order Date]], "YY-MMM")</f>
        <v>19-Mar</v>
      </c>
      <c r="L1444" s="11">
        <f>Order_Details[[#This Row],[Profit]]/Order_Details[[#This Row],[Amount]]</f>
        <v>0.37777777777777777</v>
      </c>
      <c r="M1444" s="8">
        <f>YEAR(Order_Details[[#This Row],[Order Date]])</f>
        <v>2019</v>
      </c>
      <c r="N1444" s="8">
        <f>ROUNDUP(MONTH(Order_Details[[#This Row],[Order Date]])/3, 0)</f>
        <v>1</v>
      </c>
    </row>
    <row r="1445" spans="1:14">
      <c r="A1445" s="1" t="s">
        <v>1048</v>
      </c>
      <c r="B1445" s="1">
        <v>209</v>
      </c>
      <c r="C1445" s="1">
        <v>-63</v>
      </c>
      <c r="D1445" s="1">
        <v>4</v>
      </c>
      <c r="E1445" s="1" t="s">
        <v>1077</v>
      </c>
      <c r="F1445" s="1" t="s">
        <v>1104</v>
      </c>
      <c r="G1445" s="7" t="str">
        <f>_xlfn.XLOOKUP(Order_Details[[#This Row],[Order ID]], List_of_orders[Order ID], List_of_orders[State])</f>
        <v xml:space="preserve">Kerala </v>
      </c>
      <c r="H1445" s="10">
        <f>_xlfn.XLOOKUP(Order_Details[[#This Row],[Order ID]], List_of_orders[Order ID], List_of_orders[Order Date (Clean)])</f>
        <v>43549</v>
      </c>
      <c r="I1445" s="7" t="str">
        <f>_xlfn.XLOOKUP(Order_Details[[#This Row],[Order ID]], List_of_orders[Order ID], List_of_orders[CustomerName])</f>
        <v>Anita</v>
      </c>
      <c r="J1445" s="7" t="str">
        <f>_xlfn.XLOOKUP(Order_Details[[#This Row],[Order ID]], List_of_orders[Order ID], List_of_orders[City])</f>
        <v>Thiruvananthapuram</v>
      </c>
      <c r="K1445" s="8" t="str">
        <f>TEXT(Order_Details[[#This Row],[Order Date]], "YY-MMM")</f>
        <v>19-Mar</v>
      </c>
      <c r="L1445" s="11">
        <f>Order_Details[[#This Row],[Profit]]/Order_Details[[#This Row],[Amount]]</f>
        <v>-0.30143540669856461</v>
      </c>
      <c r="M1445" s="8">
        <f>YEAR(Order_Details[[#This Row],[Order Date]])</f>
        <v>2019</v>
      </c>
      <c r="N1445" s="8">
        <f>ROUNDUP(MONTH(Order_Details[[#This Row],[Order Date]])/3, 0)</f>
        <v>1</v>
      </c>
    </row>
    <row r="1446" spans="1:14">
      <c r="A1446" s="1" t="s">
        <v>1050</v>
      </c>
      <c r="B1446" s="1">
        <v>86</v>
      </c>
      <c r="C1446" s="1">
        <v>22</v>
      </c>
      <c r="D1446" s="1">
        <v>2</v>
      </c>
      <c r="E1446" s="1" t="s">
        <v>1076</v>
      </c>
      <c r="F1446" s="1" t="s">
        <v>1106</v>
      </c>
      <c r="G1446" s="7" t="str">
        <f>_xlfn.XLOOKUP(Order_Details[[#This Row],[Order ID]], List_of_orders[Order ID], List_of_orders[State])</f>
        <v>Punjab</v>
      </c>
      <c r="H1446" s="10">
        <f>_xlfn.XLOOKUP(Order_Details[[#This Row],[Order ID]], List_of_orders[Order ID], List_of_orders[Order Date (Clean)])</f>
        <v>43550</v>
      </c>
      <c r="I1446" s="7" t="str">
        <f>_xlfn.XLOOKUP(Order_Details[[#This Row],[Order ID]], List_of_orders[Order ID], List_of_orders[CustomerName])</f>
        <v>Shrichand</v>
      </c>
      <c r="J1446" s="7" t="str">
        <f>_xlfn.XLOOKUP(Order_Details[[#This Row],[Order ID]], List_of_orders[Order ID], List_of_orders[City])</f>
        <v>Chandigarh</v>
      </c>
      <c r="K1446" s="8" t="str">
        <f>TEXT(Order_Details[[#This Row],[Order Date]], "YY-MMM")</f>
        <v>19-Mar</v>
      </c>
      <c r="L1446" s="11">
        <f>Order_Details[[#This Row],[Profit]]/Order_Details[[#This Row],[Amount]]</f>
        <v>0.2558139534883721</v>
      </c>
      <c r="M1446" s="8">
        <f>YEAR(Order_Details[[#This Row],[Order Date]])</f>
        <v>2019</v>
      </c>
      <c r="N1446" s="8">
        <f>ROUNDUP(MONTH(Order_Details[[#This Row],[Order Date]])/3, 0)</f>
        <v>1</v>
      </c>
    </row>
    <row r="1447" spans="1:14">
      <c r="A1447" s="1" t="s">
        <v>1050</v>
      </c>
      <c r="B1447" s="1">
        <v>1487</v>
      </c>
      <c r="C1447" s="1">
        <v>624</v>
      </c>
      <c r="D1447" s="1">
        <v>3</v>
      </c>
      <c r="E1447" s="1" t="s">
        <v>1076</v>
      </c>
      <c r="F1447" s="1" t="s">
        <v>1107</v>
      </c>
      <c r="G1447" s="7" t="str">
        <f>_xlfn.XLOOKUP(Order_Details[[#This Row],[Order ID]], List_of_orders[Order ID], List_of_orders[State])</f>
        <v>Punjab</v>
      </c>
      <c r="H1447" s="10">
        <f>_xlfn.XLOOKUP(Order_Details[[#This Row],[Order ID]], List_of_orders[Order ID], List_of_orders[Order Date (Clean)])</f>
        <v>43550</v>
      </c>
      <c r="I1447" s="7" t="str">
        <f>_xlfn.XLOOKUP(Order_Details[[#This Row],[Order ID]], List_of_orders[Order ID], List_of_orders[CustomerName])</f>
        <v>Shrichand</v>
      </c>
      <c r="J1447" s="7" t="str">
        <f>_xlfn.XLOOKUP(Order_Details[[#This Row],[Order ID]], List_of_orders[Order ID], List_of_orders[City])</f>
        <v>Chandigarh</v>
      </c>
      <c r="K1447" s="8" t="str">
        <f>TEXT(Order_Details[[#This Row],[Order Date]], "YY-MMM")</f>
        <v>19-Mar</v>
      </c>
      <c r="L1447" s="11">
        <f>Order_Details[[#This Row],[Profit]]/Order_Details[[#This Row],[Amount]]</f>
        <v>0.41963685272360457</v>
      </c>
      <c r="M1447" s="8">
        <f>YEAR(Order_Details[[#This Row],[Order Date]])</f>
        <v>2019</v>
      </c>
      <c r="N1447" s="8">
        <f>ROUNDUP(MONTH(Order_Details[[#This Row],[Order Date]])/3, 0)</f>
        <v>1</v>
      </c>
    </row>
    <row r="1448" spans="1:14">
      <c r="A1448" s="1" t="s">
        <v>1050</v>
      </c>
      <c r="B1448" s="1">
        <v>40</v>
      </c>
      <c r="C1448" s="1">
        <v>17</v>
      </c>
      <c r="D1448" s="1">
        <v>2</v>
      </c>
      <c r="E1448" s="1" t="s">
        <v>1076</v>
      </c>
      <c r="F1448" s="1" t="s">
        <v>1102</v>
      </c>
      <c r="G1448" s="7" t="str">
        <f>_xlfn.XLOOKUP(Order_Details[[#This Row],[Order ID]], List_of_orders[Order ID], List_of_orders[State])</f>
        <v>Punjab</v>
      </c>
      <c r="H1448" s="10">
        <f>_xlfn.XLOOKUP(Order_Details[[#This Row],[Order ID]], List_of_orders[Order ID], List_of_orders[Order Date (Clean)])</f>
        <v>43550</v>
      </c>
      <c r="I1448" s="7" t="str">
        <f>_xlfn.XLOOKUP(Order_Details[[#This Row],[Order ID]], List_of_orders[Order ID], List_of_orders[CustomerName])</f>
        <v>Shrichand</v>
      </c>
      <c r="J1448" s="7" t="str">
        <f>_xlfn.XLOOKUP(Order_Details[[#This Row],[Order ID]], List_of_orders[Order ID], List_of_orders[City])</f>
        <v>Chandigarh</v>
      </c>
      <c r="K1448" s="8" t="str">
        <f>TEXT(Order_Details[[#This Row],[Order Date]], "YY-MMM")</f>
        <v>19-Mar</v>
      </c>
      <c r="L1448" s="11">
        <f>Order_Details[[#This Row],[Profit]]/Order_Details[[#This Row],[Amount]]</f>
        <v>0.42499999999999999</v>
      </c>
      <c r="M1448" s="8">
        <f>YEAR(Order_Details[[#This Row],[Order Date]])</f>
        <v>2019</v>
      </c>
      <c r="N1448" s="8">
        <f>ROUNDUP(MONTH(Order_Details[[#This Row],[Order Date]])/3, 0)</f>
        <v>1</v>
      </c>
    </row>
    <row r="1449" spans="1:14">
      <c r="A1449" s="1" t="s">
        <v>1050</v>
      </c>
      <c r="B1449" s="1">
        <v>132</v>
      </c>
      <c r="C1449" s="1">
        <v>-10</v>
      </c>
      <c r="D1449" s="1">
        <v>3</v>
      </c>
      <c r="E1449" s="1" t="s">
        <v>1076</v>
      </c>
      <c r="F1449" s="1" t="s">
        <v>1106</v>
      </c>
      <c r="G1449" s="7" t="str">
        <f>_xlfn.XLOOKUP(Order_Details[[#This Row],[Order ID]], List_of_orders[Order ID], List_of_orders[State])</f>
        <v>Punjab</v>
      </c>
      <c r="H1449" s="10">
        <f>_xlfn.XLOOKUP(Order_Details[[#This Row],[Order ID]], List_of_orders[Order ID], List_of_orders[Order Date (Clean)])</f>
        <v>43550</v>
      </c>
      <c r="I1449" s="7" t="str">
        <f>_xlfn.XLOOKUP(Order_Details[[#This Row],[Order ID]], List_of_orders[Order ID], List_of_orders[CustomerName])</f>
        <v>Shrichand</v>
      </c>
      <c r="J1449" s="7" t="str">
        <f>_xlfn.XLOOKUP(Order_Details[[#This Row],[Order ID]], List_of_orders[Order ID], List_of_orders[City])</f>
        <v>Chandigarh</v>
      </c>
      <c r="K1449" s="8" t="str">
        <f>TEXT(Order_Details[[#This Row],[Order Date]], "YY-MMM")</f>
        <v>19-Mar</v>
      </c>
      <c r="L1449" s="11">
        <f>Order_Details[[#This Row],[Profit]]/Order_Details[[#This Row],[Amount]]</f>
        <v>-7.575757575757576E-2</v>
      </c>
      <c r="M1449" s="8">
        <f>YEAR(Order_Details[[#This Row],[Order Date]])</f>
        <v>2019</v>
      </c>
      <c r="N1449" s="8">
        <f>ROUNDUP(MONTH(Order_Details[[#This Row],[Order Date]])/3, 0)</f>
        <v>1</v>
      </c>
    </row>
    <row r="1450" spans="1:14">
      <c r="A1450" s="1" t="s">
        <v>1052</v>
      </c>
      <c r="B1450" s="1">
        <v>43</v>
      </c>
      <c r="C1450" s="1">
        <v>17</v>
      </c>
      <c r="D1450" s="1">
        <v>2</v>
      </c>
      <c r="E1450" s="1" t="s">
        <v>1076</v>
      </c>
      <c r="F1450" s="1" t="s">
        <v>1110</v>
      </c>
      <c r="G1450" s="7" t="str">
        <f>_xlfn.XLOOKUP(Order_Details[[#This Row],[Order ID]], List_of_orders[Order ID], List_of_orders[State])</f>
        <v>Haryana</v>
      </c>
      <c r="H1450" s="10">
        <f>_xlfn.XLOOKUP(Order_Details[[#This Row],[Order ID]], List_of_orders[Order ID], List_of_orders[Order Date (Clean)])</f>
        <v>43550</v>
      </c>
      <c r="I1450" s="7" t="str">
        <f>_xlfn.XLOOKUP(Order_Details[[#This Row],[Order ID]], List_of_orders[Order ID], List_of_orders[CustomerName])</f>
        <v>Mukesh</v>
      </c>
      <c r="J1450" s="7" t="str">
        <f>_xlfn.XLOOKUP(Order_Details[[#This Row],[Order ID]], List_of_orders[Order ID], List_of_orders[City])</f>
        <v>Chandigarh</v>
      </c>
      <c r="K1450" s="8" t="str">
        <f>TEXT(Order_Details[[#This Row],[Order Date]], "YY-MMM")</f>
        <v>19-Mar</v>
      </c>
      <c r="L1450" s="11">
        <f>Order_Details[[#This Row],[Profit]]/Order_Details[[#This Row],[Amount]]</f>
        <v>0.39534883720930231</v>
      </c>
      <c r="M1450" s="8">
        <f>YEAR(Order_Details[[#This Row],[Order Date]])</f>
        <v>2019</v>
      </c>
      <c r="N1450" s="8">
        <f>ROUNDUP(MONTH(Order_Details[[#This Row],[Order Date]])/3, 0)</f>
        <v>1</v>
      </c>
    </row>
    <row r="1451" spans="1:14">
      <c r="A1451" s="1" t="s">
        <v>1052</v>
      </c>
      <c r="B1451" s="1">
        <v>762</v>
      </c>
      <c r="C1451" s="1">
        <v>101</v>
      </c>
      <c r="D1451" s="1">
        <v>6</v>
      </c>
      <c r="E1451" s="1" t="s">
        <v>1077</v>
      </c>
      <c r="F1451" s="1" t="s">
        <v>1114</v>
      </c>
      <c r="G1451" s="7" t="str">
        <f>_xlfn.XLOOKUP(Order_Details[[#This Row],[Order ID]], List_of_orders[Order ID], List_of_orders[State])</f>
        <v>Haryana</v>
      </c>
      <c r="H1451" s="10">
        <f>_xlfn.XLOOKUP(Order_Details[[#This Row],[Order ID]], List_of_orders[Order ID], List_of_orders[Order Date (Clean)])</f>
        <v>43550</v>
      </c>
      <c r="I1451" s="7" t="str">
        <f>_xlfn.XLOOKUP(Order_Details[[#This Row],[Order ID]], List_of_orders[Order ID], List_of_orders[CustomerName])</f>
        <v>Mukesh</v>
      </c>
      <c r="J1451" s="7" t="str">
        <f>_xlfn.XLOOKUP(Order_Details[[#This Row],[Order ID]], List_of_orders[Order ID], List_of_orders[City])</f>
        <v>Chandigarh</v>
      </c>
      <c r="K1451" s="8" t="str">
        <f>TEXT(Order_Details[[#This Row],[Order Date]], "YY-MMM")</f>
        <v>19-Mar</v>
      </c>
      <c r="L1451" s="11">
        <f>Order_Details[[#This Row],[Profit]]/Order_Details[[#This Row],[Amount]]</f>
        <v>0.13254593175853019</v>
      </c>
      <c r="M1451" s="8">
        <f>YEAR(Order_Details[[#This Row],[Order Date]])</f>
        <v>2019</v>
      </c>
      <c r="N1451" s="8">
        <f>ROUNDUP(MONTH(Order_Details[[#This Row],[Order Date]])/3, 0)</f>
        <v>1</v>
      </c>
    </row>
    <row r="1452" spans="1:14">
      <c r="A1452" s="1" t="s">
        <v>1052</v>
      </c>
      <c r="B1452" s="1">
        <v>25</v>
      </c>
      <c r="C1452" s="1">
        <v>2</v>
      </c>
      <c r="D1452" s="1">
        <v>2</v>
      </c>
      <c r="E1452" s="1" t="s">
        <v>1076</v>
      </c>
      <c r="F1452" s="1" t="s">
        <v>1103</v>
      </c>
      <c r="G1452" s="7" t="str">
        <f>_xlfn.XLOOKUP(Order_Details[[#This Row],[Order ID]], List_of_orders[Order ID], List_of_orders[State])</f>
        <v>Haryana</v>
      </c>
      <c r="H1452" s="10">
        <f>_xlfn.XLOOKUP(Order_Details[[#This Row],[Order ID]], List_of_orders[Order ID], List_of_orders[Order Date (Clean)])</f>
        <v>43550</v>
      </c>
      <c r="I1452" s="7" t="str">
        <f>_xlfn.XLOOKUP(Order_Details[[#This Row],[Order ID]], List_of_orders[Order ID], List_of_orders[CustomerName])</f>
        <v>Mukesh</v>
      </c>
      <c r="J1452" s="7" t="str">
        <f>_xlfn.XLOOKUP(Order_Details[[#This Row],[Order ID]], List_of_orders[Order ID], List_of_orders[City])</f>
        <v>Chandigarh</v>
      </c>
      <c r="K1452" s="8" t="str">
        <f>TEXT(Order_Details[[#This Row],[Order Date]], "YY-MMM")</f>
        <v>19-Mar</v>
      </c>
      <c r="L1452" s="11">
        <f>Order_Details[[#This Row],[Profit]]/Order_Details[[#This Row],[Amount]]</f>
        <v>0.08</v>
      </c>
      <c r="M1452" s="8">
        <f>YEAR(Order_Details[[#This Row],[Order Date]])</f>
        <v>2019</v>
      </c>
      <c r="N1452" s="8">
        <f>ROUNDUP(MONTH(Order_Details[[#This Row],[Order Date]])/3, 0)</f>
        <v>1</v>
      </c>
    </row>
    <row r="1453" spans="1:14">
      <c r="A1453" s="1" t="s">
        <v>1053</v>
      </c>
      <c r="B1453" s="1">
        <v>119</v>
      </c>
      <c r="C1453" s="1">
        <v>56</v>
      </c>
      <c r="D1453" s="1">
        <v>7</v>
      </c>
      <c r="E1453" s="1" t="s">
        <v>1076</v>
      </c>
      <c r="F1453" s="1" t="s">
        <v>1106</v>
      </c>
      <c r="G1453" s="7" t="str">
        <f>_xlfn.XLOOKUP(Order_Details[[#This Row],[Order ID]], List_of_orders[Order ID], List_of_orders[State])</f>
        <v>Himachal Pradesh</v>
      </c>
      <c r="H1453" s="10">
        <f>_xlfn.XLOOKUP(Order_Details[[#This Row],[Order ID]], List_of_orders[Order ID], List_of_orders[Order Date (Clean)])</f>
        <v>43550</v>
      </c>
      <c r="I1453" s="7" t="str">
        <f>_xlfn.XLOOKUP(Order_Details[[#This Row],[Order ID]], List_of_orders[Order ID], List_of_orders[CustomerName])</f>
        <v>Vandana</v>
      </c>
      <c r="J1453" s="7" t="str">
        <f>_xlfn.XLOOKUP(Order_Details[[#This Row],[Order ID]], List_of_orders[Order ID], List_of_orders[City])</f>
        <v>Simla</v>
      </c>
      <c r="K1453" s="8" t="str">
        <f>TEXT(Order_Details[[#This Row],[Order Date]], "YY-MMM")</f>
        <v>19-Mar</v>
      </c>
      <c r="L1453" s="11">
        <f>Order_Details[[#This Row],[Profit]]/Order_Details[[#This Row],[Amount]]</f>
        <v>0.47058823529411764</v>
      </c>
      <c r="M1453" s="8">
        <f>YEAR(Order_Details[[#This Row],[Order Date]])</f>
        <v>2019</v>
      </c>
      <c r="N1453" s="8">
        <f>ROUNDUP(MONTH(Order_Details[[#This Row],[Order Date]])/3, 0)</f>
        <v>1</v>
      </c>
    </row>
    <row r="1454" spans="1:14">
      <c r="A1454" s="1" t="s">
        <v>1053</v>
      </c>
      <c r="B1454" s="1">
        <v>46</v>
      </c>
      <c r="C1454" s="1">
        <v>13</v>
      </c>
      <c r="D1454" s="1">
        <v>3</v>
      </c>
      <c r="E1454" s="1" t="s">
        <v>1076</v>
      </c>
      <c r="F1454" s="1" t="s">
        <v>1103</v>
      </c>
      <c r="G1454" s="7" t="str">
        <f>_xlfn.XLOOKUP(Order_Details[[#This Row],[Order ID]], List_of_orders[Order ID], List_of_orders[State])</f>
        <v>Himachal Pradesh</v>
      </c>
      <c r="H1454" s="10">
        <f>_xlfn.XLOOKUP(Order_Details[[#This Row],[Order ID]], List_of_orders[Order ID], List_of_orders[Order Date (Clean)])</f>
        <v>43550</v>
      </c>
      <c r="I1454" s="7" t="str">
        <f>_xlfn.XLOOKUP(Order_Details[[#This Row],[Order ID]], List_of_orders[Order ID], List_of_orders[CustomerName])</f>
        <v>Vandana</v>
      </c>
      <c r="J1454" s="7" t="str">
        <f>_xlfn.XLOOKUP(Order_Details[[#This Row],[Order ID]], List_of_orders[Order ID], List_of_orders[City])</f>
        <v>Simla</v>
      </c>
      <c r="K1454" s="8" t="str">
        <f>TEXT(Order_Details[[#This Row],[Order Date]], "YY-MMM")</f>
        <v>19-Mar</v>
      </c>
      <c r="L1454" s="11">
        <f>Order_Details[[#This Row],[Profit]]/Order_Details[[#This Row],[Amount]]</f>
        <v>0.28260869565217389</v>
      </c>
      <c r="M1454" s="8">
        <f>YEAR(Order_Details[[#This Row],[Order Date]])</f>
        <v>2019</v>
      </c>
      <c r="N1454" s="8">
        <f>ROUNDUP(MONTH(Order_Details[[#This Row],[Order Date]])/3, 0)</f>
        <v>1</v>
      </c>
    </row>
    <row r="1455" spans="1:14">
      <c r="A1455" s="1" t="s">
        <v>1053</v>
      </c>
      <c r="B1455" s="1">
        <v>311</v>
      </c>
      <c r="C1455" s="1">
        <v>40</v>
      </c>
      <c r="D1455" s="1">
        <v>1</v>
      </c>
      <c r="E1455" s="1" t="s">
        <v>1077</v>
      </c>
      <c r="F1455" s="1" t="s">
        <v>1104</v>
      </c>
      <c r="G1455" s="7" t="str">
        <f>_xlfn.XLOOKUP(Order_Details[[#This Row],[Order ID]], List_of_orders[Order ID], List_of_orders[State])</f>
        <v>Himachal Pradesh</v>
      </c>
      <c r="H1455" s="10">
        <f>_xlfn.XLOOKUP(Order_Details[[#This Row],[Order ID]], List_of_orders[Order ID], List_of_orders[Order Date (Clean)])</f>
        <v>43550</v>
      </c>
      <c r="I1455" s="7" t="str">
        <f>_xlfn.XLOOKUP(Order_Details[[#This Row],[Order ID]], List_of_orders[Order ID], List_of_orders[CustomerName])</f>
        <v>Vandana</v>
      </c>
      <c r="J1455" s="7" t="str">
        <f>_xlfn.XLOOKUP(Order_Details[[#This Row],[Order ID]], List_of_orders[Order ID], List_of_orders[City])</f>
        <v>Simla</v>
      </c>
      <c r="K1455" s="8" t="str">
        <f>TEXT(Order_Details[[#This Row],[Order Date]], "YY-MMM")</f>
        <v>19-Mar</v>
      </c>
      <c r="L1455" s="11">
        <f>Order_Details[[#This Row],[Profit]]/Order_Details[[#This Row],[Amount]]</f>
        <v>0.12861736334405144</v>
      </c>
      <c r="M1455" s="8">
        <f>YEAR(Order_Details[[#This Row],[Order Date]])</f>
        <v>2019</v>
      </c>
      <c r="N1455" s="8">
        <f>ROUNDUP(MONTH(Order_Details[[#This Row],[Order Date]])/3, 0)</f>
        <v>1</v>
      </c>
    </row>
    <row r="1456" spans="1:14">
      <c r="A1456" s="1" t="s">
        <v>1053</v>
      </c>
      <c r="B1456" s="1">
        <v>40</v>
      </c>
      <c r="C1456" s="1">
        <v>10</v>
      </c>
      <c r="D1456" s="1">
        <v>2</v>
      </c>
      <c r="E1456" s="1" t="s">
        <v>1076</v>
      </c>
      <c r="F1456" s="1" t="s">
        <v>1102</v>
      </c>
      <c r="G1456" s="7" t="str">
        <f>_xlfn.XLOOKUP(Order_Details[[#This Row],[Order ID]], List_of_orders[Order ID], List_of_orders[State])</f>
        <v>Himachal Pradesh</v>
      </c>
      <c r="H1456" s="10">
        <f>_xlfn.XLOOKUP(Order_Details[[#This Row],[Order ID]], List_of_orders[Order ID], List_of_orders[Order Date (Clean)])</f>
        <v>43550</v>
      </c>
      <c r="I1456" s="7" t="str">
        <f>_xlfn.XLOOKUP(Order_Details[[#This Row],[Order ID]], List_of_orders[Order ID], List_of_orders[CustomerName])</f>
        <v>Vandana</v>
      </c>
      <c r="J1456" s="7" t="str">
        <f>_xlfn.XLOOKUP(Order_Details[[#This Row],[Order ID]], List_of_orders[Order ID], List_of_orders[City])</f>
        <v>Simla</v>
      </c>
      <c r="K1456" s="8" t="str">
        <f>TEXT(Order_Details[[#This Row],[Order Date]], "YY-MMM")</f>
        <v>19-Mar</v>
      </c>
      <c r="L1456" s="11">
        <f>Order_Details[[#This Row],[Profit]]/Order_Details[[#This Row],[Amount]]</f>
        <v>0.25</v>
      </c>
      <c r="M1456" s="8">
        <f>YEAR(Order_Details[[#This Row],[Order Date]])</f>
        <v>2019</v>
      </c>
      <c r="N1456" s="8">
        <f>ROUNDUP(MONTH(Order_Details[[#This Row],[Order Date]])/3, 0)</f>
        <v>1</v>
      </c>
    </row>
    <row r="1457" spans="1:14">
      <c r="A1457" s="1" t="s">
        <v>1053</v>
      </c>
      <c r="B1457" s="1">
        <v>180</v>
      </c>
      <c r="C1457" s="1">
        <v>0</v>
      </c>
      <c r="D1457" s="1">
        <v>8</v>
      </c>
      <c r="E1457" s="1" t="s">
        <v>1076</v>
      </c>
      <c r="F1457" s="1" t="s">
        <v>1102</v>
      </c>
      <c r="G1457" s="7" t="str">
        <f>_xlfn.XLOOKUP(Order_Details[[#This Row],[Order ID]], List_of_orders[Order ID], List_of_orders[State])</f>
        <v>Himachal Pradesh</v>
      </c>
      <c r="H1457" s="10">
        <f>_xlfn.XLOOKUP(Order_Details[[#This Row],[Order ID]], List_of_orders[Order ID], List_of_orders[Order Date (Clean)])</f>
        <v>43550</v>
      </c>
      <c r="I1457" s="7" t="str">
        <f>_xlfn.XLOOKUP(Order_Details[[#This Row],[Order ID]], List_of_orders[Order ID], List_of_orders[CustomerName])</f>
        <v>Vandana</v>
      </c>
      <c r="J1457" s="7" t="str">
        <f>_xlfn.XLOOKUP(Order_Details[[#This Row],[Order ID]], List_of_orders[Order ID], List_of_orders[City])</f>
        <v>Simla</v>
      </c>
      <c r="K1457" s="8" t="str">
        <f>TEXT(Order_Details[[#This Row],[Order Date]], "YY-MMM")</f>
        <v>19-Mar</v>
      </c>
      <c r="L1457" s="11">
        <f>Order_Details[[#This Row],[Profit]]/Order_Details[[#This Row],[Amount]]</f>
        <v>0</v>
      </c>
      <c r="M1457" s="8">
        <f>YEAR(Order_Details[[#This Row],[Order Date]])</f>
        <v>2019</v>
      </c>
      <c r="N1457" s="8">
        <f>ROUNDUP(MONTH(Order_Details[[#This Row],[Order Date]])/3, 0)</f>
        <v>1</v>
      </c>
    </row>
    <row r="1458" spans="1:14">
      <c r="A1458" s="1" t="s">
        <v>1054</v>
      </c>
      <c r="B1458" s="1">
        <v>11</v>
      </c>
      <c r="C1458" s="1">
        <v>5</v>
      </c>
      <c r="D1458" s="1">
        <v>2</v>
      </c>
      <c r="E1458" s="1" t="s">
        <v>1076</v>
      </c>
      <c r="F1458" s="1" t="s">
        <v>1103</v>
      </c>
      <c r="G1458" s="7" t="str">
        <f>_xlfn.XLOOKUP(Order_Details[[#This Row],[Order ID]], List_of_orders[Order ID], List_of_orders[State])</f>
        <v>Sikkim</v>
      </c>
      <c r="H1458" s="10">
        <f>_xlfn.XLOOKUP(Order_Details[[#This Row],[Order ID]], List_of_orders[Order ID], List_of_orders[Order Date (Clean)])</f>
        <v>43550</v>
      </c>
      <c r="I1458" s="7" t="str">
        <f>_xlfn.XLOOKUP(Order_Details[[#This Row],[Order ID]], List_of_orders[Order ID], List_of_orders[CustomerName])</f>
        <v>Bhavna</v>
      </c>
      <c r="J1458" s="7" t="str">
        <f>_xlfn.XLOOKUP(Order_Details[[#This Row],[Order ID]], List_of_orders[Order ID], List_of_orders[City])</f>
        <v>Gangtok</v>
      </c>
      <c r="K1458" s="8" t="str">
        <f>TEXT(Order_Details[[#This Row],[Order Date]], "YY-MMM")</f>
        <v>19-Mar</v>
      </c>
      <c r="L1458" s="11">
        <f>Order_Details[[#This Row],[Profit]]/Order_Details[[#This Row],[Amount]]</f>
        <v>0.45454545454545453</v>
      </c>
      <c r="M1458" s="8">
        <f>YEAR(Order_Details[[#This Row],[Order Date]])</f>
        <v>2019</v>
      </c>
      <c r="N1458" s="8">
        <f>ROUNDUP(MONTH(Order_Details[[#This Row],[Order Date]])/3, 0)</f>
        <v>1</v>
      </c>
    </row>
    <row r="1459" spans="1:14">
      <c r="A1459" s="1" t="s">
        <v>1055</v>
      </c>
      <c r="B1459" s="1">
        <v>59</v>
      </c>
      <c r="C1459" s="1">
        <v>24</v>
      </c>
      <c r="D1459" s="1">
        <v>6</v>
      </c>
      <c r="E1459" s="1" t="s">
        <v>1076</v>
      </c>
      <c r="F1459" s="1" t="s">
        <v>1109</v>
      </c>
      <c r="G1459" s="7" t="str">
        <f>_xlfn.XLOOKUP(Order_Details[[#This Row],[Order ID]], List_of_orders[Order ID], List_of_orders[State])</f>
        <v>Goa</v>
      </c>
      <c r="H1459" s="10">
        <f>_xlfn.XLOOKUP(Order_Details[[#This Row],[Order ID]], List_of_orders[Order ID], List_of_orders[Order Date (Clean)])</f>
        <v>43550</v>
      </c>
      <c r="I1459" s="7" t="str">
        <f>_xlfn.XLOOKUP(Order_Details[[#This Row],[Order ID]], List_of_orders[Order ID], List_of_orders[CustomerName])</f>
        <v>Kanak</v>
      </c>
      <c r="J1459" s="7" t="str">
        <f>_xlfn.XLOOKUP(Order_Details[[#This Row],[Order ID]], List_of_orders[Order ID], List_of_orders[City])</f>
        <v>Goa</v>
      </c>
      <c r="K1459" s="8" t="str">
        <f>TEXT(Order_Details[[#This Row],[Order Date]], "YY-MMM")</f>
        <v>19-Mar</v>
      </c>
      <c r="L1459" s="11">
        <f>Order_Details[[#This Row],[Profit]]/Order_Details[[#This Row],[Amount]]</f>
        <v>0.40677966101694918</v>
      </c>
      <c r="M1459" s="8">
        <f>YEAR(Order_Details[[#This Row],[Order Date]])</f>
        <v>2019</v>
      </c>
      <c r="N1459" s="8">
        <f>ROUNDUP(MONTH(Order_Details[[#This Row],[Order Date]])/3, 0)</f>
        <v>1</v>
      </c>
    </row>
    <row r="1460" spans="1:14">
      <c r="A1460" s="1" t="s">
        <v>1055</v>
      </c>
      <c r="B1460" s="1">
        <v>27</v>
      </c>
      <c r="C1460" s="1">
        <v>4</v>
      </c>
      <c r="D1460" s="1">
        <v>1</v>
      </c>
      <c r="E1460" s="1" t="s">
        <v>1076</v>
      </c>
      <c r="F1460" s="1" t="s">
        <v>1103</v>
      </c>
      <c r="G1460" s="7" t="str">
        <f>_xlfn.XLOOKUP(Order_Details[[#This Row],[Order ID]], List_of_orders[Order ID], List_of_orders[State])</f>
        <v>Goa</v>
      </c>
      <c r="H1460" s="10">
        <f>_xlfn.XLOOKUP(Order_Details[[#This Row],[Order ID]], List_of_orders[Order ID], List_of_orders[Order Date (Clean)])</f>
        <v>43550</v>
      </c>
      <c r="I1460" s="7" t="str">
        <f>_xlfn.XLOOKUP(Order_Details[[#This Row],[Order ID]], List_of_orders[Order ID], List_of_orders[CustomerName])</f>
        <v>Kanak</v>
      </c>
      <c r="J1460" s="7" t="str">
        <f>_xlfn.XLOOKUP(Order_Details[[#This Row],[Order ID]], List_of_orders[Order ID], List_of_orders[City])</f>
        <v>Goa</v>
      </c>
      <c r="K1460" s="8" t="str">
        <f>TEXT(Order_Details[[#This Row],[Order Date]], "YY-MMM")</f>
        <v>19-Mar</v>
      </c>
      <c r="L1460" s="11">
        <f>Order_Details[[#This Row],[Profit]]/Order_Details[[#This Row],[Amount]]</f>
        <v>0.14814814814814814</v>
      </c>
      <c r="M1460" s="8">
        <f>YEAR(Order_Details[[#This Row],[Order Date]])</f>
        <v>2019</v>
      </c>
      <c r="N1460" s="8">
        <f>ROUNDUP(MONTH(Order_Details[[#This Row],[Order Date]])/3, 0)</f>
        <v>1</v>
      </c>
    </row>
    <row r="1461" spans="1:14">
      <c r="A1461" s="1" t="s">
        <v>1055</v>
      </c>
      <c r="B1461" s="1">
        <v>139</v>
      </c>
      <c r="C1461" s="1">
        <v>14</v>
      </c>
      <c r="D1461" s="1">
        <v>3</v>
      </c>
      <c r="E1461" s="1" t="s">
        <v>1076</v>
      </c>
      <c r="F1461" s="1" t="s">
        <v>1109</v>
      </c>
      <c r="G1461" s="7" t="str">
        <f>_xlfn.XLOOKUP(Order_Details[[#This Row],[Order ID]], List_of_orders[Order ID], List_of_orders[State])</f>
        <v>Goa</v>
      </c>
      <c r="H1461" s="10">
        <f>_xlfn.XLOOKUP(Order_Details[[#This Row],[Order ID]], List_of_orders[Order ID], List_of_orders[Order Date (Clean)])</f>
        <v>43550</v>
      </c>
      <c r="I1461" s="7" t="str">
        <f>_xlfn.XLOOKUP(Order_Details[[#This Row],[Order ID]], List_of_orders[Order ID], List_of_orders[CustomerName])</f>
        <v>Kanak</v>
      </c>
      <c r="J1461" s="7" t="str">
        <f>_xlfn.XLOOKUP(Order_Details[[#This Row],[Order ID]], List_of_orders[Order ID], List_of_orders[City])</f>
        <v>Goa</v>
      </c>
      <c r="K1461" s="8" t="str">
        <f>TEXT(Order_Details[[#This Row],[Order Date]], "YY-MMM")</f>
        <v>19-Mar</v>
      </c>
      <c r="L1461" s="11">
        <f>Order_Details[[#This Row],[Profit]]/Order_Details[[#This Row],[Amount]]</f>
        <v>0.10071942446043165</v>
      </c>
      <c r="M1461" s="8">
        <f>YEAR(Order_Details[[#This Row],[Order Date]])</f>
        <v>2019</v>
      </c>
      <c r="N1461" s="8">
        <f>ROUNDUP(MONTH(Order_Details[[#This Row],[Order Date]])/3, 0)</f>
        <v>1</v>
      </c>
    </row>
    <row r="1462" spans="1:14">
      <c r="A1462" s="1" t="s">
        <v>1056</v>
      </c>
      <c r="B1462" s="1">
        <v>80</v>
      </c>
      <c r="C1462" s="1">
        <v>22</v>
      </c>
      <c r="D1462" s="1">
        <v>3</v>
      </c>
      <c r="E1462" s="1" t="s">
        <v>1076</v>
      </c>
      <c r="F1462" s="1" t="s">
        <v>1102</v>
      </c>
      <c r="G1462" s="7" t="str">
        <f>_xlfn.XLOOKUP(Order_Details[[#This Row],[Order ID]], List_of_orders[Order ID], List_of_orders[State])</f>
        <v>Nagaland</v>
      </c>
      <c r="H1462" s="10">
        <f>_xlfn.XLOOKUP(Order_Details[[#This Row],[Order ID]], List_of_orders[Order ID], List_of_orders[Order Date (Clean)])</f>
        <v>43551</v>
      </c>
      <c r="I1462" s="7" t="str">
        <f>_xlfn.XLOOKUP(Order_Details[[#This Row],[Order ID]], List_of_orders[Order ID], List_of_orders[CustomerName])</f>
        <v>Sagar</v>
      </c>
      <c r="J1462" s="7" t="str">
        <f>_xlfn.XLOOKUP(Order_Details[[#This Row],[Order ID]], List_of_orders[Order ID], List_of_orders[City])</f>
        <v>Kohima</v>
      </c>
      <c r="K1462" s="8" t="str">
        <f>TEXT(Order_Details[[#This Row],[Order Date]], "YY-MMM")</f>
        <v>19-Mar</v>
      </c>
      <c r="L1462" s="11">
        <f>Order_Details[[#This Row],[Profit]]/Order_Details[[#This Row],[Amount]]</f>
        <v>0.27500000000000002</v>
      </c>
      <c r="M1462" s="8">
        <f>YEAR(Order_Details[[#This Row],[Order Date]])</f>
        <v>2019</v>
      </c>
      <c r="N1462" s="8">
        <f>ROUNDUP(MONTH(Order_Details[[#This Row],[Order Date]])/3, 0)</f>
        <v>1</v>
      </c>
    </row>
    <row r="1463" spans="1:14">
      <c r="A1463" s="1" t="s">
        <v>1058</v>
      </c>
      <c r="B1463" s="1">
        <v>158</v>
      </c>
      <c r="C1463" s="1">
        <v>69</v>
      </c>
      <c r="D1463" s="1">
        <v>3</v>
      </c>
      <c r="E1463" s="1" t="s">
        <v>1076</v>
      </c>
      <c r="F1463" s="1" t="s">
        <v>1102</v>
      </c>
      <c r="G1463" s="7" t="str">
        <f>_xlfn.XLOOKUP(Order_Details[[#This Row],[Order ID]], List_of_orders[Order ID], List_of_orders[State])</f>
        <v>Andhra Pradesh</v>
      </c>
      <c r="H1463" s="10">
        <f>_xlfn.XLOOKUP(Order_Details[[#This Row],[Order ID]], List_of_orders[Order ID], List_of_orders[Order Date (Clean)])</f>
        <v>43551</v>
      </c>
      <c r="I1463" s="7" t="str">
        <f>_xlfn.XLOOKUP(Order_Details[[#This Row],[Order ID]], List_of_orders[Order ID], List_of_orders[CustomerName])</f>
        <v>Manju</v>
      </c>
      <c r="J1463" s="7" t="str">
        <f>_xlfn.XLOOKUP(Order_Details[[#This Row],[Order ID]], List_of_orders[Order ID], List_of_orders[City])</f>
        <v>Hyderabad</v>
      </c>
      <c r="K1463" s="8" t="str">
        <f>TEXT(Order_Details[[#This Row],[Order Date]], "YY-MMM")</f>
        <v>19-Mar</v>
      </c>
      <c r="L1463" s="11">
        <f>Order_Details[[#This Row],[Profit]]/Order_Details[[#This Row],[Amount]]</f>
        <v>0.43670886075949367</v>
      </c>
      <c r="M1463" s="8">
        <f>YEAR(Order_Details[[#This Row],[Order Date]])</f>
        <v>2019</v>
      </c>
      <c r="N1463" s="8">
        <f>ROUNDUP(MONTH(Order_Details[[#This Row],[Order Date]])/3, 0)</f>
        <v>1</v>
      </c>
    </row>
    <row r="1464" spans="1:14">
      <c r="A1464" s="1" t="s">
        <v>1058</v>
      </c>
      <c r="B1464" s="1">
        <v>29</v>
      </c>
      <c r="C1464" s="1">
        <v>10</v>
      </c>
      <c r="D1464" s="1">
        <v>4</v>
      </c>
      <c r="E1464" s="1" t="s">
        <v>1076</v>
      </c>
      <c r="F1464" s="1" t="s">
        <v>1103</v>
      </c>
      <c r="G1464" s="7" t="str">
        <f>_xlfn.XLOOKUP(Order_Details[[#This Row],[Order ID]], List_of_orders[Order ID], List_of_orders[State])</f>
        <v>Andhra Pradesh</v>
      </c>
      <c r="H1464" s="10">
        <f>_xlfn.XLOOKUP(Order_Details[[#This Row],[Order ID]], List_of_orders[Order ID], List_of_orders[Order Date (Clean)])</f>
        <v>43551</v>
      </c>
      <c r="I1464" s="7" t="str">
        <f>_xlfn.XLOOKUP(Order_Details[[#This Row],[Order ID]], List_of_orders[Order ID], List_of_orders[CustomerName])</f>
        <v>Manju</v>
      </c>
      <c r="J1464" s="7" t="str">
        <f>_xlfn.XLOOKUP(Order_Details[[#This Row],[Order ID]], List_of_orders[Order ID], List_of_orders[City])</f>
        <v>Hyderabad</v>
      </c>
      <c r="K1464" s="8" t="str">
        <f>TEXT(Order_Details[[#This Row],[Order Date]], "YY-MMM")</f>
        <v>19-Mar</v>
      </c>
      <c r="L1464" s="11">
        <f>Order_Details[[#This Row],[Profit]]/Order_Details[[#This Row],[Amount]]</f>
        <v>0.34482758620689657</v>
      </c>
      <c r="M1464" s="8">
        <f>YEAR(Order_Details[[#This Row],[Order Date]])</f>
        <v>2019</v>
      </c>
      <c r="N1464" s="8">
        <f>ROUNDUP(MONTH(Order_Details[[#This Row],[Order Date]])/3, 0)</f>
        <v>1</v>
      </c>
    </row>
    <row r="1465" spans="1:14">
      <c r="A1465" s="1" t="s">
        <v>1058</v>
      </c>
      <c r="B1465" s="1">
        <v>59</v>
      </c>
      <c r="C1465" s="1">
        <v>10</v>
      </c>
      <c r="D1465" s="1">
        <v>4</v>
      </c>
      <c r="E1465" s="1" t="s">
        <v>1076</v>
      </c>
      <c r="F1465" s="1" t="s">
        <v>1112</v>
      </c>
      <c r="G1465" s="7" t="str">
        <f>_xlfn.XLOOKUP(Order_Details[[#This Row],[Order ID]], List_of_orders[Order ID], List_of_orders[State])</f>
        <v>Andhra Pradesh</v>
      </c>
      <c r="H1465" s="10">
        <f>_xlfn.XLOOKUP(Order_Details[[#This Row],[Order ID]], List_of_orders[Order ID], List_of_orders[Order Date (Clean)])</f>
        <v>43551</v>
      </c>
      <c r="I1465" s="7" t="str">
        <f>_xlfn.XLOOKUP(Order_Details[[#This Row],[Order ID]], List_of_orders[Order ID], List_of_orders[CustomerName])</f>
        <v>Manju</v>
      </c>
      <c r="J1465" s="7" t="str">
        <f>_xlfn.XLOOKUP(Order_Details[[#This Row],[Order ID]], List_of_orders[Order ID], List_of_orders[City])</f>
        <v>Hyderabad</v>
      </c>
      <c r="K1465" s="8" t="str">
        <f>TEXT(Order_Details[[#This Row],[Order Date]], "YY-MMM")</f>
        <v>19-Mar</v>
      </c>
      <c r="L1465" s="11">
        <f>Order_Details[[#This Row],[Profit]]/Order_Details[[#This Row],[Amount]]</f>
        <v>0.16949152542372881</v>
      </c>
      <c r="M1465" s="8">
        <f>YEAR(Order_Details[[#This Row],[Order Date]])</f>
        <v>2019</v>
      </c>
      <c r="N1465" s="8">
        <f>ROUNDUP(MONTH(Order_Details[[#This Row],[Order Date]])/3, 0)</f>
        <v>1</v>
      </c>
    </row>
    <row r="1466" spans="1:14">
      <c r="A1466" s="1" t="s">
        <v>1059</v>
      </c>
      <c r="B1466" s="1">
        <v>97</v>
      </c>
      <c r="C1466" s="1">
        <v>14</v>
      </c>
      <c r="D1466" s="1">
        <v>2</v>
      </c>
      <c r="E1466" s="1" t="s">
        <v>1076</v>
      </c>
      <c r="F1466" s="1" t="s">
        <v>1110</v>
      </c>
      <c r="G1466" s="7" t="str">
        <f>_xlfn.XLOOKUP(Order_Details[[#This Row],[Order ID]], List_of_orders[Order ID], List_of_orders[State])</f>
        <v>Gujarat</v>
      </c>
      <c r="H1466" s="10">
        <f>_xlfn.XLOOKUP(Order_Details[[#This Row],[Order ID]], List_of_orders[Order ID], List_of_orders[Order Date (Clean)])</f>
        <v>43551</v>
      </c>
      <c r="I1466" s="7" t="str">
        <f>_xlfn.XLOOKUP(Order_Details[[#This Row],[Order ID]], List_of_orders[Order ID], List_of_orders[CustomerName])</f>
        <v>Ramesh</v>
      </c>
      <c r="J1466" s="7" t="str">
        <f>_xlfn.XLOOKUP(Order_Details[[#This Row],[Order ID]], List_of_orders[Order ID], List_of_orders[City])</f>
        <v>Ahmedabad</v>
      </c>
      <c r="K1466" s="8" t="str">
        <f>TEXT(Order_Details[[#This Row],[Order Date]], "YY-MMM")</f>
        <v>19-Mar</v>
      </c>
      <c r="L1466" s="11">
        <f>Order_Details[[#This Row],[Profit]]/Order_Details[[#This Row],[Amount]]</f>
        <v>0.14432989690721648</v>
      </c>
      <c r="M1466" s="8">
        <f>YEAR(Order_Details[[#This Row],[Order Date]])</f>
        <v>2019</v>
      </c>
      <c r="N1466" s="8">
        <f>ROUNDUP(MONTH(Order_Details[[#This Row],[Order Date]])/3, 0)</f>
        <v>1</v>
      </c>
    </row>
    <row r="1467" spans="1:14">
      <c r="A1467" s="1" t="s">
        <v>1060</v>
      </c>
      <c r="B1467" s="1">
        <v>33</v>
      </c>
      <c r="C1467" s="1">
        <v>-1</v>
      </c>
      <c r="D1467" s="1">
        <v>1</v>
      </c>
      <c r="E1467" s="1" t="s">
        <v>1076</v>
      </c>
      <c r="F1467" s="1" t="s">
        <v>1106</v>
      </c>
      <c r="G1467" s="7" t="str">
        <f>_xlfn.XLOOKUP(Order_Details[[#This Row],[Order ID]], List_of_orders[Order ID], List_of_orders[State])</f>
        <v>Maharashtra</v>
      </c>
      <c r="H1467" s="10">
        <f>_xlfn.XLOOKUP(Order_Details[[#This Row],[Order ID]], List_of_orders[Order ID], List_of_orders[Order Date (Clean)])</f>
        <v>43551</v>
      </c>
      <c r="I1467" s="7" t="str">
        <f>_xlfn.XLOOKUP(Order_Details[[#This Row],[Order ID]], List_of_orders[Order ID], List_of_orders[CustomerName])</f>
        <v>Sarita</v>
      </c>
      <c r="J1467" s="7" t="str">
        <f>_xlfn.XLOOKUP(Order_Details[[#This Row],[Order ID]], List_of_orders[Order ID], List_of_orders[City])</f>
        <v>Pune</v>
      </c>
      <c r="K1467" s="8" t="str">
        <f>TEXT(Order_Details[[#This Row],[Order Date]], "YY-MMM")</f>
        <v>19-Mar</v>
      </c>
      <c r="L1467" s="11">
        <f>Order_Details[[#This Row],[Profit]]/Order_Details[[#This Row],[Amount]]</f>
        <v>-3.0303030303030304E-2</v>
      </c>
      <c r="M1467" s="8">
        <f>YEAR(Order_Details[[#This Row],[Order Date]])</f>
        <v>2019</v>
      </c>
      <c r="N1467" s="8">
        <f>ROUNDUP(MONTH(Order_Details[[#This Row],[Order Date]])/3, 0)</f>
        <v>1</v>
      </c>
    </row>
    <row r="1468" spans="1:14">
      <c r="A1468" s="1" t="s">
        <v>1060</v>
      </c>
      <c r="B1468" s="1">
        <v>2847</v>
      </c>
      <c r="C1468" s="1">
        <v>712</v>
      </c>
      <c r="D1468" s="1">
        <v>8</v>
      </c>
      <c r="E1468" s="1" t="s">
        <v>1077</v>
      </c>
      <c r="F1468" s="1" t="s">
        <v>1114</v>
      </c>
      <c r="G1468" s="7" t="str">
        <f>_xlfn.XLOOKUP(Order_Details[[#This Row],[Order ID]], List_of_orders[Order ID], List_of_orders[State])</f>
        <v>Maharashtra</v>
      </c>
      <c r="H1468" s="10">
        <f>_xlfn.XLOOKUP(Order_Details[[#This Row],[Order ID]], List_of_orders[Order ID], List_of_orders[Order Date (Clean)])</f>
        <v>43551</v>
      </c>
      <c r="I1468" s="7" t="str">
        <f>_xlfn.XLOOKUP(Order_Details[[#This Row],[Order ID]], List_of_orders[Order ID], List_of_orders[CustomerName])</f>
        <v>Sarita</v>
      </c>
      <c r="J1468" s="7" t="str">
        <f>_xlfn.XLOOKUP(Order_Details[[#This Row],[Order ID]], List_of_orders[Order ID], List_of_orders[City])</f>
        <v>Pune</v>
      </c>
      <c r="K1468" s="8" t="str">
        <f>TEXT(Order_Details[[#This Row],[Order Date]], "YY-MMM")</f>
        <v>19-Mar</v>
      </c>
      <c r="L1468" s="11">
        <f>Order_Details[[#This Row],[Profit]]/Order_Details[[#This Row],[Amount]]</f>
        <v>0.25008781173164735</v>
      </c>
      <c r="M1468" s="8">
        <f>YEAR(Order_Details[[#This Row],[Order Date]])</f>
        <v>2019</v>
      </c>
      <c r="N1468" s="8">
        <f>ROUNDUP(MONTH(Order_Details[[#This Row],[Order Date]])/3, 0)</f>
        <v>1</v>
      </c>
    </row>
    <row r="1469" spans="1:14">
      <c r="A1469" s="1" t="s">
        <v>1060</v>
      </c>
      <c r="B1469" s="1">
        <v>852</v>
      </c>
      <c r="C1469" s="1">
        <v>51</v>
      </c>
      <c r="D1469" s="1">
        <v>5</v>
      </c>
      <c r="E1469" s="1" t="s">
        <v>1075</v>
      </c>
      <c r="F1469" s="1" t="s">
        <v>1101</v>
      </c>
      <c r="G1469" s="7" t="str">
        <f>_xlfn.XLOOKUP(Order_Details[[#This Row],[Order ID]], List_of_orders[Order ID], List_of_orders[State])</f>
        <v>Maharashtra</v>
      </c>
      <c r="H1469" s="10">
        <f>_xlfn.XLOOKUP(Order_Details[[#This Row],[Order ID]], List_of_orders[Order ID], List_of_orders[Order Date (Clean)])</f>
        <v>43551</v>
      </c>
      <c r="I1469" s="7" t="str">
        <f>_xlfn.XLOOKUP(Order_Details[[#This Row],[Order ID]], List_of_orders[Order ID], List_of_orders[CustomerName])</f>
        <v>Sarita</v>
      </c>
      <c r="J1469" s="7" t="str">
        <f>_xlfn.XLOOKUP(Order_Details[[#This Row],[Order ID]], List_of_orders[Order ID], List_of_orders[City])</f>
        <v>Pune</v>
      </c>
      <c r="K1469" s="8" t="str">
        <f>TEXT(Order_Details[[#This Row],[Order Date]], "YY-MMM")</f>
        <v>19-Mar</v>
      </c>
      <c r="L1469" s="11">
        <f>Order_Details[[#This Row],[Profit]]/Order_Details[[#This Row],[Amount]]</f>
        <v>5.9859154929577461E-2</v>
      </c>
      <c r="M1469" s="8">
        <f>YEAR(Order_Details[[#This Row],[Order Date]])</f>
        <v>2019</v>
      </c>
      <c r="N1469" s="8">
        <f>ROUNDUP(MONTH(Order_Details[[#This Row],[Order Date]])/3, 0)</f>
        <v>1</v>
      </c>
    </row>
    <row r="1470" spans="1:14">
      <c r="A1470" s="1" t="s">
        <v>1060</v>
      </c>
      <c r="B1470" s="1">
        <v>492</v>
      </c>
      <c r="C1470" s="1">
        <v>187</v>
      </c>
      <c r="D1470" s="1">
        <v>2</v>
      </c>
      <c r="E1470" s="1" t="s">
        <v>1077</v>
      </c>
      <c r="F1470" s="1" t="s">
        <v>1115</v>
      </c>
      <c r="G1470" s="7" t="str">
        <f>_xlfn.XLOOKUP(Order_Details[[#This Row],[Order ID]], List_of_orders[Order ID], List_of_orders[State])</f>
        <v>Maharashtra</v>
      </c>
      <c r="H1470" s="10">
        <f>_xlfn.XLOOKUP(Order_Details[[#This Row],[Order ID]], List_of_orders[Order ID], List_of_orders[Order Date (Clean)])</f>
        <v>43551</v>
      </c>
      <c r="I1470" s="7" t="str">
        <f>_xlfn.XLOOKUP(Order_Details[[#This Row],[Order ID]], List_of_orders[Order ID], List_of_orders[CustomerName])</f>
        <v>Sarita</v>
      </c>
      <c r="J1470" s="7" t="str">
        <f>_xlfn.XLOOKUP(Order_Details[[#This Row],[Order ID]], List_of_orders[Order ID], List_of_orders[City])</f>
        <v>Pune</v>
      </c>
      <c r="K1470" s="8" t="str">
        <f>TEXT(Order_Details[[#This Row],[Order Date]], "YY-MMM")</f>
        <v>19-Mar</v>
      </c>
      <c r="L1470" s="11">
        <f>Order_Details[[#This Row],[Profit]]/Order_Details[[#This Row],[Amount]]</f>
        <v>0.38008130081300812</v>
      </c>
      <c r="M1470" s="8">
        <f>YEAR(Order_Details[[#This Row],[Order Date]])</f>
        <v>2019</v>
      </c>
      <c r="N1470" s="8">
        <f>ROUNDUP(MONTH(Order_Details[[#This Row],[Order Date]])/3, 0)</f>
        <v>1</v>
      </c>
    </row>
    <row r="1471" spans="1:14">
      <c r="A1471" s="1" t="s">
        <v>1060</v>
      </c>
      <c r="B1471" s="1">
        <v>81</v>
      </c>
      <c r="C1471" s="1">
        <v>41</v>
      </c>
      <c r="D1471" s="1">
        <v>5</v>
      </c>
      <c r="E1471" s="1" t="s">
        <v>1076</v>
      </c>
      <c r="F1471" s="1" t="s">
        <v>1112</v>
      </c>
      <c r="G1471" s="7" t="str">
        <f>_xlfn.XLOOKUP(Order_Details[[#This Row],[Order ID]], List_of_orders[Order ID], List_of_orders[State])</f>
        <v>Maharashtra</v>
      </c>
      <c r="H1471" s="10">
        <f>_xlfn.XLOOKUP(Order_Details[[#This Row],[Order ID]], List_of_orders[Order ID], List_of_orders[Order Date (Clean)])</f>
        <v>43551</v>
      </c>
      <c r="I1471" s="7" t="str">
        <f>_xlfn.XLOOKUP(Order_Details[[#This Row],[Order ID]], List_of_orders[Order ID], List_of_orders[CustomerName])</f>
        <v>Sarita</v>
      </c>
      <c r="J1471" s="7" t="str">
        <f>_xlfn.XLOOKUP(Order_Details[[#This Row],[Order ID]], List_of_orders[Order ID], List_of_orders[City])</f>
        <v>Pune</v>
      </c>
      <c r="K1471" s="8" t="str">
        <f>TEXT(Order_Details[[#This Row],[Order Date]], "YY-MMM")</f>
        <v>19-Mar</v>
      </c>
      <c r="L1471" s="11">
        <f>Order_Details[[#This Row],[Profit]]/Order_Details[[#This Row],[Amount]]</f>
        <v>0.50617283950617287</v>
      </c>
      <c r="M1471" s="8">
        <f>YEAR(Order_Details[[#This Row],[Order Date]])</f>
        <v>2019</v>
      </c>
      <c r="N1471" s="8">
        <f>ROUNDUP(MONTH(Order_Details[[#This Row],[Order Date]])/3, 0)</f>
        <v>1</v>
      </c>
    </row>
    <row r="1472" spans="1:14">
      <c r="A1472" s="1" t="s">
        <v>1060</v>
      </c>
      <c r="B1472" s="1">
        <v>49</v>
      </c>
      <c r="C1472" s="1">
        <v>5</v>
      </c>
      <c r="D1472" s="1">
        <v>4</v>
      </c>
      <c r="E1472" s="1" t="s">
        <v>1076</v>
      </c>
      <c r="F1472" s="1" t="s">
        <v>1103</v>
      </c>
      <c r="G1472" s="7" t="str">
        <f>_xlfn.XLOOKUP(Order_Details[[#This Row],[Order ID]], List_of_orders[Order ID], List_of_orders[State])</f>
        <v>Maharashtra</v>
      </c>
      <c r="H1472" s="10">
        <f>_xlfn.XLOOKUP(Order_Details[[#This Row],[Order ID]], List_of_orders[Order ID], List_of_orders[Order Date (Clean)])</f>
        <v>43551</v>
      </c>
      <c r="I1472" s="7" t="str">
        <f>_xlfn.XLOOKUP(Order_Details[[#This Row],[Order ID]], List_of_orders[Order ID], List_of_orders[CustomerName])</f>
        <v>Sarita</v>
      </c>
      <c r="J1472" s="7" t="str">
        <f>_xlfn.XLOOKUP(Order_Details[[#This Row],[Order ID]], List_of_orders[Order ID], List_of_orders[City])</f>
        <v>Pune</v>
      </c>
      <c r="K1472" s="8" t="str">
        <f>TEXT(Order_Details[[#This Row],[Order Date]], "YY-MMM")</f>
        <v>19-Mar</v>
      </c>
      <c r="L1472" s="11">
        <f>Order_Details[[#This Row],[Profit]]/Order_Details[[#This Row],[Amount]]</f>
        <v>0.10204081632653061</v>
      </c>
      <c r="M1472" s="8">
        <f>YEAR(Order_Details[[#This Row],[Order Date]])</f>
        <v>2019</v>
      </c>
      <c r="N1472" s="8">
        <f>ROUNDUP(MONTH(Order_Details[[#This Row],[Order Date]])/3, 0)</f>
        <v>1</v>
      </c>
    </row>
    <row r="1473" spans="1:14">
      <c r="A1473" s="1" t="s">
        <v>1060</v>
      </c>
      <c r="B1473" s="1">
        <v>148</v>
      </c>
      <c r="C1473" s="1">
        <v>25</v>
      </c>
      <c r="D1473" s="1">
        <v>3</v>
      </c>
      <c r="E1473" s="1" t="s">
        <v>1076</v>
      </c>
      <c r="F1473" s="1" t="s">
        <v>1106</v>
      </c>
      <c r="G1473" s="7" t="str">
        <f>_xlfn.XLOOKUP(Order_Details[[#This Row],[Order ID]], List_of_orders[Order ID], List_of_orders[State])</f>
        <v>Maharashtra</v>
      </c>
      <c r="H1473" s="10">
        <f>_xlfn.XLOOKUP(Order_Details[[#This Row],[Order ID]], List_of_orders[Order ID], List_of_orders[Order Date (Clean)])</f>
        <v>43551</v>
      </c>
      <c r="I1473" s="7" t="str">
        <f>_xlfn.XLOOKUP(Order_Details[[#This Row],[Order ID]], List_of_orders[Order ID], List_of_orders[CustomerName])</f>
        <v>Sarita</v>
      </c>
      <c r="J1473" s="7" t="str">
        <f>_xlfn.XLOOKUP(Order_Details[[#This Row],[Order ID]], List_of_orders[Order ID], List_of_orders[City])</f>
        <v>Pune</v>
      </c>
      <c r="K1473" s="8" t="str">
        <f>TEXT(Order_Details[[#This Row],[Order Date]], "YY-MMM")</f>
        <v>19-Mar</v>
      </c>
      <c r="L1473" s="11">
        <f>Order_Details[[#This Row],[Profit]]/Order_Details[[#This Row],[Amount]]</f>
        <v>0.16891891891891891</v>
      </c>
      <c r="M1473" s="8">
        <f>YEAR(Order_Details[[#This Row],[Order Date]])</f>
        <v>2019</v>
      </c>
      <c r="N1473" s="8">
        <f>ROUNDUP(MONTH(Order_Details[[#This Row],[Order Date]])/3, 0)</f>
        <v>1</v>
      </c>
    </row>
    <row r="1474" spans="1:14">
      <c r="A1474" s="1" t="s">
        <v>1061</v>
      </c>
      <c r="B1474" s="1">
        <v>152</v>
      </c>
      <c r="C1474" s="1">
        <v>50</v>
      </c>
      <c r="D1474" s="1">
        <v>6</v>
      </c>
      <c r="E1474" s="1" t="s">
        <v>1076</v>
      </c>
      <c r="F1474" s="1" t="s">
        <v>1102</v>
      </c>
      <c r="G1474" s="7" t="str">
        <f>_xlfn.XLOOKUP(Order_Details[[#This Row],[Order ID]], List_of_orders[Order ID], List_of_orders[State])</f>
        <v>Madhya Pradesh</v>
      </c>
      <c r="H1474" s="10">
        <f>_xlfn.XLOOKUP(Order_Details[[#This Row],[Order ID]], List_of_orders[Order ID], List_of_orders[Order Date (Clean)])</f>
        <v>43551</v>
      </c>
      <c r="I1474" s="7" t="str">
        <f>_xlfn.XLOOKUP(Order_Details[[#This Row],[Order ID]], List_of_orders[Order ID], List_of_orders[CustomerName])</f>
        <v>Deepak</v>
      </c>
      <c r="J1474" s="7" t="str">
        <f>_xlfn.XLOOKUP(Order_Details[[#This Row],[Order ID]], List_of_orders[Order ID], List_of_orders[City])</f>
        <v>Bhopal</v>
      </c>
      <c r="K1474" s="8" t="str">
        <f>TEXT(Order_Details[[#This Row],[Order Date]], "YY-MMM")</f>
        <v>19-Mar</v>
      </c>
      <c r="L1474" s="11">
        <f>Order_Details[[#This Row],[Profit]]/Order_Details[[#This Row],[Amount]]</f>
        <v>0.32894736842105265</v>
      </c>
      <c r="M1474" s="8">
        <f>YEAR(Order_Details[[#This Row],[Order Date]])</f>
        <v>2019</v>
      </c>
      <c r="N1474" s="8">
        <f>ROUNDUP(MONTH(Order_Details[[#This Row],[Order Date]])/3, 0)</f>
        <v>1</v>
      </c>
    </row>
    <row r="1475" spans="1:14">
      <c r="A1475" s="1" t="s">
        <v>1062</v>
      </c>
      <c r="B1475" s="1">
        <v>6</v>
      </c>
      <c r="C1475" s="1">
        <v>1</v>
      </c>
      <c r="D1475" s="1">
        <v>1</v>
      </c>
      <c r="E1475" s="1" t="s">
        <v>1076</v>
      </c>
      <c r="F1475" s="1" t="s">
        <v>1109</v>
      </c>
      <c r="G1475" s="7" t="str">
        <f>_xlfn.XLOOKUP(Order_Details[[#This Row],[Order ID]], List_of_orders[Order ID], List_of_orders[State])</f>
        <v>Rajasthan</v>
      </c>
      <c r="H1475" s="10">
        <f>_xlfn.XLOOKUP(Order_Details[[#This Row],[Order ID]], List_of_orders[Order ID], List_of_orders[Order Date (Clean)])</f>
        <v>43552</v>
      </c>
      <c r="I1475" s="7" t="str">
        <f>_xlfn.XLOOKUP(Order_Details[[#This Row],[Order ID]], List_of_orders[Order ID], List_of_orders[CustomerName])</f>
        <v>Monisha</v>
      </c>
      <c r="J1475" s="7" t="str">
        <f>_xlfn.XLOOKUP(Order_Details[[#This Row],[Order ID]], List_of_orders[Order ID], List_of_orders[City])</f>
        <v>Jaipur</v>
      </c>
      <c r="K1475" s="8" t="str">
        <f>TEXT(Order_Details[[#This Row],[Order Date]], "YY-MMM")</f>
        <v>19-Mar</v>
      </c>
      <c r="L1475" s="11">
        <f>Order_Details[[#This Row],[Profit]]/Order_Details[[#This Row],[Amount]]</f>
        <v>0.16666666666666666</v>
      </c>
      <c r="M1475" s="8">
        <f>YEAR(Order_Details[[#This Row],[Order Date]])</f>
        <v>2019</v>
      </c>
      <c r="N1475" s="8">
        <f>ROUNDUP(MONTH(Order_Details[[#This Row],[Order Date]])/3, 0)</f>
        <v>1</v>
      </c>
    </row>
    <row r="1476" spans="1:14">
      <c r="A1476" s="1" t="s">
        <v>1064</v>
      </c>
      <c r="B1476" s="1">
        <v>45</v>
      </c>
      <c r="C1476" s="1">
        <v>9</v>
      </c>
      <c r="D1476" s="1">
        <v>3</v>
      </c>
      <c r="E1476" s="1" t="s">
        <v>1076</v>
      </c>
      <c r="F1476" s="1" t="s">
        <v>1112</v>
      </c>
      <c r="G1476" s="7" t="str">
        <f>_xlfn.XLOOKUP(Order_Details[[#This Row],[Order ID]], List_of_orders[Order ID], List_of_orders[State])</f>
        <v>West Bengal</v>
      </c>
      <c r="H1476" s="10">
        <f>_xlfn.XLOOKUP(Order_Details[[#This Row],[Order ID]], List_of_orders[Order ID], List_of_orders[Order Date (Clean)])</f>
        <v>43552</v>
      </c>
      <c r="I1476" s="7" t="str">
        <f>_xlfn.XLOOKUP(Order_Details[[#This Row],[Order ID]], List_of_orders[Order ID], List_of_orders[CustomerName])</f>
        <v>Atharv</v>
      </c>
      <c r="J1476" s="7" t="str">
        <f>_xlfn.XLOOKUP(Order_Details[[#This Row],[Order ID]], List_of_orders[Order ID], List_of_orders[City])</f>
        <v>Kolkata</v>
      </c>
      <c r="K1476" s="8" t="str">
        <f>TEXT(Order_Details[[#This Row],[Order Date]], "YY-MMM")</f>
        <v>19-Mar</v>
      </c>
      <c r="L1476" s="11">
        <f>Order_Details[[#This Row],[Profit]]/Order_Details[[#This Row],[Amount]]</f>
        <v>0.2</v>
      </c>
      <c r="M1476" s="8">
        <f>YEAR(Order_Details[[#This Row],[Order Date]])</f>
        <v>2019</v>
      </c>
      <c r="N1476" s="8">
        <f>ROUNDUP(MONTH(Order_Details[[#This Row],[Order Date]])/3, 0)</f>
        <v>1</v>
      </c>
    </row>
    <row r="1477" spans="1:14">
      <c r="A1477" s="1" t="s">
        <v>1064</v>
      </c>
      <c r="B1477" s="1">
        <v>103</v>
      </c>
      <c r="C1477" s="1">
        <v>46</v>
      </c>
      <c r="D1477" s="1">
        <v>2</v>
      </c>
      <c r="E1477" s="1" t="s">
        <v>1076</v>
      </c>
      <c r="F1477" s="1" t="s">
        <v>1106</v>
      </c>
      <c r="G1477" s="7" t="str">
        <f>_xlfn.XLOOKUP(Order_Details[[#This Row],[Order ID]], List_of_orders[Order ID], List_of_orders[State])</f>
        <v>West Bengal</v>
      </c>
      <c r="H1477" s="10">
        <f>_xlfn.XLOOKUP(Order_Details[[#This Row],[Order ID]], List_of_orders[Order ID], List_of_orders[Order Date (Clean)])</f>
        <v>43552</v>
      </c>
      <c r="I1477" s="7" t="str">
        <f>_xlfn.XLOOKUP(Order_Details[[#This Row],[Order ID]], List_of_orders[Order ID], List_of_orders[CustomerName])</f>
        <v>Atharv</v>
      </c>
      <c r="J1477" s="7" t="str">
        <f>_xlfn.XLOOKUP(Order_Details[[#This Row],[Order ID]], List_of_orders[Order ID], List_of_orders[City])</f>
        <v>Kolkata</v>
      </c>
      <c r="K1477" s="8" t="str">
        <f>TEXT(Order_Details[[#This Row],[Order Date]], "YY-MMM")</f>
        <v>19-Mar</v>
      </c>
      <c r="L1477" s="11">
        <f>Order_Details[[#This Row],[Profit]]/Order_Details[[#This Row],[Amount]]</f>
        <v>0.44660194174757284</v>
      </c>
      <c r="M1477" s="8">
        <f>YEAR(Order_Details[[#This Row],[Order Date]])</f>
        <v>2019</v>
      </c>
      <c r="N1477" s="8">
        <f>ROUNDUP(MONTH(Order_Details[[#This Row],[Order Date]])/3, 0)</f>
        <v>1</v>
      </c>
    </row>
    <row r="1478" spans="1:14">
      <c r="A1478" s="1" t="s">
        <v>1064</v>
      </c>
      <c r="B1478" s="1">
        <v>140</v>
      </c>
      <c r="C1478" s="1">
        <v>56</v>
      </c>
      <c r="D1478" s="1">
        <v>4</v>
      </c>
      <c r="E1478" s="1" t="s">
        <v>1076</v>
      </c>
      <c r="F1478" s="1" t="s">
        <v>1111</v>
      </c>
      <c r="G1478" s="7" t="str">
        <f>_xlfn.XLOOKUP(Order_Details[[#This Row],[Order ID]], List_of_orders[Order ID], List_of_orders[State])</f>
        <v>West Bengal</v>
      </c>
      <c r="H1478" s="10">
        <f>_xlfn.XLOOKUP(Order_Details[[#This Row],[Order ID]], List_of_orders[Order ID], List_of_orders[Order Date (Clean)])</f>
        <v>43552</v>
      </c>
      <c r="I1478" s="7" t="str">
        <f>_xlfn.XLOOKUP(Order_Details[[#This Row],[Order ID]], List_of_orders[Order ID], List_of_orders[CustomerName])</f>
        <v>Atharv</v>
      </c>
      <c r="J1478" s="7" t="str">
        <f>_xlfn.XLOOKUP(Order_Details[[#This Row],[Order ID]], List_of_orders[Order ID], List_of_orders[City])</f>
        <v>Kolkata</v>
      </c>
      <c r="K1478" s="8" t="str">
        <f>TEXT(Order_Details[[#This Row],[Order Date]], "YY-MMM")</f>
        <v>19-Mar</v>
      </c>
      <c r="L1478" s="11">
        <f>Order_Details[[#This Row],[Profit]]/Order_Details[[#This Row],[Amount]]</f>
        <v>0.4</v>
      </c>
      <c r="M1478" s="8">
        <f>YEAR(Order_Details[[#This Row],[Order Date]])</f>
        <v>2019</v>
      </c>
      <c r="N1478" s="8">
        <f>ROUNDUP(MONTH(Order_Details[[#This Row],[Order Date]])/3, 0)</f>
        <v>1</v>
      </c>
    </row>
    <row r="1479" spans="1:14">
      <c r="A1479" s="1" t="s">
        <v>1064</v>
      </c>
      <c r="B1479" s="1">
        <v>88</v>
      </c>
      <c r="C1479" s="1">
        <v>11</v>
      </c>
      <c r="D1479" s="1">
        <v>3</v>
      </c>
      <c r="E1479" s="1" t="s">
        <v>1077</v>
      </c>
      <c r="F1479" s="1" t="s">
        <v>1115</v>
      </c>
      <c r="G1479" s="7" t="str">
        <f>_xlfn.XLOOKUP(Order_Details[[#This Row],[Order ID]], List_of_orders[Order ID], List_of_orders[State])</f>
        <v>West Bengal</v>
      </c>
      <c r="H1479" s="10">
        <f>_xlfn.XLOOKUP(Order_Details[[#This Row],[Order ID]], List_of_orders[Order ID], List_of_orders[Order Date (Clean)])</f>
        <v>43552</v>
      </c>
      <c r="I1479" s="7" t="str">
        <f>_xlfn.XLOOKUP(Order_Details[[#This Row],[Order ID]], List_of_orders[Order ID], List_of_orders[CustomerName])</f>
        <v>Atharv</v>
      </c>
      <c r="J1479" s="7" t="str">
        <f>_xlfn.XLOOKUP(Order_Details[[#This Row],[Order ID]], List_of_orders[Order ID], List_of_orders[City])</f>
        <v>Kolkata</v>
      </c>
      <c r="K1479" s="8" t="str">
        <f>TEXT(Order_Details[[#This Row],[Order Date]], "YY-MMM")</f>
        <v>19-Mar</v>
      </c>
      <c r="L1479" s="11">
        <f>Order_Details[[#This Row],[Profit]]/Order_Details[[#This Row],[Amount]]</f>
        <v>0.125</v>
      </c>
      <c r="M1479" s="8">
        <f>YEAR(Order_Details[[#This Row],[Order Date]])</f>
        <v>2019</v>
      </c>
      <c r="N1479" s="8">
        <f>ROUNDUP(MONTH(Order_Details[[#This Row],[Order Date]])/3, 0)</f>
        <v>1</v>
      </c>
    </row>
    <row r="1480" spans="1:14">
      <c r="A1480" s="1" t="s">
        <v>1064</v>
      </c>
      <c r="B1480" s="1">
        <v>451</v>
      </c>
      <c r="C1480" s="1">
        <v>25</v>
      </c>
      <c r="D1480" s="1">
        <v>3</v>
      </c>
      <c r="E1480" s="1" t="s">
        <v>1077</v>
      </c>
      <c r="F1480" s="1" t="s">
        <v>1105</v>
      </c>
      <c r="G1480" s="7" t="str">
        <f>_xlfn.XLOOKUP(Order_Details[[#This Row],[Order ID]], List_of_orders[Order ID], List_of_orders[State])</f>
        <v>West Bengal</v>
      </c>
      <c r="H1480" s="10">
        <f>_xlfn.XLOOKUP(Order_Details[[#This Row],[Order ID]], List_of_orders[Order ID], List_of_orders[Order Date (Clean)])</f>
        <v>43552</v>
      </c>
      <c r="I1480" s="7" t="str">
        <f>_xlfn.XLOOKUP(Order_Details[[#This Row],[Order ID]], List_of_orders[Order ID], List_of_orders[CustomerName])</f>
        <v>Atharv</v>
      </c>
      <c r="J1480" s="7" t="str">
        <f>_xlfn.XLOOKUP(Order_Details[[#This Row],[Order ID]], List_of_orders[Order ID], List_of_orders[City])</f>
        <v>Kolkata</v>
      </c>
      <c r="K1480" s="8" t="str">
        <f>TEXT(Order_Details[[#This Row],[Order Date]], "YY-MMM")</f>
        <v>19-Mar</v>
      </c>
      <c r="L1480" s="11">
        <f>Order_Details[[#This Row],[Profit]]/Order_Details[[#This Row],[Amount]]</f>
        <v>5.543237250554324E-2</v>
      </c>
      <c r="M1480" s="8">
        <f>YEAR(Order_Details[[#This Row],[Order Date]])</f>
        <v>2019</v>
      </c>
      <c r="N1480" s="8">
        <f>ROUNDUP(MONTH(Order_Details[[#This Row],[Order Date]])/3, 0)</f>
        <v>1</v>
      </c>
    </row>
    <row r="1481" spans="1:14">
      <c r="A1481" s="1" t="s">
        <v>1064</v>
      </c>
      <c r="B1481" s="1">
        <v>264</v>
      </c>
      <c r="C1481" s="1">
        <v>-26</v>
      </c>
      <c r="D1481" s="1">
        <v>3</v>
      </c>
      <c r="E1481" s="1" t="s">
        <v>1076</v>
      </c>
      <c r="F1481" s="1" t="s">
        <v>1107</v>
      </c>
      <c r="G1481" s="7" t="str">
        <f>_xlfn.XLOOKUP(Order_Details[[#This Row],[Order ID]], List_of_orders[Order ID], List_of_orders[State])</f>
        <v>West Bengal</v>
      </c>
      <c r="H1481" s="10">
        <f>_xlfn.XLOOKUP(Order_Details[[#This Row],[Order ID]], List_of_orders[Order ID], List_of_orders[Order Date (Clean)])</f>
        <v>43552</v>
      </c>
      <c r="I1481" s="7" t="str">
        <f>_xlfn.XLOOKUP(Order_Details[[#This Row],[Order ID]], List_of_orders[Order ID], List_of_orders[CustomerName])</f>
        <v>Atharv</v>
      </c>
      <c r="J1481" s="7" t="str">
        <f>_xlfn.XLOOKUP(Order_Details[[#This Row],[Order ID]], List_of_orders[Order ID], List_of_orders[City])</f>
        <v>Kolkata</v>
      </c>
      <c r="K1481" s="8" t="str">
        <f>TEXT(Order_Details[[#This Row],[Order Date]], "YY-MMM")</f>
        <v>19-Mar</v>
      </c>
      <c r="L1481" s="11">
        <f>Order_Details[[#This Row],[Profit]]/Order_Details[[#This Row],[Amount]]</f>
        <v>-9.8484848484848481E-2</v>
      </c>
      <c r="M1481" s="8">
        <f>YEAR(Order_Details[[#This Row],[Order Date]])</f>
        <v>2019</v>
      </c>
      <c r="N1481" s="8">
        <f>ROUNDUP(MONTH(Order_Details[[#This Row],[Order Date]])/3, 0)</f>
        <v>1</v>
      </c>
    </row>
    <row r="1482" spans="1:14">
      <c r="A1482" s="1" t="s">
        <v>1065</v>
      </c>
      <c r="B1482" s="1">
        <v>97</v>
      </c>
      <c r="C1482" s="1">
        <v>12</v>
      </c>
      <c r="D1482" s="1">
        <v>2</v>
      </c>
      <c r="E1482" s="1" t="s">
        <v>1076</v>
      </c>
      <c r="F1482" s="1" t="s">
        <v>1103</v>
      </c>
      <c r="G1482" s="7" t="str">
        <f>_xlfn.XLOOKUP(Order_Details[[#This Row],[Order ID]], List_of_orders[Order ID], List_of_orders[State])</f>
        <v>Karnataka</v>
      </c>
      <c r="H1482" s="10">
        <f>_xlfn.XLOOKUP(Order_Details[[#This Row],[Order ID]], List_of_orders[Order ID], List_of_orders[Order Date (Clean)])</f>
        <v>43552</v>
      </c>
      <c r="I1482" s="7" t="str">
        <f>_xlfn.XLOOKUP(Order_Details[[#This Row],[Order ID]], List_of_orders[Order ID], List_of_orders[CustomerName])</f>
        <v>Vini</v>
      </c>
      <c r="J1482" s="7" t="str">
        <f>_xlfn.XLOOKUP(Order_Details[[#This Row],[Order ID]], List_of_orders[Order ID], List_of_orders[City])</f>
        <v>Bangalore</v>
      </c>
      <c r="K1482" s="8" t="str">
        <f>TEXT(Order_Details[[#This Row],[Order Date]], "YY-MMM")</f>
        <v>19-Mar</v>
      </c>
      <c r="L1482" s="11">
        <f>Order_Details[[#This Row],[Profit]]/Order_Details[[#This Row],[Amount]]</f>
        <v>0.12371134020618557</v>
      </c>
      <c r="M1482" s="8">
        <f>YEAR(Order_Details[[#This Row],[Order Date]])</f>
        <v>2019</v>
      </c>
      <c r="N1482" s="8">
        <f>ROUNDUP(MONTH(Order_Details[[#This Row],[Order Date]])/3, 0)</f>
        <v>1</v>
      </c>
    </row>
    <row r="1483" spans="1:14">
      <c r="A1483" s="1" t="s">
        <v>1065</v>
      </c>
      <c r="B1483" s="1">
        <v>14</v>
      </c>
      <c r="C1483" s="1">
        <v>5</v>
      </c>
      <c r="D1483" s="1">
        <v>1</v>
      </c>
      <c r="E1483" s="1" t="s">
        <v>1076</v>
      </c>
      <c r="F1483" s="1" t="s">
        <v>1103</v>
      </c>
      <c r="G1483" s="7" t="str">
        <f>_xlfn.XLOOKUP(Order_Details[[#This Row],[Order ID]], List_of_orders[Order ID], List_of_orders[State])</f>
        <v>Karnataka</v>
      </c>
      <c r="H1483" s="10">
        <f>_xlfn.XLOOKUP(Order_Details[[#This Row],[Order ID]], List_of_orders[Order ID], List_of_orders[Order Date (Clean)])</f>
        <v>43552</v>
      </c>
      <c r="I1483" s="7" t="str">
        <f>_xlfn.XLOOKUP(Order_Details[[#This Row],[Order ID]], List_of_orders[Order ID], List_of_orders[CustomerName])</f>
        <v>Vini</v>
      </c>
      <c r="J1483" s="7" t="str">
        <f>_xlfn.XLOOKUP(Order_Details[[#This Row],[Order ID]], List_of_orders[Order ID], List_of_orders[City])</f>
        <v>Bangalore</v>
      </c>
      <c r="K1483" s="8" t="str">
        <f>TEXT(Order_Details[[#This Row],[Order Date]], "YY-MMM")</f>
        <v>19-Mar</v>
      </c>
      <c r="L1483" s="11">
        <f>Order_Details[[#This Row],[Profit]]/Order_Details[[#This Row],[Amount]]</f>
        <v>0.35714285714285715</v>
      </c>
      <c r="M1483" s="8">
        <f>YEAR(Order_Details[[#This Row],[Order Date]])</f>
        <v>2019</v>
      </c>
      <c r="N1483" s="8">
        <f>ROUNDUP(MONTH(Order_Details[[#This Row],[Order Date]])/3, 0)</f>
        <v>1</v>
      </c>
    </row>
    <row r="1484" spans="1:14">
      <c r="A1484" s="1" t="s">
        <v>1065</v>
      </c>
      <c r="B1484" s="1">
        <v>19</v>
      </c>
      <c r="C1484" s="1">
        <v>8</v>
      </c>
      <c r="D1484" s="1">
        <v>2</v>
      </c>
      <c r="E1484" s="1" t="s">
        <v>1076</v>
      </c>
      <c r="F1484" s="1" t="s">
        <v>1103</v>
      </c>
      <c r="G1484" s="7" t="str">
        <f>_xlfn.XLOOKUP(Order_Details[[#This Row],[Order ID]], List_of_orders[Order ID], List_of_orders[State])</f>
        <v>Karnataka</v>
      </c>
      <c r="H1484" s="10">
        <f>_xlfn.XLOOKUP(Order_Details[[#This Row],[Order ID]], List_of_orders[Order ID], List_of_orders[Order Date (Clean)])</f>
        <v>43552</v>
      </c>
      <c r="I1484" s="7" t="str">
        <f>_xlfn.XLOOKUP(Order_Details[[#This Row],[Order ID]], List_of_orders[Order ID], List_of_orders[CustomerName])</f>
        <v>Vini</v>
      </c>
      <c r="J1484" s="7" t="str">
        <f>_xlfn.XLOOKUP(Order_Details[[#This Row],[Order ID]], List_of_orders[Order ID], List_of_orders[City])</f>
        <v>Bangalore</v>
      </c>
      <c r="K1484" s="8" t="str">
        <f>TEXT(Order_Details[[#This Row],[Order Date]], "YY-MMM")</f>
        <v>19-Mar</v>
      </c>
      <c r="L1484" s="11">
        <f>Order_Details[[#This Row],[Profit]]/Order_Details[[#This Row],[Amount]]</f>
        <v>0.42105263157894735</v>
      </c>
      <c r="M1484" s="8">
        <f>YEAR(Order_Details[[#This Row],[Order Date]])</f>
        <v>2019</v>
      </c>
      <c r="N1484" s="8">
        <f>ROUNDUP(MONTH(Order_Details[[#This Row],[Order Date]])/3, 0)</f>
        <v>1</v>
      </c>
    </row>
    <row r="1485" spans="1:14">
      <c r="A1485" s="1" t="s">
        <v>1065</v>
      </c>
      <c r="B1485" s="1">
        <v>39</v>
      </c>
      <c r="C1485" s="1">
        <v>18</v>
      </c>
      <c r="D1485" s="1">
        <v>2</v>
      </c>
      <c r="E1485" s="1" t="s">
        <v>1076</v>
      </c>
      <c r="F1485" s="1" t="s">
        <v>1112</v>
      </c>
      <c r="G1485" s="7" t="str">
        <f>_xlfn.XLOOKUP(Order_Details[[#This Row],[Order ID]], List_of_orders[Order ID], List_of_orders[State])</f>
        <v>Karnataka</v>
      </c>
      <c r="H1485" s="10">
        <f>_xlfn.XLOOKUP(Order_Details[[#This Row],[Order ID]], List_of_orders[Order ID], List_of_orders[Order Date (Clean)])</f>
        <v>43552</v>
      </c>
      <c r="I1485" s="7" t="str">
        <f>_xlfn.XLOOKUP(Order_Details[[#This Row],[Order ID]], List_of_orders[Order ID], List_of_orders[CustomerName])</f>
        <v>Vini</v>
      </c>
      <c r="J1485" s="7" t="str">
        <f>_xlfn.XLOOKUP(Order_Details[[#This Row],[Order ID]], List_of_orders[Order ID], List_of_orders[City])</f>
        <v>Bangalore</v>
      </c>
      <c r="K1485" s="8" t="str">
        <f>TEXT(Order_Details[[#This Row],[Order Date]], "YY-MMM")</f>
        <v>19-Mar</v>
      </c>
      <c r="L1485" s="11">
        <f>Order_Details[[#This Row],[Profit]]/Order_Details[[#This Row],[Amount]]</f>
        <v>0.46153846153846156</v>
      </c>
      <c r="M1485" s="8">
        <f>YEAR(Order_Details[[#This Row],[Order Date]])</f>
        <v>2019</v>
      </c>
      <c r="N1485" s="8">
        <f>ROUNDUP(MONTH(Order_Details[[#This Row],[Order Date]])/3, 0)</f>
        <v>1</v>
      </c>
    </row>
    <row r="1486" spans="1:14">
      <c r="A1486" s="1" t="s">
        <v>1065</v>
      </c>
      <c r="B1486" s="1">
        <v>185</v>
      </c>
      <c r="C1486" s="1">
        <v>-26</v>
      </c>
      <c r="D1486" s="1">
        <v>6</v>
      </c>
      <c r="E1486" s="1" t="s">
        <v>1075</v>
      </c>
      <c r="F1486" s="1" t="s">
        <v>1108</v>
      </c>
      <c r="G1486" s="7" t="str">
        <f>_xlfn.XLOOKUP(Order_Details[[#This Row],[Order ID]], List_of_orders[Order ID], List_of_orders[State])</f>
        <v>Karnataka</v>
      </c>
      <c r="H1486" s="10">
        <f>_xlfn.XLOOKUP(Order_Details[[#This Row],[Order ID]], List_of_orders[Order ID], List_of_orders[Order Date (Clean)])</f>
        <v>43552</v>
      </c>
      <c r="I1486" s="7" t="str">
        <f>_xlfn.XLOOKUP(Order_Details[[#This Row],[Order ID]], List_of_orders[Order ID], List_of_orders[CustomerName])</f>
        <v>Vini</v>
      </c>
      <c r="J1486" s="7" t="str">
        <f>_xlfn.XLOOKUP(Order_Details[[#This Row],[Order ID]], List_of_orders[Order ID], List_of_orders[City])</f>
        <v>Bangalore</v>
      </c>
      <c r="K1486" s="8" t="str">
        <f>TEXT(Order_Details[[#This Row],[Order Date]], "YY-MMM")</f>
        <v>19-Mar</v>
      </c>
      <c r="L1486" s="11">
        <f>Order_Details[[#This Row],[Profit]]/Order_Details[[#This Row],[Amount]]</f>
        <v>-0.14054054054054055</v>
      </c>
      <c r="M1486" s="8">
        <f>YEAR(Order_Details[[#This Row],[Order Date]])</f>
        <v>2019</v>
      </c>
      <c r="N1486" s="8">
        <f>ROUNDUP(MONTH(Order_Details[[#This Row],[Order Date]])/3, 0)</f>
        <v>1</v>
      </c>
    </row>
    <row r="1487" spans="1:14">
      <c r="A1487" s="1" t="s">
        <v>1065</v>
      </c>
      <c r="B1487" s="1">
        <v>663</v>
      </c>
      <c r="C1487" s="1">
        <v>-212</v>
      </c>
      <c r="D1487" s="1">
        <v>5</v>
      </c>
      <c r="E1487" s="1" t="s">
        <v>1077</v>
      </c>
      <c r="F1487" s="1" t="s">
        <v>1114</v>
      </c>
      <c r="G1487" s="7" t="str">
        <f>_xlfn.XLOOKUP(Order_Details[[#This Row],[Order ID]], List_of_orders[Order ID], List_of_orders[State])</f>
        <v>Karnataka</v>
      </c>
      <c r="H1487" s="10">
        <f>_xlfn.XLOOKUP(Order_Details[[#This Row],[Order ID]], List_of_orders[Order ID], List_of_orders[Order Date (Clean)])</f>
        <v>43552</v>
      </c>
      <c r="I1487" s="7" t="str">
        <f>_xlfn.XLOOKUP(Order_Details[[#This Row],[Order ID]], List_of_orders[Order ID], List_of_orders[CustomerName])</f>
        <v>Vini</v>
      </c>
      <c r="J1487" s="7" t="str">
        <f>_xlfn.XLOOKUP(Order_Details[[#This Row],[Order ID]], List_of_orders[Order ID], List_of_orders[City])</f>
        <v>Bangalore</v>
      </c>
      <c r="K1487" s="8" t="str">
        <f>TEXT(Order_Details[[#This Row],[Order Date]], "YY-MMM")</f>
        <v>19-Mar</v>
      </c>
      <c r="L1487" s="11">
        <f>Order_Details[[#This Row],[Profit]]/Order_Details[[#This Row],[Amount]]</f>
        <v>-0.31975867269984914</v>
      </c>
      <c r="M1487" s="8">
        <f>YEAR(Order_Details[[#This Row],[Order Date]])</f>
        <v>2019</v>
      </c>
      <c r="N1487" s="8">
        <f>ROUNDUP(MONTH(Order_Details[[#This Row],[Order Date]])/3, 0)</f>
        <v>1</v>
      </c>
    </row>
    <row r="1488" spans="1:14">
      <c r="A1488" s="1" t="s">
        <v>1065</v>
      </c>
      <c r="B1488" s="1">
        <v>671</v>
      </c>
      <c r="C1488" s="1">
        <v>-309</v>
      </c>
      <c r="D1488" s="1">
        <v>5</v>
      </c>
      <c r="E1488" s="1" t="s">
        <v>1077</v>
      </c>
      <c r="F1488" s="1" t="s">
        <v>1104</v>
      </c>
      <c r="G1488" s="7" t="str">
        <f>_xlfn.XLOOKUP(Order_Details[[#This Row],[Order ID]], List_of_orders[Order ID], List_of_orders[State])</f>
        <v>Karnataka</v>
      </c>
      <c r="H1488" s="10">
        <f>_xlfn.XLOOKUP(Order_Details[[#This Row],[Order ID]], List_of_orders[Order ID], List_of_orders[Order Date (Clean)])</f>
        <v>43552</v>
      </c>
      <c r="I1488" s="7" t="str">
        <f>_xlfn.XLOOKUP(Order_Details[[#This Row],[Order ID]], List_of_orders[Order ID], List_of_orders[CustomerName])</f>
        <v>Vini</v>
      </c>
      <c r="J1488" s="7" t="str">
        <f>_xlfn.XLOOKUP(Order_Details[[#This Row],[Order ID]], List_of_orders[Order ID], List_of_orders[City])</f>
        <v>Bangalore</v>
      </c>
      <c r="K1488" s="8" t="str">
        <f>TEXT(Order_Details[[#This Row],[Order Date]], "YY-MMM")</f>
        <v>19-Mar</v>
      </c>
      <c r="L1488" s="11">
        <f>Order_Details[[#This Row],[Profit]]/Order_Details[[#This Row],[Amount]]</f>
        <v>-0.46050670640834573</v>
      </c>
      <c r="M1488" s="8">
        <f>YEAR(Order_Details[[#This Row],[Order Date]])</f>
        <v>2019</v>
      </c>
      <c r="N1488" s="8">
        <f>ROUNDUP(MONTH(Order_Details[[#This Row],[Order Date]])/3, 0)</f>
        <v>1</v>
      </c>
    </row>
    <row r="1489" spans="1:14">
      <c r="A1489" s="1" t="s">
        <v>1066</v>
      </c>
      <c r="B1489" s="1">
        <v>82</v>
      </c>
      <c r="C1489" s="1">
        <v>8</v>
      </c>
      <c r="D1489" s="1">
        <v>3</v>
      </c>
      <c r="E1489" s="1" t="s">
        <v>1077</v>
      </c>
      <c r="F1489" s="1" t="s">
        <v>1115</v>
      </c>
      <c r="G1489" s="7" t="str">
        <f>_xlfn.XLOOKUP(Order_Details[[#This Row],[Order ID]], List_of_orders[Order ID], List_of_orders[State])</f>
        <v>Jammu and Kashmir</v>
      </c>
      <c r="H1489" s="10">
        <f>_xlfn.XLOOKUP(Order_Details[[#This Row],[Order ID]], List_of_orders[Order ID], List_of_orders[Order Date (Clean)])</f>
        <v>43553</v>
      </c>
      <c r="I1489" s="7" t="str">
        <f>_xlfn.XLOOKUP(Order_Details[[#This Row],[Order ID]], List_of_orders[Order ID], List_of_orders[CustomerName])</f>
        <v>Pinky</v>
      </c>
      <c r="J1489" s="7" t="str">
        <f>_xlfn.XLOOKUP(Order_Details[[#This Row],[Order ID]], List_of_orders[Order ID], List_of_orders[City])</f>
        <v>Kashmir</v>
      </c>
      <c r="K1489" s="8" t="str">
        <f>TEXT(Order_Details[[#This Row],[Order Date]], "YY-MMM")</f>
        <v>19-Mar</v>
      </c>
      <c r="L1489" s="11">
        <f>Order_Details[[#This Row],[Profit]]/Order_Details[[#This Row],[Amount]]</f>
        <v>9.7560975609756101E-2</v>
      </c>
      <c r="M1489" s="8">
        <f>YEAR(Order_Details[[#This Row],[Order Date]])</f>
        <v>2019</v>
      </c>
      <c r="N1489" s="8">
        <f>ROUNDUP(MONTH(Order_Details[[#This Row],[Order Date]])/3, 0)</f>
        <v>1</v>
      </c>
    </row>
    <row r="1490" spans="1:14">
      <c r="A1490" s="1" t="s">
        <v>1066</v>
      </c>
      <c r="B1490" s="1">
        <v>497</v>
      </c>
      <c r="C1490" s="1">
        <v>179</v>
      </c>
      <c r="D1490" s="1">
        <v>3</v>
      </c>
      <c r="E1490" s="1" t="s">
        <v>1075</v>
      </c>
      <c r="F1490" s="1" t="s">
        <v>1108</v>
      </c>
      <c r="G1490" s="7" t="str">
        <f>_xlfn.XLOOKUP(Order_Details[[#This Row],[Order ID]], List_of_orders[Order ID], List_of_orders[State])</f>
        <v>Jammu and Kashmir</v>
      </c>
      <c r="H1490" s="10">
        <f>_xlfn.XLOOKUP(Order_Details[[#This Row],[Order ID]], List_of_orders[Order ID], List_of_orders[Order Date (Clean)])</f>
        <v>43553</v>
      </c>
      <c r="I1490" s="7" t="str">
        <f>_xlfn.XLOOKUP(Order_Details[[#This Row],[Order ID]], List_of_orders[Order ID], List_of_orders[CustomerName])</f>
        <v>Pinky</v>
      </c>
      <c r="J1490" s="7" t="str">
        <f>_xlfn.XLOOKUP(Order_Details[[#This Row],[Order ID]], List_of_orders[Order ID], List_of_orders[City])</f>
        <v>Kashmir</v>
      </c>
      <c r="K1490" s="8" t="str">
        <f>TEXT(Order_Details[[#This Row],[Order Date]], "YY-MMM")</f>
        <v>19-Mar</v>
      </c>
      <c r="L1490" s="11">
        <f>Order_Details[[#This Row],[Profit]]/Order_Details[[#This Row],[Amount]]</f>
        <v>0.36016096579476864</v>
      </c>
      <c r="M1490" s="8">
        <f>YEAR(Order_Details[[#This Row],[Order Date]])</f>
        <v>2019</v>
      </c>
      <c r="N1490" s="8">
        <f>ROUNDUP(MONTH(Order_Details[[#This Row],[Order Date]])/3, 0)</f>
        <v>1</v>
      </c>
    </row>
    <row r="1491" spans="1:14">
      <c r="A1491" s="1" t="s">
        <v>1066</v>
      </c>
      <c r="B1491" s="1">
        <v>96</v>
      </c>
      <c r="C1491" s="1">
        <v>48</v>
      </c>
      <c r="D1491" s="1">
        <v>5</v>
      </c>
      <c r="E1491" s="1" t="s">
        <v>1076</v>
      </c>
      <c r="F1491" s="1" t="s">
        <v>1112</v>
      </c>
      <c r="G1491" s="7" t="str">
        <f>_xlfn.XLOOKUP(Order_Details[[#This Row],[Order ID]], List_of_orders[Order ID], List_of_orders[State])</f>
        <v>Jammu and Kashmir</v>
      </c>
      <c r="H1491" s="10">
        <f>_xlfn.XLOOKUP(Order_Details[[#This Row],[Order ID]], List_of_orders[Order ID], List_of_orders[Order Date (Clean)])</f>
        <v>43553</v>
      </c>
      <c r="I1491" s="7" t="str">
        <f>_xlfn.XLOOKUP(Order_Details[[#This Row],[Order ID]], List_of_orders[Order ID], List_of_orders[CustomerName])</f>
        <v>Pinky</v>
      </c>
      <c r="J1491" s="7" t="str">
        <f>_xlfn.XLOOKUP(Order_Details[[#This Row],[Order ID]], List_of_orders[Order ID], List_of_orders[City])</f>
        <v>Kashmir</v>
      </c>
      <c r="K1491" s="8" t="str">
        <f>TEXT(Order_Details[[#This Row],[Order Date]], "YY-MMM")</f>
        <v>19-Mar</v>
      </c>
      <c r="L1491" s="11">
        <f>Order_Details[[#This Row],[Profit]]/Order_Details[[#This Row],[Amount]]</f>
        <v>0.5</v>
      </c>
      <c r="M1491" s="8">
        <f>YEAR(Order_Details[[#This Row],[Order Date]])</f>
        <v>2019</v>
      </c>
      <c r="N1491" s="8">
        <f>ROUNDUP(MONTH(Order_Details[[#This Row],[Order Date]])/3, 0)</f>
        <v>1</v>
      </c>
    </row>
    <row r="1492" spans="1:14">
      <c r="A1492" s="1" t="s">
        <v>1066</v>
      </c>
      <c r="B1492" s="1">
        <v>409</v>
      </c>
      <c r="C1492" s="1">
        <v>86</v>
      </c>
      <c r="D1492" s="1">
        <v>3</v>
      </c>
      <c r="E1492" s="1" t="s">
        <v>1076</v>
      </c>
      <c r="F1492" s="1" t="s">
        <v>1106</v>
      </c>
      <c r="G1492" s="7" t="str">
        <f>_xlfn.XLOOKUP(Order_Details[[#This Row],[Order ID]], List_of_orders[Order ID], List_of_orders[State])</f>
        <v>Jammu and Kashmir</v>
      </c>
      <c r="H1492" s="10">
        <f>_xlfn.XLOOKUP(Order_Details[[#This Row],[Order ID]], List_of_orders[Order ID], List_of_orders[Order Date (Clean)])</f>
        <v>43553</v>
      </c>
      <c r="I1492" s="7" t="str">
        <f>_xlfn.XLOOKUP(Order_Details[[#This Row],[Order ID]], List_of_orders[Order ID], List_of_orders[CustomerName])</f>
        <v>Pinky</v>
      </c>
      <c r="J1492" s="7" t="str">
        <f>_xlfn.XLOOKUP(Order_Details[[#This Row],[Order ID]], List_of_orders[Order ID], List_of_orders[City])</f>
        <v>Kashmir</v>
      </c>
      <c r="K1492" s="8" t="str">
        <f>TEXT(Order_Details[[#This Row],[Order Date]], "YY-MMM")</f>
        <v>19-Mar</v>
      </c>
      <c r="L1492" s="11">
        <f>Order_Details[[#This Row],[Profit]]/Order_Details[[#This Row],[Amount]]</f>
        <v>0.21026894865525672</v>
      </c>
      <c r="M1492" s="8">
        <f>YEAR(Order_Details[[#This Row],[Order Date]])</f>
        <v>2019</v>
      </c>
      <c r="N1492" s="8">
        <f>ROUNDUP(MONTH(Order_Details[[#This Row],[Order Date]])/3, 0)</f>
        <v>1</v>
      </c>
    </row>
    <row r="1493" spans="1:14">
      <c r="A1493" s="1" t="s">
        <v>1066</v>
      </c>
      <c r="B1493" s="1">
        <v>59</v>
      </c>
      <c r="C1493" s="1">
        <v>15</v>
      </c>
      <c r="D1493" s="1">
        <v>2</v>
      </c>
      <c r="E1493" s="1" t="s">
        <v>1076</v>
      </c>
      <c r="F1493" s="1" t="s">
        <v>1110</v>
      </c>
      <c r="G1493" s="7" t="str">
        <f>_xlfn.XLOOKUP(Order_Details[[#This Row],[Order ID]], List_of_orders[Order ID], List_of_orders[State])</f>
        <v>Jammu and Kashmir</v>
      </c>
      <c r="H1493" s="10">
        <f>_xlfn.XLOOKUP(Order_Details[[#This Row],[Order ID]], List_of_orders[Order ID], List_of_orders[Order Date (Clean)])</f>
        <v>43553</v>
      </c>
      <c r="I1493" s="7" t="str">
        <f>_xlfn.XLOOKUP(Order_Details[[#This Row],[Order ID]], List_of_orders[Order ID], List_of_orders[CustomerName])</f>
        <v>Pinky</v>
      </c>
      <c r="J1493" s="7" t="str">
        <f>_xlfn.XLOOKUP(Order_Details[[#This Row],[Order ID]], List_of_orders[Order ID], List_of_orders[City])</f>
        <v>Kashmir</v>
      </c>
      <c r="K1493" s="8" t="str">
        <f>TEXT(Order_Details[[#This Row],[Order Date]], "YY-MMM")</f>
        <v>19-Mar</v>
      </c>
      <c r="L1493" s="11">
        <f>Order_Details[[#This Row],[Profit]]/Order_Details[[#This Row],[Amount]]</f>
        <v>0.25423728813559321</v>
      </c>
      <c r="M1493" s="8">
        <f>YEAR(Order_Details[[#This Row],[Order Date]])</f>
        <v>2019</v>
      </c>
      <c r="N1493" s="8">
        <f>ROUNDUP(MONTH(Order_Details[[#This Row],[Order Date]])/3, 0)</f>
        <v>1</v>
      </c>
    </row>
    <row r="1494" spans="1:14">
      <c r="A1494" s="1" t="s">
        <v>1066</v>
      </c>
      <c r="B1494" s="1">
        <v>46</v>
      </c>
      <c r="C1494" s="1">
        <v>14</v>
      </c>
      <c r="D1494" s="1">
        <v>5</v>
      </c>
      <c r="E1494" s="1" t="s">
        <v>1076</v>
      </c>
      <c r="F1494" s="1" t="s">
        <v>1117</v>
      </c>
      <c r="G1494" s="7" t="str">
        <f>_xlfn.XLOOKUP(Order_Details[[#This Row],[Order ID]], List_of_orders[Order ID], List_of_orders[State])</f>
        <v>Jammu and Kashmir</v>
      </c>
      <c r="H1494" s="10">
        <f>_xlfn.XLOOKUP(Order_Details[[#This Row],[Order ID]], List_of_orders[Order ID], List_of_orders[Order Date (Clean)])</f>
        <v>43553</v>
      </c>
      <c r="I1494" s="7" t="str">
        <f>_xlfn.XLOOKUP(Order_Details[[#This Row],[Order ID]], List_of_orders[Order ID], List_of_orders[CustomerName])</f>
        <v>Pinky</v>
      </c>
      <c r="J1494" s="7" t="str">
        <f>_xlfn.XLOOKUP(Order_Details[[#This Row],[Order ID]], List_of_orders[Order ID], List_of_orders[City])</f>
        <v>Kashmir</v>
      </c>
      <c r="K1494" s="8" t="str">
        <f>TEXT(Order_Details[[#This Row],[Order Date]], "YY-MMM")</f>
        <v>19-Mar</v>
      </c>
      <c r="L1494" s="11">
        <f>Order_Details[[#This Row],[Profit]]/Order_Details[[#This Row],[Amount]]</f>
        <v>0.30434782608695654</v>
      </c>
      <c r="M1494" s="8">
        <f>YEAR(Order_Details[[#This Row],[Order Date]])</f>
        <v>2019</v>
      </c>
      <c r="N1494" s="8">
        <f>ROUNDUP(MONTH(Order_Details[[#This Row],[Order Date]])/3, 0)</f>
        <v>1</v>
      </c>
    </row>
    <row r="1495" spans="1:14">
      <c r="A1495" s="1" t="s">
        <v>1068</v>
      </c>
      <c r="B1495" s="1">
        <v>9</v>
      </c>
      <c r="C1495" s="1">
        <v>3</v>
      </c>
      <c r="D1495" s="1">
        <v>1</v>
      </c>
      <c r="E1495" s="1" t="s">
        <v>1076</v>
      </c>
      <c r="F1495" s="1" t="s">
        <v>1117</v>
      </c>
      <c r="G1495" s="7" t="str">
        <f>_xlfn.XLOOKUP(Order_Details[[#This Row],[Order ID]], List_of_orders[Order ID], List_of_orders[State])</f>
        <v>Maharashtra</v>
      </c>
      <c r="H1495" s="10">
        <f>_xlfn.XLOOKUP(Order_Details[[#This Row],[Order ID]], List_of_orders[Order ID], List_of_orders[Order Date (Clean)])</f>
        <v>43554</v>
      </c>
      <c r="I1495" s="7" t="str">
        <f>_xlfn.XLOOKUP(Order_Details[[#This Row],[Order ID]], List_of_orders[Order ID], List_of_orders[CustomerName])</f>
        <v>Bhishm</v>
      </c>
      <c r="J1495" s="7" t="str">
        <f>_xlfn.XLOOKUP(Order_Details[[#This Row],[Order ID]], List_of_orders[Order ID], List_of_orders[City])</f>
        <v>Mumbai</v>
      </c>
      <c r="K1495" s="8" t="str">
        <f>TEXT(Order_Details[[#This Row],[Order Date]], "YY-MMM")</f>
        <v>19-Mar</v>
      </c>
      <c r="L1495" s="11">
        <f>Order_Details[[#This Row],[Profit]]/Order_Details[[#This Row],[Amount]]</f>
        <v>0.33333333333333331</v>
      </c>
      <c r="M1495" s="8">
        <f>YEAR(Order_Details[[#This Row],[Order Date]])</f>
        <v>2019</v>
      </c>
      <c r="N1495" s="8">
        <f>ROUNDUP(MONTH(Order_Details[[#This Row],[Order Date]])/3, 0)</f>
        <v>1</v>
      </c>
    </row>
    <row r="1496" spans="1:14">
      <c r="A1496" s="1" t="s">
        <v>1068</v>
      </c>
      <c r="B1496" s="1">
        <v>207</v>
      </c>
      <c r="C1496" s="1">
        <v>37</v>
      </c>
      <c r="D1496" s="1">
        <v>4</v>
      </c>
      <c r="E1496" s="1" t="s">
        <v>1076</v>
      </c>
      <c r="F1496" s="1" t="s">
        <v>1103</v>
      </c>
      <c r="G1496" s="7" t="str">
        <f>_xlfn.XLOOKUP(Order_Details[[#This Row],[Order ID]], List_of_orders[Order ID], List_of_orders[State])</f>
        <v>Maharashtra</v>
      </c>
      <c r="H1496" s="10">
        <f>_xlfn.XLOOKUP(Order_Details[[#This Row],[Order ID]], List_of_orders[Order ID], List_of_orders[Order Date (Clean)])</f>
        <v>43554</v>
      </c>
      <c r="I1496" s="7" t="str">
        <f>_xlfn.XLOOKUP(Order_Details[[#This Row],[Order ID]], List_of_orders[Order ID], List_of_orders[CustomerName])</f>
        <v>Bhishm</v>
      </c>
      <c r="J1496" s="7" t="str">
        <f>_xlfn.XLOOKUP(Order_Details[[#This Row],[Order ID]], List_of_orders[Order ID], List_of_orders[City])</f>
        <v>Mumbai</v>
      </c>
      <c r="K1496" s="8" t="str">
        <f>TEXT(Order_Details[[#This Row],[Order Date]], "YY-MMM")</f>
        <v>19-Mar</v>
      </c>
      <c r="L1496" s="11">
        <f>Order_Details[[#This Row],[Profit]]/Order_Details[[#This Row],[Amount]]</f>
        <v>0.17874396135265699</v>
      </c>
      <c r="M1496" s="8">
        <f>YEAR(Order_Details[[#This Row],[Order Date]])</f>
        <v>2019</v>
      </c>
      <c r="N1496" s="8">
        <f>ROUNDUP(MONTH(Order_Details[[#This Row],[Order Date]])/3, 0)</f>
        <v>1</v>
      </c>
    </row>
    <row r="1497" spans="1:14">
      <c r="A1497" s="1" t="s">
        <v>1068</v>
      </c>
      <c r="B1497" s="1">
        <v>835</v>
      </c>
      <c r="C1497" s="1">
        <v>267</v>
      </c>
      <c r="D1497" s="1">
        <v>5</v>
      </c>
      <c r="E1497" s="1" t="s">
        <v>1077</v>
      </c>
      <c r="F1497" s="1" t="s">
        <v>1105</v>
      </c>
      <c r="G1497" s="7" t="str">
        <f>_xlfn.XLOOKUP(Order_Details[[#This Row],[Order ID]], List_of_orders[Order ID], List_of_orders[State])</f>
        <v>Maharashtra</v>
      </c>
      <c r="H1497" s="10">
        <f>_xlfn.XLOOKUP(Order_Details[[#This Row],[Order ID]], List_of_orders[Order ID], List_of_orders[Order Date (Clean)])</f>
        <v>43554</v>
      </c>
      <c r="I1497" s="7" t="str">
        <f>_xlfn.XLOOKUP(Order_Details[[#This Row],[Order ID]], List_of_orders[Order ID], List_of_orders[CustomerName])</f>
        <v>Bhishm</v>
      </c>
      <c r="J1497" s="7" t="str">
        <f>_xlfn.XLOOKUP(Order_Details[[#This Row],[Order ID]], List_of_orders[Order ID], List_of_orders[City])</f>
        <v>Mumbai</v>
      </c>
      <c r="K1497" s="8" t="str">
        <f>TEXT(Order_Details[[#This Row],[Order Date]], "YY-MMM")</f>
        <v>19-Mar</v>
      </c>
      <c r="L1497" s="11">
        <f>Order_Details[[#This Row],[Profit]]/Order_Details[[#This Row],[Amount]]</f>
        <v>0.31976047904191618</v>
      </c>
      <c r="M1497" s="8">
        <f>YEAR(Order_Details[[#This Row],[Order Date]])</f>
        <v>2019</v>
      </c>
      <c r="N1497" s="8">
        <f>ROUNDUP(MONTH(Order_Details[[#This Row],[Order Date]])/3, 0)</f>
        <v>1</v>
      </c>
    </row>
    <row r="1498" spans="1:14">
      <c r="A1498" s="1" t="s">
        <v>1068</v>
      </c>
      <c r="B1498" s="1">
        <v>2366</v>
      </c>
      <c r="C1498" s="1">
        <v>552</v>
      </c>
      <c r="D1498" s="1">
        <v>5</v>
      </c>
      <c r="E1498" s="1" t="s">
        <v>1076</v>
      </c>
      <c r="F1498" s="1" t="s">
        <v>1107</v>
      </c>
      <c r="G1498" s="7" t="str">
        <f>_xlfn.XLOOKUP(Order_Details[[#This Row],[Order ID]], List_of_orders[Order ID], List_of_orders[State])</f>
        <v>Maharashtra</v>
      </c>
      <c r="H1498" s="10">
        <f>_xlfn.XLOOKUP(Order_Details[[#This Row],[Order ID]], List_of_orders[Order ID], List_of_orders[Order Date (Clean)])</f>
        <v>43554</v>
      </c>
      <c r="I1498" s="7" t="str">
        <f>_xlfn.XLOOKUP(Order_Details[[#This Row],[Order ID]], List_of_orders[Order ID], List_of_orders[CustomerName])</f>
        <v>Bhishm</v>
      </c>
      <c r="J1498" s="7" t="str">
        <f>_xlfn.XLOOKUP(Order_Details[[#This Row],[Order ID]], List_of_orders[Order ID], List_of_orders[City])</f>
        <v>Mumbai</v>
      </c>
      <c r="K1498" s="8" t="str">
        <f>TEXT(Order_Details[[#This Row],[Order Date]], "YY-MMM")</f>
        <v>19-Mar</v>
      </c>
      <c r="L1498" s="11">
        <f>Order_Details[[#This Row],[Profit]]/Order_Details[[#This Row],[Amount]]</f>
        <v>0.23330515638207946</v>
      </c>
      <c r="M1498" s="8">
        <f>YEAR(Order_Details[[#This Row],[Order Date]])</f>
        <v>2019</v>
      </c>
      <c r="N1498" s="8">
        <f>ROUNDUP(MONTH(Order_Details[[#This Row],[Order Date]])/3, 0)</f>
        <v>1</v>
      </c>
    </row>
    <row r="1499" spans="1:14">
      <c r="A1499" s="1" t="s">
        <v>1070</v>
      </c>
      <c r="B1499" s="1">
        <v>828</v>
      </c>
      <c r="C1499" s="1">
        <v>230</v>
      </c>
      <c r="D1499" s="1">
        <v>2</v>
      </c>
      <c r="E1499" s="1" t="s">
        <v>1075</v>
      </c>
      <c r="F1499" s="1" t="s">
        <v>1108</v>
      </c>
      <c r="G1499" s="7" t="str">
        <f>_xlfn.XLOOKUP(Order_Details[[#This Row],[Order ID]], List_of_orders[Order ID], List_of_orders[State])</f>
        <v>Madhya Pradesh</v>
      </c>
      <c r="H1499" s="10">
        <f>_xlfn.XLOOKUP(Order_Details[[#This Row],[Order ID]], List_of_orders[Order ID], List_of_orders[Order Date (Clean)])</f>
        <v>43555</v>
      </c>
      <c r="I1499" s="7" t="str">
        <f>_xlfn.XLOOKUP(Order_Details[[#This Row],[Order ID]], List_of_orders[Order ID], List_of_orders[CustomerName])</f>
        <v>Hitika</v>
      </c>
      <c r="J1499" s="7" t="str">
        <f>_xlfn.XLOOKUP(Order_Details[[#This Row],[Order ID]], List_of_orders[Order ID], List_of_orders[City])</f>
        <v>Indore</v>
      </c>
      <c r="K1499" s="8" t="str">
        <f>TEXT(Order_Details[[#This Row],[Order Date]], "YY-MMM")</f>
        <v>19-Mar</v>
      </c>
      <c r="L1499" s="11">
        <f>Order_Details[[#This Row],[Profit]]/Order_Details[[#This Row],[Amount]]</f>
        <v>0.27777777777777779</v>
      </c>
      <c r="M1499" s="8">
        <f>YEAR(Order_Details[[#This Row],[Order Date]])</f>
        <v>2019</v>
      </c>
      <c r="N1499" s="8">
        <f>ROUNDUP(MONTH(Order_Details[[#This Row],[Order Date]])/3, 0)</f>
        <v>1</v>
      </c>
    </row>
    <row r="1500" spans="1:14">
      <c r="A1500" s="1" t="s">
        <v>1070</v>
      </c>
      <c r="B1500" s="1">
        <v>34</v>
      </c>
      <c r="C1500" s="1">
        <v>10</v>
      </c>
      <c r="D1500" s="1">
        <v>2</v>
      </c>
      <c r="E1500" s="1" t="s">
        <v>1076</v>
      </c>
      <c r="F1500" s="1" t="s">
        <v>1110</v>
      </c>
      <c r="G1500" s="7" t="str">
        <f>_xlfn.XLOOKUP(Order_Details[[#This Row],[Order ID]], List_of_orders[Order ID], List_of_orders[State])</f>
        <v>Madhya Pradesh</v>
      </c>
      <c r="H1500" s="10">
        <f>_xlfn.XLOOKUP(Order_Details[[#This Row],[Order ID]], List_of_orders[Order ID], List_of_orders[Order Date (Clean)])</f>
        <v>43555</v>
      </c>
      <c r="I1500" s="7" t="str">
        <f>_xlfn.XLOOKUP(Order_Details[[#This Row],[Order ID]], List_of_orders[Order ID], List_of_orders[CustomerName])</f>
        <v>Hitika</v>
      </c>
      <c r="J1500" s="7" t="str">
        <f>_xlfn.XLOOKUP(Order_Details[[#This Row],[Order ID]], List_of_orders[Order ID], List_of_orders[City])</f>
        <v>Indore</v>
      </c>
      <c r="K1500" s="8" t="str">
        <f>TEXT(Order_Details[[#This Row],[Order Date]], "YY-MMM")</f>
        <v>19-Mar</v>
      </c>
      <c r="L1500" s="11">
        <f>Order_Details[[#This Row],[Profit]]/Order_Details[[#This Row],[Amount]]</f>
        <v>0.29411764705882354</v>
      </c>
      <c r="M1500" s="8">
        <f>YEAR(Order_Details[[#This Row],[Order Date]])</f>
        <v>2019</v>
      </c>
      <c r="N1500" s="8">
        <f>ROUNDUP(MONTH(Order_Details[[#This Row],[Order Date]])/3, 0)</f>
        <v>1</v>
      </c>
    </row>
    <row r="1501" spans="1:14">
      <c r="A1501" s="1" t="s">
        <v>1070</v>
      </c>
      <c r="B1501" s="1">
        <v>72</v>
      </c>
      <c r="C1501" s="1">
        <v>16</v>
      </c>
      <c r="D1501" s="1">
        <v>2</v>
      </c>
      <c r="E1501" s="1" t="s">
        <v>1076</v>
      </c>
      <c r="F1501" s="1" t="s">
        <v>1111</v>
      </c>
      <c r="G1501" s="7" t="str">
        <f>_xlfn.XLOOKUP(Order_Details[[#This Row],[Order ID]], List_of_orders[Order ID], List_of_orders[State])</f>
        <v>Madhya Pradesh</v>
      </c>
      <c r="H1501" s="10">
        <f>_xlfn.XLOOKUP(Order_Details[[#This Row],[Order ID]], List_of_orders[Order ID], List_of_orders[Order Date (Clean)])</f>
        <v>43555</v>
      </c>
      <c r="I1501" s="7" t="str">
        <f>_xlfn.XLOOKUP(Order_Details[[#This Row],[Order ID]], List_of_orders[Order ID], List_of_orders[CustomerName])</f>
        <v>Hitika</v>
      </c>
      <c r="J1501" s="7" t="str">
        <f>_xlfn.XLOOKUP(Order_Details[[#This Row],[Order ID]], List_of_orders[Order ID], List_of_orders[City])</f>
        <v>Indore</v>
      </c>
      <c r="K1501" s="8" t="str">
        <f>TEXT(Order_Details[[#This Row],[Order Date]], "YY-MMM")</f>
        <v>19-Mar</v>
      </c>
      <c r="L1501" s="11">
        <f>Order_Details[[#This Row],[Profit]]/Order_Details[[#This Row],[Amount]]</f>
        <v>0.22222222222222221</v>
      </c>
      <c r="M1501" s="8">
        <f>YEAR(Order_Details[[#This Row],[Order Date]])</f>
        <v>2019</v>
      </c>
      <c r="N1501" s="8">
        <f>ROUNDUP(MONTH(Order_Details[[#This Row],[Order Date]])/3, 0)</f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42D30-79BA-459B-9CD4-8668FDE15235}">
  <dimension ref="A1:G23"/>
  <sheetViews>
    <sheetView topLeftCell="D1" workbookViewId="0">
      <selection activeCell="F3" sqref="F3:F22"/>
    </sheetView>
  </sheetViews>
  <sheetFormatPr defaultRowHeight="15"/>
  <cols>
    <col min="1" max="1" width="18.42578125" bestFit="1" customWidth="1"/>
    <col min="2" max="2" width="14.85546875" bestFit="1" customWidth="1"/>
    <col min="3" max="3" width="12.5703125" bestFit="1" customWidth="1"/>
    <col min="4" max="4" width="14.28515625" style="12" customWidth="1"/>
    <col min="6" max="6" width="17" style="12" customWidth="1"/>
    <col min="7" max="7" width="18.42578125" customWidth="1"/>
  </cols>
  <sheetData>
    <row r="1" spans="1:7">
      <c r="A1" s="13" t="s">
        <v>1096</v>
      </c>
      <c r="B1" t="s">
        <v>1118</v>
      </c>
    </row>
    <row r="3" spans="1:7">
      <c r="A3" s="13" t="s">
        <v>8</v>
      </c>
      <c r="B3" t="s">
        <v>1119</v>
      </c>
      <c r="C3" t="s">
        <v>1079</v>
      </c>
      <c r="D3" s="12" t="s">
        <v>1098</v>
      </c>
      <c r="F3" t="s">
        <v>8</v>
      </c>
      <c r="G3" s="12" t="s">
        <v>1098</v>
      </c>
    </row>
    <row r="4" spans="1:7">
      <c r="A4" t="s">
        <v>20</v>
      </c>
      <c r="B4" s="9">
        <v>105140</v>
      </c>
      <c r="C4" s="9">
        <v>5551</v>
      </c>
      <c r="D4" s="12">
        <f>C4/B4</f>
        <v>5.2796271637816243E-2</v>
      </c>
      <c r="F4" t="s">
        <v>40</v>
      </c>
      <c r="G4" s="12">
        <v>-0.36405454246755381</v>
      </c>
    </row>
    <row r="5" spans="1:7">
      <c r="A5" t="s">
        <v>16</v>
      </c>
      <c r="B5" s="9">
        <v>95348</v>
      </c>
      <c r="C5" s="9">
        <v>6176</v>
      </c>
      <c r="D5" s="12">
        <f t="shared" ref="D5:D23" si="0">C5/B5</f>
        <v>6.4773251667575624E-2</v>
      </c>
      <c r="F5" t="s">
        <v>82</v>
      </c>
      <c r="G5" s="12">
        <v>-3.7417018708509352E-2</v>
      </c>
    </row>
    <row r="6" spans="1:7">
      <c r="A6" t="s">
        <v>729</v>
      </c>
      <c r="B6" s="9">
        <v>22531</v>
      </c>
      <c r="C6" s="9">
        <v>2987</v>
      </c>
      <c r="D6" s="12">
        <f t="shared" si="0"/>
        <v>0.13257289956060539</v>
      </c>
      <c r="F6" t="s">
        <v>56</v>
      </c>
      <c r="G6" s="12">
        <v>-3.6280233527939951E-2</v>
      </c>
    </row>
    <row r="7" spans="1:7">
      <c r="A7" t="s">
        <v>44</v>
      </c>
      <c r="B7" s="9">
        <v>22359</v>
      </c>
      <c r="C7" s="9">
        <v>3237</v>
      </c>
      <c r="D7" s="12">
        <f t="shared" si="0"/>
        <v>0.14477391654367369</v>
      </c>
      <c r="F7" t="s">
        <v>48</v>
      </c>
      <c r="G7" s="12">
        <v>-2.4801050761029127E-2</v>
      </c>
    </row>
    <row r="8" spans="1:7">
      <c r="A8" t="s">
        <v>24</v>
      </c>
      <c r="B8" s="9">
        <v>21149</v>
      </c>
      <c r="C8" s="9">
        <v>1257</v>
      </c>
      <c r="D8" s="12">
        <f t="shared" si="0"/>
        <v>5.9435434299494064E-2</v>
      </c>
      <c r="F8" t="s">
        <v>36</v>
      </c>
      <c r="G8" s="12">
        <v>7.3875704127804971E-4</v>
      </c>
    </row>
    <row r="9" spans="1:7">
      <c r="A9" t="s">
        <v>12</v>
      </c>
      <c r="B9" s="9">
        <v>21058</v>
      </c>
      <c r="C9" s="9">
        <v>465</v>
      </c>
      <c r="D9" s="12">
        <f t="shared" si="0"/>
        <v>2.2081869123373541E-2</v>
      </c>
      <c r="F9" t="s">
        <v>77</v>
      </c>
      <c r="G9" s="12">
        <v>1.2433840208350836E-2</v>
      </c>
    </row>
    <row r="10" spans="1:7">
      <c r="A10" t="s">
        <v>56</v>
      </c>
      <c r="B10" s="9">
        <v>16786</v>
      </c>
      <c r="C10" s="9">
        <v>-609</v>
      </c>
      <c r="D10" s="12">
        <f t="shared" si="0"/>
        <v>-3.6280233527939951E-2</v>
      </c>
      <c r="F10" t="s">
        <v>12</v>
      </c>
      <c r="G10" s="12">
        <v>2.2081869123373541E-2</v>
      </c>
    </row>
    <row r="11" spans="1:7">
      <c r="A11" t="s">
        <v>32</v>
      </c>
      <c r="B11" s="9">
        <v>15058</v>
      </c>
      <c r="C11" s="9">
        <v>645</v>
      </c>
      <c r="D11" s="12">
        <f t="shared" si="0"/>
        <v>4.283437375481472E-2</v>
      </c>
      <c r="F11" t="s">
        <v>32</v>
      </c>
      <c r="G11" s="12">
        <v>4.283437375481472E-2</v>
      </c>
    </row>
    <row r="12" spans="1:7">
      <c r="A12" t="s">
        <v>28</v>
      </c>
      <c r="B12" s="9">
        <v>14086</v>
      </c>
      <c r="C12" s="9">
        <v>2500</v>
      </c>
      <c r="D12" s="12">
        <f t="shared" si="0"/>
        <v>0.17748118699417861</v>
      </c>
      <c r="F12" t="s">
        <v>20</v>
      </c>
      <c r="G12" s="12">
        <v>5.2796271637816243E-2</v>
      </c>
    </row>
    <row r="13" spans="1:7">
      <c r="A13" t="s">
        <v>52</v>
      </c>
      <c r="B13" s="9">
        <v>13459</v>
      </c>
      <c r="C13" s="9">
        <v>1871</v>
      </c>
      <c r="D13" s="12">
        <f t="shared" si="0"/>
        <v>0.1390147856452931</v>
      </c>
      <c r="F13" t="s">
        <v>73</v>
      </c>
      <c r="G13" s="12">
        <v>5.5182699478001494E-2</v>
      </c>
    </row>
    <row r="14" spans="1:7">
      <c r="A14" t="s">
        <v>82</v>
      </c>
      <c r="B14" s="9">
        <v>13256</v>
      </c>
      <c r="C14" s="9">
        <v>-496</v>
      </c>
      <c r="D14" s="12">
        <f t="shared" si="0"/>
        <v>-3.7417018708509352E-2</v>
      </c>
      <c r="F14" t="s">
        <v>24</v>
      </c>
      <c r="G14" s="12">
        <v>5.9435434299494064E-2</v>
      </c>
    </row>
    <row r="15" spans="1:7">
      <c r="A15" t="s">
        <v>48</v>
      </c>
      <c r="B15" s="9">
        <v>12943</v>
      </c>
      <c r="C15" s="9">
        <v>-321</v>
      </c>
      <c r="D15" s="12">
        <f t="shared" si="0"/>
        <v>-2.4801050761029127E-2</v>
      </c>
      <c r="F15" t="s">
        <v>16</v>
      </c>
      <c r="G15" s="12">
        <v>6.4773251667575624E-2</v>
      </c>
    </row>
    <row r="16" spans="1:7">
      <c r="A16" t="s">
        <v>77</v>
      </c>
      <c r="B16" s="9">
        <v>11903</v>
      </c>
      <c r="C16" s="9">
        <v>148</v>
      </c>
      <c r="D16" s="12">
        <f t="shared" si="0"/>
        <v>1.2433840208350836E-2</v>
      </c>
      <c r="F16" t="s">
        <v>64</v>
      </c>
      <c r="G16" s="12">
        <v>7.5698130625432722E-2</v>
      </c>
    </row>
    <row r="17" spans="1:7">
      <c r="A17" t="s">
        <v>36</v>
      </c>
      <c r="B17" s="9">
        <v>10829</v>
      </c>
      <c r="C17" s="9">
        <v>8</v>
      </c>
      <c r="D17" s="12">
        <f t="shared" si="0"/>
        <v>7.3875704127804971E-4</v>
      </c>
      <c r="F17" t="s">
        <v>69</v>
      </c>
      <c r="G17" s="12">
        <v>7.6004548900682339E-2</v>
      </c>
    </row>
    <row r="18" spans="1:7">
      <c r="A18" t="s">
        <v>60</v>
      </c>
      <c r="B18" s="9">
        <v>8863</v>
      </c>
      <c r="C18" s="9">
        <v>1325</v>
      </c>
      <c r="D18" s="12">
        <f t="shared" si="0"/>
        <v>0.14949791267065327</v>
      </c>
      <c r="F18" t="s">
        <v>729</v>
      </c>
      <c r="G18" s="12">
        <v>0.13257289956060539</v>
      </c>
    </row>
    <row r="19" spans="1:7">
      <c r="A19" t="s">
        <v>64</v>
      </c>
      <c r="B19" s="9">
        <v>8666</v>
      </c>
      <c r="C19" s="9">
        <v>656</v>
      </c>
      <c r="D19" s="12">
        <f t="shared" si="0"/>
        <v>7.5698130625432722E-2</v>
      </c>
      <c r="F19" t="s">
        <v>52</v>
      </c>
      <c r="G19" s="12">
        <v>0.1390147856452931</v>
      </c>
    </row>
    <row r="20" spans="1:7">
      <c r="A20" t="s">
        <v>73</v>
      </c>
      <c r="B20" s="9">
        <v>6705</v>
      </c>
      <c r="C20" s="9">
        <v>370</v>
      </c>
      <c r="D20" s="12">
        <f t="shared" si="0"/>
        <v>5.5182699478001494E-2</v>
      </c>
      <c r="F20" t="s">
        <v>44</v>
      </c>
      <c r="G20" s="12">
        <v>0.14477391654367369</v>
      </c>
    </row>
    <row r="21" spans="1:7">
      <c r="A21" t="s">
        <v>40</v>
      </c>
      <c r="B21" s="9">
        <v>6087</v>
      </c>
      <c r="C21" s="9">
        <v>-2216</v>
      </c>
      <c r="D21" s="12">
        <f t="shared" si="0"/>
        <v>-0.36405454246755381</v>
      </c>
      <c r="F21" t="s">
        <v>60</v>
      </c>
      <c r="G21" s="12">
        <v>0.14949791267065327</v>
      </c>
    </row>
    <row r="22" spans="1:7">
      <c r="A22" t="s">
        <v>69</v>
      </c>
      <c r="B22" s="9">
        <v>5276</v>
      </c>
      <c r="C22" s="9">
        <v>401</v>
      </c>
      <c r="D22" s="12">
        <f t="shared" si="0"/>
        <v>7.6004548900682339E-2</v>
      </c>
      <c r="F22" t="s">
        <v>28</v>
      </c>
      <c r="G22" s="12">
        <v>0.17748118699417861</v>
      </c>
    </row>
    <row r="23" spans="1:7">
      <c r="A23" t="s">
        <v>1092</v>
      </c>
      <c r="B23" s="9">
        <v>431502</v>
      </c>
      <c r="C23" s="9">
        <v>23955</v>
      </c>
      <c r="D23" s="12">
        <f t="shared" si="0"/>
        <v>5.5515385791954613E-2</v>
      </c>
    </row>
  </sheetData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FAA6-DD5D-4EFE-A7B3-4C6A49A9AE41}">
  <dimension ref="A3:E336"/>
  <sheetViews>
    <sheetView workbookViewId="0">
      <selection activeCell="G4" sqref="G4"/>
    </sheetView>
  </sheetViews>
  <sheetFormatPr defaultRowHeight="15"/>
  <cols>
    <col min="1" max="1" width="18.42578125" bestFit="1" customWidth="1"/>
    <col min="2" max="2" width="16.5703125" bestFit="1" customWidth="1"/>
    <col min="3" max="3" width="14.85546875" bestFit="1" customWidth="1"/>
  </cols>
  <sheetData>
    <row r="3" spans="1:5">
      <c r="A3" s="13" t="s">
        <v>1097</v>
      </c>
      <c r="B3" t="s">
        <v>1120</v>
      </c>
      <c r="C3" t="s">
        <v>1119</v>
      </c>
    </row>
    <row r="4" spans="1:5">
      <c r="A4" t="s">
        <v>149</v>
      </c>
      <c r="B4" s="9">
        <v>13</v>
      </c>
      <c r="C4" s="9">
        <v>9177</v>
      </c>
      <c r="E4" s="12">
        <f>SUM(C4:C13)/C336</f>
        <v>0.15939207697762697</v>
      </c>
    </row>
    <row r="5" spans="1:5">
      <c r="A5" t="s">
        <v>109</v>
      </c>
      <c r="B5" s="9">
        <v>17</v>
      </c>
      <c r="C5" s="9">
        <v>9030</v>
      </c>
    </row>
    <row r="6" spans="1:5">
      <c r="A6" t="s">
        <v>479</v>
      </c>
      <c r="B6" s="9">
        <v>25</v>
      </c>
      <c r="C6" s="9">
        <v>8135</v>
      </c>
    </row>
    <row r="7" spans="1:5">
      <c r="A7" t="s">
        <v>318</v>
      </c>
      <c r="B7" s="9">
        <v>12</v>
      </c>
      <c r="C7" s="9">
        <v>6889</v>
      </c>
    </row>
    <row r="8" spans="1:5">
      <c r="A8" t="s">
        <v>421</v>
      </c>
      <c r="B8" s="9">
        <v>11</v>
      </c>
      <c r="C8" s="9">
        <v>6869</v>
      </c>
    </row>
    <row r="9" spans="1:5">
      <c r="A9" t="s">
        <v>916</v>
      </c>
      <c r="B9" s="9">
        <v>7</v>
      </c>
      <c r="C9" s="9">
        <v>6026</v>
      </c>
    </row>
    <row r="10" spans="1:5">
      <c r="A10" t="s">
        <v>171</v>
      </c>
      <c r="B10" s="9">
        <v>21</v>
      </c>
      <c r="C10" s="9">
        <v>5762</v>
      </c>
    </row>
    <row r="11" spans="1:5">
      <c r="A11" t="s">
        <v>183</v>
      </c>
      <c r="B11" s="9">
        <v>17</v>
      </c>
      <c r="C11" s="9">
        <v>5750</v>
      </c>
    </row>
    <row r="12" spans="1:5">
      <c r="A12" t="s">
        <v>627</v>
      </c>
      <c r="B12" s="9">
        <v>14</v>
      </c>
      <c r="C12" s="9">
        <v>5691</v>
      </c>
    </row>
    <row r="13" spans="1:5">
      <c r="A13" t="s">
        <v>88</v>
      </c>
      <c r="B13" s="9">
        <v>14</v>
      </c>
      <c r="C13" s="9">
        <v>5449</v>
      </c>
    </row>
    <row r="14" spans="1:5">
      <c r="A14" t="s">
        <v>47</v>
      </c>
      <c r="B14" s="9">
        <v>16</v>
      </c>
      <c r="C14" s="9">
        <v>5421</v>
      </c>
    </row>
    <row r="15" spans="1:5">
      <c r="A15" t="s">
        <v>878</v>
      </c>
      <c r="B15" s="9">
        <v>5</v>
      </c>
      <c r="C15" s="9">
        <v>5228</v>
      </c>
    </row>
    <row r="16" spans="1:5">
      <c r="A16" t="s">
        <v>131</v>
      </c>
      <c r="B16" s="9">
        <v>8</v>
      </c>
      <c r="C16" s="9">
        <v>5161</v>
      </c>
    </row>
    <row r="17" spans="1:3">
      <c r="A17" t="s">
        <v>538</v>
      </c>
      <c r="B17" s="9">
        <v>13</v>
      </c>
      <c r="C17" s="9">
        <v>4929</v>
      </c>
    </row>
    <row r="18" spans="1:3">
      <c r="A18" t="s">
        <v>102</v>
      </c>
      <c r="B18" s="9">
        <v>7</v>
      </c>
      <c r="C18" s="9">
        <v>4907</v>
      </c>
    </row>
    <row r="19" spans="1:3">
      <c r="A19" t="s">
        <v>559</v>
      </c>
      <c r="B19" s="9">
        <v>14</v>
      </c>
      <c r="C19" s="9">
        <v>4901</v>
      </c>
    </row>
    <row r="20" spans="1:3">
      <c r="A20" t="s">
        <v>781</v>
      </c>
      <c r="B20" s="9">
        <v>4</v>
      </c>
      <c r="C20" s="9">
        <v>4836</v>
      </c>
    </row>
    <row r="21" spans="1:3">
      <c r="A21" t="s">
        <v>138</v>
      </c>
      <c r="B21" s="9">
        <v>11</v>
      </c>
      <c r="C21" s="9">
        <v>4741</v>
      </c>
    </row>
    <row r="22" spans="1:3">
      <c r="A22" t="s">
        <v>39</v>
      </c>
      <c r="B22" s="9">
        <v>12</v>
      </c>
      <c r="C22" s="9">
        <v>4701</v>
      </c>
    </row>
    <row r="23" spans="1:3">
      <c r="A23" t="s">
        <v>165</v>
      </c>
      <c r="B23" s="9">
        <v>10</v>
      </c>
      <c r="C23" s="9">
        <v>4675</v>
      </c>
    </row>
    <row r="24" spans="1:3">
      <c r="A24" t="s">
        <v>174</v>
      </c>
      <c r="B24" s="9">
        <v>9</v>
      </c>
      <c r="C24" s="9">
        <v>4668</v>
      </c>
    </row>
    <row r="25" spans="1:3">
      <c r="A25" t="s">
        <v>161</v>
      </c>
      <c r="B25" s="9">
        <v>16</v>
      </c>
      <c r="C25" s="9">
        <v>4259</v>
      </c>
    </row>
    <row r="26" spans="1:3">
      <c r="A26" t="s">
        <v>224</v>
      </c>
      <c r="B26" s="9">
        <v>18</v>
      </c>
      <c r="C26" s="9">
        <v>3952</v>
      </c>
    </row>
    <row r="27" spans="1:3">
      <c r="A27" t="s">
        <v>15</v>
      </c>
      <c r="B27" s="9">
        <v>7</v>
      </c>
      <c r="C27" s="9">
        <v>3944</v>
      </c>
    </row>
    <row r="28" spans="1:3">
      <c r="A28" t="s">
        <v>416</v>
      </c>
      <c r="B28" s="9">
        <v>11</v>
      </c>
      <c r="C28" s="9">
        <v>3912</v>
      </c>
    </row>
    <row r="29" spans="1:3">
      <c r="A29" t="s">
        <v>55</v>
      </c>
      <c r="B29" s="9">
        <v>6</v>
      </c>
      <c r="C29" s="9">
        <v>3828</v>
      </c>
    </row>
    <row r="30" spans="1:3">
      <c r="A30" t="s">
        <v>506</v>
      </c>
      <c r="B30" s="9">
        <v>6</v>
      </c>
      <c r="C30" s="9">
        <v>3803</v>
      </c>
    </row>
    <row r="31" spans="1:3">
      <c r="A31" t="s">
        <v>59</v>
      </c>
      <c r="B31" s="9">
        <v>8</v>
      </c>
      <c r="C31" s="9">
        <v>3704</v>
      </c>
    </row>
    <row r="32" spans="1:3">
      <c r="A32" t="s">
        <v>236</v>
      </c>
      <c r="B32" s="9">
        <v>6</v>
      </c>
      <c r="C32" s="9">
        <v>3599</v>
      </c>
    </row>
    <row r="33" spans="1:3">
      <c r="A33" t="s">
        <v>743</v>
      </c>
      <c r="B33" s="9">
        <v>6</v>
      </c>
      <c r="C33" s="9">
        <v>3574</v>
      </c>
    </row>
    <row r="34" spans="1:3">
      <c r="A34" t="s">
        <v>933</v>
      </c>
      <c r="B34" s="9">
        <v>8</v>
      </c>
      <c r="C34" s="9">
        <v>3548</v>
      </c>
    </row>
    <row r="35" spans="1:3">
      <c r="A35" t="s">
        <v>203</v>
      </c>
      <c r="B35" s="9">
        <v>12</v>
      </c>
      <c r="C35" s="9">
        <v>3537</v>
      </c>
    </row>
    <row r="36" spans="1:3">
      <c r="A36" t="s">
        <v>371</v>
      </c>
      <c r="B36" s="9">
        <v>14</v>
      </c>
      <c r="C36" s="9">
        <v>3387</v>
      </c>
    </row>
    <row r="37" spans="1:3">
      <c r="A37" t="s">
        <v>769</v>
      </c>
      <c r="B37" s="9">
        <v>5</v>
      </c>
      <c r="C37" s="9">
        <v>3350</v>
      </c>
    </row>
    <row r="38" spans="1:3">
      <c r="A38" t="s">
        <v>624</v>
      </c>
      <c r="B38" s="9">
        <v>10</v>
      </c>
      <c r="C38" s="9">
        <v>3349</v>
      </c>
    </row>
    <row r="39" spans="1:3">
      <c r="A39" t="s">
        <v>869</v>
      </c>
      <c r="B39" s="9">
        <v>3</v>
      </c>
      <c r="C39" s="9">
        <v>3343</v>
      </c>
    </row>
    <row r="40" spans="1:3">
      <c r="A40" t="s">
        <v>504</v>
      </c>
      <c r="B40" s="9">
        <v>6</v>
      </c>
      <c r="C40" s="9">
        <v>3287</v>
      </c>
    </row>
    <row r="41" spans="1:3">
      <c r="A41" t="s">
        <v>578</v>
      </c>
      <c r="B41" s="9">
        <v>6</v>
      </c>
      <c r="C41" s="9">
        <v>3276</v>
      </c>
    </row>
    <row r="42" spans="1:3">
      <c r="A42" t="s">
        <v>373</v>
      </c>
      <c r="B42" s="9">
        <v>9</v>
      </c>
      <c r="C42" s="9">
        <v>3269</v>
      </c>
    </row>
    <row r="43" spans="1:3">
      <c r="A43" t="s">
        <v>516</v>
      </c>
      <c r="B43" s="9">
        <v>8</v>
      </c>
      <c r="C43" s="9">
        <v>3266</v>
      </c>
    </row>
    <row r="44" spans="1:3">
      <c r="A44" t="s">
        <v>144</v>
      </c>
      <c r="B44" s="9">
        <v>14</v>
      </c>
      <c r="C44" s="9">
        <v>3216</v>
      </c>
    </row>
    <row r="45" spans="1:3">
      <c r="A45" t="s">
        <v>410</v>
      </c>
      <c r="B45" s="9">
        <v>9</v>
      </c>
      <c r="C45" s="9">
        <v>3205</v>
      </c>
    </row>
    <row r="46" spans="1:3">
      <c r="A46" t="s">
        <v>159</v>
      </c>
      <c r="B46" s="9">
        <v>10</v>
      </c>
      <c r="C46" s="9">
        <v>3192</v>
      </c>
    </row>
    <row r="47" spans="1:3">
      <c r="A47" t="s">
        <v>100</v>
      </c>
      <c r="B47" s="9">
        <v>12</v>
      </c>
      <c r="C47" s="9">
        <v>3160</v>
      </c>
    </row>
    <row r="48" spans="1:3">
      <c r="A48" t="s">
        <v>238</v>
      </c>
      <c r="B48" s="9">
        <v>10</v>
      </c>
      <c r="C48" s="9">
        <v>3112</v>
      </c>
    </row>
    <row r="49" spans="1:3">
      <c r="A49" t="s">
        <v>402</v>
      </c>
      <c r="B49" s="9">
        <v>7</v>
      </c>
      <c r="C49" s="9">
        <v>3065</v>
      </c>
    </row>
    <row r="50" spans="1:3">
      <c r="A50" t="s">
        <v>725</v>
      </c>
      <c r="B50" s="9">
        <v>5</v>
      </c>
      <c r="C50" s="9">
        <v>3003</v>
      </c>
    </row>
    <row r="51" spans="1:3">
      <c r="A51" t="s">
        <v>19</v>
      </c>
      <c r="B51" s="9">
        <v>14</v>
      </c>
      <c r="C51" s="9">
        <v>2807</v>
      </c>
    </row>
    <row r="52" spans="1:3">
      <c r="A52" t="s">
        <v>243</v>
      </c>
      <c r="B52" s="9">
        <v>7</v>
      </c>
      <c r="C52" s="9">
        <v>2756</v>
      </c>
    </row>
    <row r="53" spans="1:3">
      <c r="A53" t="s">
        <v>95</v>
      </c>
      <c r="B53" s="9">
        <v>13</v>
      </c>
      <c r="C53" s="9">
        <v>2584</v>
      </c>
    </row>
    <row r="54" spans="1:3">
      <c r="A54" t="s">
        <v>136</v>
      </c>
      <c r="B54" s="9">
        <v>12</v>
      </c>
      <c r="C54" s="9">
        <v>2466</v>
      </c>
    </row>
    <row r="55" spans="1:3">
      <c r="A55" t="s">
        <v>451</v>
      </c>
      <c r="B55" s="9">
        <v>5</v>
      </c>
      <c r="C55" s="9">
        <v>2450</v>
      </c>
    </row>
    <row r="56" spans="1:3">
      <c r="A56" t="s">
        <v>226</v>
      </c>
      <c r="B56" s="9">
        <v>5</v>
      </c>
      <c r="C56" s="9">
        <v>2390</v>
      </c>
    </row>
    <row r="57" spans="1:3">
      <c r="A57" t="s">
        <v>927</v>
      </c>
      <c r="B57" s="9">
        <v>11</v>
      </c>
      <c r="C57" s="9">
        <v>2342</v>
      </c>
    </row>
    <row r="58" spans="1:3">
      <c r="A58" t="s">
        <v>387</v>
      </c>
      <c r="B58" s="9">
        <v>7</v>
      </c>
      <c r="C58" s="9">
        <v>2308</v>
      </c>
    </row>
    <row r="59" spans="1:3">
      <c r="A59" t="s">
        <v>296</v>
      </c>
      <c r="B59" s="9">
        <v>6</v>
      </c>
      <c r="C59" s="9">
        <v>2293</v>
      </c>
    </row>
    <row r="60" spans="1:3">
      <c r="A60" t="s">
        <v>191</v>
      </c>
      <c r="B60" s="9">
        <v>6</v>
      </c>
      <c r="C60" s="9">
        <v>2286</v>
      </c>
    </row>
    <row r="61" spans="1:3">
      <c r="A61" t="s">
        <v>850</v>
      </c>
      <c r="B61" s="9">
        <v>8</v>
      </c>
      <c r="C61" s="9">
        <v>2268</v>
      </c>
    </row>
    <row r="62" spans="1:3">
      <c r="A62" t="s">
        <v>641</v>
      </c>
      <c r="B62" s="9">
        <v>3</v>
      </c>
      <c r="C62" s="9">
        <v>2262</v>
      </c>
    </row>
    <row r="63" spans="1:3">
      <c r="A63" t="s">
        <v>740</v>
      </c>
      <c r="B63" s="9">
        <v>5</v>
      </c>
      <c r="C63" s="9">
        <v>2233</v>
      </c>
    </row>
    <row r="64" spans="1:3">
      <c r="A64" t="s">
        <v>703</v>
      </c>
      <c r="B64" s="9">
        <v>2</v>
      </c>
      <c r="C64" s="9">
        <v>2208</v>
      </c>
    </row>
    <row r="65" spans="1:3">
      <c r="A65" t="s">
        <v>347</v>
      </c>
      <c r="B65" s="9">
        <v>3</v>
      </c>
      <c r="C65" s="9">
        <v>2148</v>
      </c>
    </row>
    <row r="66" spans="1:3">
      <c r="A66" t="s">
        <v>97</v>
      </c>
      <c r="B66" s="9">
        <v>9</v>
      </c>
      <c r="C66" s="9">
        <v>2139</v>
      </c>
    </row>
    <row r="67" spans="1:3">
      <c r="A67" t="s">
        <v>81</v>
      </c>
      <c r="B67" s="9">
        <v>8</v>
      </c>
      <c r="C67" s="9">
        <v>2084</v>
      </c>
    </row>
    <row r="68" spans="1:3">
      <c r="A68" t="s">
        <v>413</v>
      </c>
      <c r="B68" s="9">
        <v>5</v>
      </c>
      <c r="C68" s="9">
        <v>2070</v>
      </c>
    </row>
    <row r="69" spans="1:3">
      <c r="A69" t="s">
        <v>221</v>
      </c>
      <c r="B69" s="9">
        <v>5</v>
      </c>
      <c r="C69" s="9">
        <v>2030</v>
      </c>
    </row>
    <row r="70" spans="1:3">
      <c r="A70" t="s">
        <v>840</v>
      </c>
      <c r="B70" s="9">
        <v>8</v>
      </c>
      <c r="C70" s="9">
        <v>2017</v>
      </c>
    </row>
    <row r="71" spans="1:3">
      <c r="A71" t="s">
        <v>351</v>
      </c>
      <c r="B71" s="9">
        <v>6</v>
      </c>
      <c r="C71" s="9">
        <v>2002</v>
      </c>
    </row>
    <row r="72" spans="1:3">
      <c r="A72" t="s">
        <v>273</v>
      </c>
      <c r="B72" s="9">
        <v>7</v>
      </c>
      <c r="C72" s="9">
        <v>1995</v>
      </c>
    </row>
    <row r="73" spans="1:3">
      <c r="A73" t="s">
        <v>807</v>
      </c>
      <c r="B73" s="9">
        <v>3</v>
      </c>
      <c r="C73" s="9">
        <v>1969</v>
      </c>
    </row>
    <row r="74" spans="1:3">
      <c r="A74" t="s">
        <v>121</v>
      </c>
      <c r="B74" s="9">
        <v>8</v>
      </c>
      <c r="C74" s="9">
        <v>1934</v>
      </c>
    </row>
    <row r="75" spans="1:3">
      <c r="A75" t="s">
        <v>711</v>
      </c>
      <c r="B75" s="9">
        <v>7</v>
      </c>
      <c r="C75" s="9">
        <v>1931</v>
      </c>
    </row>
    <row r="76" spans="1:3">
      <c r="A76" t="s">
        <v>141</v>
      </c>
      <c r="B76" s="9">
        <v>11</v>
      </c>
      <c r="C76" s="9">
        <v>1922</v>
      </c>
    </row>
    <row r="77" spans="1:3">
      <c r="A77" t="s">
        <v>496</v>
      </c>
      <c r="B77" s="9">
        <v>8</v>
      </c>
      <c r="C77" s="9">
        <v>1921</v>
      </c>
    </row>
    <row r="78" spans="1:3">
      <c r="A78" t="s">
        <v>820</v>
      </c>
      <c r="B78" s="9">
        <v>5</v>
      </c>
      <c r="C78" s="9">
        <v>1907</v>
      </c>
    </row>
    <row r="79" spans="1:3">
      <c r="A79" t="s">
        <v>860</v>
      </c>
      <c r="B79" s="9">
        <v>4</v>
      </c>
      <c r="C79" s="9">
        <v>1904</v>
      </c>
    </row>
    <row r="80" spans="1:3">
      <c r="A80" t="s">
        <v>683</v>
      </c>
      <c r="B80" s="9">
        <v>6</v>
      </c>
      <c r="C80" s="9">
        <v>1895</v>
      </c>
    </row>
    <row r="81" spans="1:3">
      <c r="A81" t="s">
        <v>151</v>
      </c>
      <c r="B81" s="9">
        <v>13</v>
      </c>
      <c r="C81" s="9">
        <v>1790</v>
      </c>
    </row>
    <row r="82" spans="1:3">
      <c r="A82" t="s">
        <v>835</v>
      </c>
      <c r="B82" s="9">
        <v>10</v>
      </c>
      <c r="C82" s="9">
        <v>1782</v>
      </c>
    </row>
    <row r="83" spans="1:3">
      <c r="A83" t="s">
        <v>288</v>
      </c>
      <c r="B83" s="9">
        <v>5</v>
      </c>
      <c r="C83" s="9">
        <v>1777</v>
      </c>
    </row>
    <row r="84" spans="1:3">
      <c r="A84" t="s">
        <v>670</v>
      </c>
      <c r="B84" s="9">
        <v>5</v>
      </c>
      <c r="C84" s="9">
        <v>1757</v>
      </c>
    </row>
    <row r="85" spans="1:3">
      <c r="A85" t="s">
        <v>134</v>
      </c>
      <c r="B85" s="9">
        <v>2</v>
      </c>
      <c r="C85" s="9">
        <v>1729</v>
      </c>
    </row>
    <row r="86" spans="1:3">
      <c r="A86" t="s">
        <v>501</v>
      </c>
      <c r="B86" s="9">
        <v>7</v>
      </c>
      <c r="C86" s="9">
        <v>1721</v>
      </c>
    </row>
    <row r="87" spans="1:3">
      <c r="A87" t="s">
        <v>153</v>
      </c>
      <c r="B87" s="9">
        <v>5</v>
      </c>
      <c r="C87" s="9">
        <v>1715</v>
      </c>
    </row>
    <row r="88" spans="1:3">
      <c r="A88" t="s">
        <v>795</v>
      </c>
      <c r="B88" s="9">
        <v>3</v>
      </c>
      <c r="C88" s="9">
        <v>1678</v>
      </c>
    </row>
    <row r="89" spans="1:3">
      <c r="A89" t="s">
        <v>520</v>
      </c>
      <c r="B89" s="9">
        <v>5</v>
      </c>
      <c r="C89" s="9">
        <v>1647</v>
      </c>
    </row>
    <row r="90" spans="1:3">
      <c r="A90" t="s">
        <v>111</v>
      </c>
      <c r="B90" s="9">
        <v>2</v>
      </c>
      <c r="C90" s="9">
        <v>1643</v>
      </c>
    </row>
    <row r="91" spans="1:3">
      <c r="A91" t="s">
        <v>147</v>
      </c>
      <c r="B91" s="9">
        <v>9</v>
      </c>
      <c r="C91" s="9">
        <v>1629</v>
      </c>
    </row>
    <row r="92" spans="1:3">
      <c r="A92" t="s">
        <v>530</v>
      </c>
      <c r="B92" s="9">
        <v>6</v>
      </c>
      <c r="C92" s="9">
        <v>1619</v>
      </c>
    </row>
    <row r="93" spans="1:3">
      <c r="A93" t="s">
        <v>270</v>
      </c>
      <c r="B93" s="9">
        <v>6</v>
      </c>
      <c r="C93" s="9">
        <v>1607</v>
      </c>
    </row>
    <row r="94" spans="1:3">
      <c r="A94" t="s">
        <v>391</v>
      </c>
      <c r="B94" s="9">
        <v>7</v>
      </c>
      <c r="C94" s="9">
        <v>1593</v>
      </c>
    </row>
    <row r="95" spans="1:3">
      <c r="A95" t="s">
        <v>389</v>
      </c>
      <c r="B95" s="9">
        <v>10</v>
      </c>
      <c r="C95" s="9">
        <v>1587</v>
      </c>
    </row>
    <row r="96" spans="1:3">
      <c r="A96" t="s">
        <v>444</v>
      </c>
      <c r="B96" s="9">
        <v>1</v>
      </c>
      <c r="C96" s="9">
        <v>1582</v>
      </c>
    </row>
    <row r="97" spans="1:3">
      <c r="A97" t="s">
        <v>11</v>
      </c>
      <c r="B97" s="9">
        <v>6</v>
      </c>
      <c r="C97" s="9">
        <v>1579</v>
      </c>
    </row>
    <row r="98" spans="1:3">
      <c r="A98" t="s">
        <v>699</v>
      </c>
      <c r="B98" s="9">
        <v>4</v>
      </c>
      <c r="C98" s="9">
        <v>1571</v>
      </c>
    </row>
    <row r="99" spans="1:3">
      <c r="A99" t="s">
        <v>194</v>
      </c>
      <c r="B99" s="9">
        <v>4</v>
      </c>
      <c r="C99" s="9">
        <v>1570</v>
      </c>
    </row>
    <row r="100" spans="1:3">
      <c r="A100" t="s">
        <v>349</v>
      </c>
      <c r="B100" s="9">
        <v>1</v>
      </c>
      <c r="C100" s="9">
        <v>1549</v>
      </c>
    </row>
    <row r="101" spans="1:3">
      <c r="A101" t="s">
        <v>206</v>
      </c>
      <c r="B101" s="9">
        <v>5</v>
      </c>
      <c r="C101" s="9">
        <v>1544</v>
      </c>
    </row>
    <row r="102" spans="1:3">
      <c r="A102" t="s">
        <v>383</v>
      </c>
      <c r="B102" s="9">
        <v>12</v>
      </c>
      <c r="C102" s="9">
        <v>1540</v>
      </c>
    </row>
    <row r="103" spans="1:3">
      <c r="A103" t="s">
        <v>460</v>
      </c>
      <c r="B103" s="9">
        <v>6</v>
      </c>
      <c r="C103" s="9">
        <v>1521</v>
      </c>
    </row>
    <row r="104" spans="1:3">
      <c r="A104" t="s">
        <v>630</v>
      </c>
      <c r="B104" s="9">
        <v>6</v>
      </c>
      <c r="C104" s="9">
        <v>1514</v>
      </c>
    </row>
    <row r="105" spans="1:3">
      <c r="A105" t="s">
        <v>469</v>
      </c>
      <c r="B105" s="9">
        <v>6</v>
      </c>
      <c r="C105" s="9">
        <v>1511</v>
      </c>
    </row>
    <row r="106" spans="1:3">
      <c r="A106" t="s">
        <v>622</v>
      </c>
      <c r="B106" s="9">
        <v>7</v>
      </c>
      <c r="C106" s="9">
        <v>1510</v>
      </c>
    </row>
    <row r="107" spans="1:3">
      <c r="A107" t="s">
        <v>363</v>
      </c>
      <c r="B107" s="9">
        <v>5</v>
      </c>
      <c r="C107" s="9">
        <v>1493</v>
      </c>
    </row>
    <row r="108" spans="1:3">
      <c r="A108" t="s">
        <v>113</v>
      </c>
      <c r="B108" s="9">
        <v>9</v>
      </c>
      <c r="C108" s="9">
        <v>1490</v>
      </c>
    </row>
    <row r="109" spans="1:3">
      <c r="A109" t="s">
        <v>63</v>
      </c>
      <c r="B109" s="9">
        <v>8</v>
      </c>
      <c r="C109" s="9">
        <v>1456</v>
      </c>
    </row>
    <row r="110" spans="1:3">
      <c r="A110" t="s">
        <v>428</v>
      </c>
      <c r="B110" s="9">
        <v>3</v>
      </c>
      <c r="C110" s="9">
        <v>1441</v>
      </c>
    </row>
    <row r="111" spans="1:3">
      <c r="A111" t="s">
        <v>681</v>
      </c>
      <c r="B111" s="9">
        <v>3</v>
      </c>
      <c r="C111" s="9">
        <v>1430</v>
      </c>
    </row>
    <row r="112" spans="1:3">
      <c r="A112" t="s">
        <v>888</v>
      </c>
      <c r="B112" s="9">
        <v>2</v>
      </c>
      <c r="C112" s="9">
        <v>1404</v>
      </c>
    </row>
    <row r="113" spans="1:3">
      <c r="A113" t="s">
        <v>797</v>
      </c>
      <c r="B113" s="9">
        <v>6</v>
      </c>
      <c r="C113" s="9">
        <v>1397</v>
      </c>
    </row>
    <row r="114" spans="1:3">
      <c r="A114" t="s">
        <v>167</v>
      </c>
      <c r="B114" s="9">
        <v>8</v>
      </c>
      <c r="C114" s="9">
        <v>1384</v>
      </c>
    </row>
    <row r="115" spans="1:3">
      <c r="A115" t="s">
        <v>620</v>
      </c>
      <c r="B115" s="9">
        <v>10</v>
      </c>
      <c r="C115" s="9">
        <v>1383</v>
      </c>
    </row>
    <row r="116" spans="1:3">
      <c r="A116" t="s">
        <v>407</v>
      </c>
      <c r="B116" s="9">
        <v>12</v>
      </c>
      <c r="C116" s="9">
        <v>1367</v>
      </c>
    </row>
    <row r="117" spans="1:3">
      <c r="A117" t="s">
        <v>463</v>
      </c>
      <c r="B117" s="9">
        <v>1</v>
      </c>
      <c r="C117" s="9">
        <v>1361</v>
      </c>
    </row>
    <row r="118" spans="1:3">
      <c r="A118" t="s">
        <v>655</v>
      </c>
      <c r="B118" s="9">
        <v>3</v>
      </c>
      <c r="C118" s="9">
        <v>1350</v>
      </c>
    </row>
    <row r="119" spans="1:3">
      <c r="A119" t="s">
        <v>125</v>
      </c>
      <c r="B119" s="9">
        <v>7</v>
      </c>
      <c r="C119" s="9">
        <v>1329</v>
      </c>
    </row>
    <row r="120" spans="1:3">
      <c r="A120" t="s">
        <v>893</v>
      </c>
      <c r="B120" s="9">
        <v>6</v>
      </c>
      <c r="C120" s="9">
        <v>1318</v>
      </c>
    </row>
    <row r="121" spans="1:3">
      <c r="A121" t="s">
        <v>920</v>
      </c>
      <c r="B121" s="9">
        <v>1</v>
      </c>
      <c r="C121" s="9">
        <v>1314</v>
      </c>
    </row>
    <row r="122" spans="1:3">
      <c r="A122" t="s">
        <v>446</v>
      </c>
      <c r="B122" s="9">
        <v>7</v>
      </c>
      <c r="C122" s="9">
        <v>1309</v>
      </c>
    </row>
    <row r="123" spans="1:3">
      <c r="A123" t="s">
        <v>939</v>
      </c>
      <c r="B123" s="9">
        <v>1</v>
      </c>
      <c r="C123" s="9">
        <v>1301</v>
      </c>
    </row>
    <row r="124" spans="1:3">
      <c r="A124" t="s">
        <v>592</v>
      </c>
      <c r="B124" s="9">
        <v>1</v>
      </c>
      <c r="C124" s="9">
        <v>1298</v>
      </c>
    </row>
    <row r="125" spans="1:3">
      <c r="A125" t="s">
        <v>598</v>
      </c>
      <c r="B125" s="9">
        <v>1</v>
      </c>
      <c r="C125" s="9">
        <v>1250</v>
      </c>
    </row>
    <row r="126" spans="1:3">
      <c r="A126" t="s">
        <v>713</v>
      </c>
      <c r="B126" s="9">
        <v>1</v>
      </c>
      <c r="C126" s="9">
        <v>1246</v>
      </c>
    </row>
    <row r="127" spans="1:3">
      <c r="A127" t="s">
        <v>610</v>
      </c>
      <c r="B127" s="9">
        <v>4</v>
      </c>
      <c r="C127" s="9">
        <v>1245</v>
      </c>
    </row>
    <row r="128" spans="1:3">
      <c r="A128" t="s">
        <v>398</v>
      </c>
      <c r="B128" s="9">
        <v>9</v>
      </c>
      <c r="C128" s="9">
        <v>1213</v>
      </c>
    </row>
    <row r="129" spans="1:3">
      <c r="A129" t="s">
        <v>727</v>
      </c>
      <c r="B129" s="9">
        <v>8</v>
      </c>
      <c r="C129" s="9">
        <v>1210</v>
      </c>
    </row>
    <row r="130" spans="1:3">
      <c r="A130" t="s">
        <v>169</v>
      </c>
      <c r="B130" s="9">
        <v>10</v>
      </c>
      <c r="C130" s="9">
        <v>1201</v>
      </c>
    </row>
    <row r="131" spans="1:3">
      <c r="A131" t="s">
        <v>43</v>
      </c>
      <c r="B131" s="9">
        <v>4</v>
      </c>
      <c r="C131" s="9">
        <v>1190</v>
      </c>
    </row>
    <row r="132" spans="1:3">
      <c r="A132" t="s">
        <v>308</v>
      </c>
      <c r="B132" s="9">
        <v>5</v>
      </c>
      <c r="C132" s="9">
        <v>1171</v>
      </c>
    </row>
    <row r="133" spans="1:3">
      <c r="A133" t="s">
        <v>105</v>
      </c>
      <c r="B133" s="9">
        <v>5</v>
      </c>
      <c r="C133" s="9">
        <v>1160</v>
      </c>
    </row>
    <row r="134" spans="1:3">
      <c r="A134" t="s">
        <v>400</v>
      </c>
      <c r="B134" s="9">
        <v>10</v>
      </c>
      <c r="C134" s="9">
        <v>1136</v>
      </c>
    </row>
    <row r="135" spans="1:3">
      <c r="A135" t="s">
        <v>824</v>
      </c>
      <c r="B135" s="9">
        <v>4</v>
      </c>
      <c r="C135" s="9">
        <v>1133</v>
      </c>
    </row>
    <row r="136" spans="1:3">
      <c r="A136" t="s">
        <v>473</v>
      </c>
      <c r="B136" s="9">
        <v>10</v>
      </c>
      <c r="C136" s="9">
        <v>1130</v>
      </c>
    </row>
    <row r="137" spans="1:3">
      <c r="A137" t="s">
        <v>855</v>
      </c>
      <c r="B137" s="9">
        <v>3</v>
      </c>
      <c r="C137" s="9">
        <v>1116</v>
      </c>
    </row>
    <row r="138" spans="1:3">
      <c r="A138" t="s">
        <v>214</v>
      </c>
      <c r="B138" s="9">
        <v>2</v>
      </c>
      <c r="C138" s="9">
        <v>1076</v>
      </c>
    </row>
    <row r="139" spans="1:3">
      <c r="A139" t="s">
        <v>550</v>
      </c>
      <c r="B139" s="9">
        <v>2</v>
      </c>
      <c r="C139" s="9">
        <v>1063</v>
      </c>
    </row>
    <row r="140" spans="1:3">
      <c r="A140" t="s">
        <v>306</v>
      </c>
      <c r="B140" s="9">
        <v>7</v>
      </c>
      <c r="C140" s="9">
        <v>1057</v>
      </c>
    </row>
    <row r="141" spans="1:3">
      <c r="A141" t="s">
        <v>899</v>
      </c>
      <c r="B141" s="9">
        <v>5</v>
      </c>
      <c r="C141" s="9">
        <v>1034</v>
      </c>
    </row>
    <row r="142" spans="1:3">
      <c r="A142" t="s">
        <v>302</v>
      </c>
      <c r="B142" s="9">
        <v>4</v>
      </c>
      <c r="C142" s="9">
        <v>1013</v>
      </c>
    </row>
    <row r="143" spans="1:3">
      <c r="A143" t="s">
        <v>90</v>
      </c>
      <c r="B143" s="9">
        <v>5</v>
      </c>
      <c r="C143" s="9">
        <v>1013</v>
      </c>
    </row>
    <row r="144" spans="1:3">
      <c r="A144" t="s">
        <v>922</v>
      </c>
      <c r="B144" s="9">
        <v>7</v>
      </c>
      <c r="C144" s="9">
        <v>994</v>
      </c>
    </row>
    <row r="145" spans="1:3">
      <c r="A145" t="s">
        <v>493</v>
      </c>
      <c r="B145" s="9">
        <v>3</v>
      </c>
      <c r="C145" s="9">
        <v>993</v>
      </c>
    </row>
    <row r="146" spans="1:3">
      <c r="A146" t="s">
        <v>263</v>
      </c>
      <c r="B146" s="9">
        <v>7</v>
      </c>
      <c r="C146" s="9">
        <v>975</v>
      </c>
    </row>
    <row r="147" spans="1:3">
      <c r="A147" t="s">
        <v>23</v>
      </c>
      <c r="B147" s="9">
        <v>5</v>
      </c>
      <c r="C147" s="9">
        <v>968</v>
      </c>
    </row>
    <row r="148" spans="1:3">
      <c r="A148" t="s">
        <v>482</v>
      </c>
      <c r="B148" s="9">
        <v>4</v>
      </c>
      <c r="C148" s="9">
        <v>965</v>
      </c>
    </row>
    <row r="149" spans="1:3">
      <c r="A149" t="s">
        <v>27</v>
      </c>
      <c r="B149" s="9">
        <v>6</v>
      </c>
      <c r="C149" s="9">
        <v>958</v>
      </c>
    </row>
    <row r="150" spans="1:3">
      <c r="A150" t="s">
        <v>31</v>
      </c>
      <c r="B150" s="9">
        <v>6</v>
      </c>
      <c r="C150" s="9">
        <v>944</v>
      </c>
    </row>
    <row r="151" spans="1:3">
      <c r="A151" t="s">
        <v>720</v>
      </c>
      <c r="B151" s="9">
        <v>4</v>
      </c>
      <c r="C151" s="9">
        <v>939</v>
      </c>
    </row>
    <row r="152" spans="1:3">
      <c r="A152" t="s">
        <v>200</v>
      </c>
      <c r="B152" s="9">
        <v>1</v>
      </c>
      <c r="C152" s="9">
        <v>934</v>
      </c>
    </row>
    <row r="153" spans="1:3">
      <c r="A153" t="s">
        <v>434</v>
      </c>
      <c r="B153" s="9">
        <v>4</v>
      </c>
      <c r="C153" s="9">
        <v>934</v>
      </c>
    </row>
    <row r="154" spans="1:3">
      <c r="A154" t="s">
        <v>536</v>
      </c>
      <c r="B154" s="9">
        <v>1</v>
      </c>
      <c r="C154" s="9">
        <v>911</v>
      </c>
    </row>
    <row r="155" spans="1:3">
      <c r="A155" t="s">
        <v>276</v>
      </c>
      <c r="B155" s="9">
        <v>6</v>
      </c>
      <c r="C155" s="9">
        <v>909</v>
      </c>
    </row>
    <row r="156" spans="1:3">
      <c r="A156" t="s">
        <v>614</v>
      </c>
      <c r="B156" s="9">
        <v>2</v>
      </c>
      <c r="C156" s="9">
        <v>907</v>
      </c>
    </row>
    <row r="157" spans="1:3">
      <c r="A157" t="s">
        <v>572</v>
      </c>
      <c r="B157" s="9">
        <v>4</v>
      </c>
      <c r="C157" s="9">
        <v>902</v>
      </c>
    </row>
    <row r="158" spans="1:3">
      <c r="A158" t="s">
        <v>650</v>
      </c>
      <c r="B158" s="9">
        <v>6</v>
      </c>
      <c r="C158" s="9">
        <v>896</v>
      </c>
    </row>
    <row r="159" spans="1:3">
      <c r="A159" t="s">
        <v>945</v>
      </c>
      <c r="B159" s="9">
        <v>6</v>
      </c>
      <c r="C159" s="9">
        <v>890</v>
      </c>
    </row>
    <row r="160" spans="1:3">
      <c r="A160" t="s">
        <v>755</v>
      </c>
      <c r="B160" s="9">
        <v>3</v>
      </c>
      <c r="C160" s="9">
        <v>889</v>
      </c>
    </row>
    <row r="161" spans="1:3">
      <c r="A161" t="s">
        <v>320</v>
      </c>
      <c r="B161" s="9">
        <v>4</v>
      </c>
      <c r="C161" s="9">
        <v>844</v>
      </c>
    </row>
    <row r="162" spans="1:3">
      <c r="A162" t="s">
        <v>246</v>
      </c>
      <c r="B162" s="9">
        <v>5</v>
      </c>
      <c r="C162" s="9">
        <v>826</v>
      </c>
    </row>
    <row r="163" spans="1:3">
      <c r="A163" t="s">
        <v>803</v>
      </c>
      <c r="B163" s="9">
        <v>5</v>
      </c>
      <c r="C163" s="9">
        <v>820</v>
      </c>
    </row>
    <row r="164" spans="1:3">
      <c r="A164" t="s">
        <v>867</v>
      </c>
      <c r="B164" s="9">
        <v>1</v>
      </c>
      <c r="C164" s="9">
        <v>811</v>
      </c>
    </row>
    <row r="165" spans="1:3">
      <c r="A165" t="s">
        <v>188</v>
      </c>
      <c r="B165" s="9">
        <v>4</v>
      </c>
      <c r="C165" s="9">
        <v>808</v>
      </c>
    </row>
    <row r="166" spans="1:3">
      <c r="A166" t="s">
        <v>601</v>
      </c>
      <c r="B166" s="9">
        <v>3</v>
      </c>
      <c r="C166" s="9">
        <v>806</v>
      </c>
    </row>
    <row r="167" spans="1:3">
      <c r="A167" t="s">
        <v>257</v>
      </c>
      <c r="B167" s="9">
        <v>3</v>
      </c>
      <c r="C167" s="9">
        <v>806</v>
      </c>
    </row>
    <row r="168" spans="1:3">
      <c r="A168" t="s">
        <v>514</v>
      </c>
      <c r="B168" s="9">
        <v>5</v>
      </c>
      <c r="C168" s="9">
        <v>791</v>
      </c>
    </row>
    <row r="169" spans="1:3">
      <c r="A169" t="s">
        <v>211</v>
      </c>
      <c r="B169" s="9">
        <v>4</v>
      </c>
      <c r="C169" s="9">
        <v>768</v>
      </c>
    </row>
    <row r="170" spans="1:3">
      <c r="A170" t="s">
        <v>701</v>
      </c>
      <c r="B170" s="9">
        <v>4</v>
      </c>
      <c r="C170" s="9">
        <v>761</v>
      </c>
    </row>
    <row r="171" spans="1:3">
      <c r="A171" t="s">
        <v>544</v>
      </c>
      <c r="B171" s="9">
        <v>1</v>
      </c>
      <c r="C171" s="9">
        <v>743</v>
      </c>
    </row>
    <row r="172" spans="1:3">
      <c r="A172" t="s">
        <v>635</v>
      </c>
      <c r="B172" s="9">
        <v>1</v>
      </c>
      <c r="C172" s="9">
        <v>724</v>
      </c>
    </row>
    <row r="173" spans="1:3">
      <c r="A173" t="s">
        <v>251</v>
      </c>
      <c r="B173" s="9">
        <v>3</v>
      </c>
      <c r="C173" s="9">
        <v>715</v>
      </c>
    </row>
    <row r="174" spans="1:3">
      <c r="A174" t="s">
        <v>155</v>
      </c>
      <c r="B174" s="9">
        <v>6</v>
      </c>
      <c r="C174" s="9">
        <v>703</v>
      </c>
    </row>
    <row r="175" spans="1:3">
      <c r="A175" t="s">
        <v>72</v>
      </c>
      <c r="B175" s="9">
        <v>9</v>
      </c>
      <c r="C175" s="9">
        <v>699</v>
      </c>
    </row>
    <row r="176" spans="1:3">
      <c r="A176" t="s">
        <v>228</v>
      </c>
      <c r="B176" s="9">
        <v>9</v>
      </c>
      <c r="C176" s="9">
        <v>694</v>
      </c>
    </row>
    <row r="177" spans="1:3">
      <c r="A177" t="s">
        <v>234</v>
      </c>
      <c r="B177" s="9">
        <v>5</v>
      </c>
      <c r="C177" s="9">
        <v>689</v>
      </c>
    </row>
    <row r="178" spans="1:3">
      <c r="A178" t="s">
        <v>127</v>
      </c>
      <c r="B178" s="9">
        <v>2</v>
      </c>
      <c r="C178" s="9">
        <v>669</v>
      </c>
    </row>
    <row r="179" spans="1:3">
      <c r="A179" t="s">
        <v>813</v>
      </c>
      <c r="B179" s="9">
        <v>3</v>
      </c>
      <c r="C179" s="9">
        <v>666</v>
      </c>
    </row>
    <row r="180" spans="1:3">
      <c r="A180" t="s">
        <v>881</v>
      </c>
      <c r="B180" s="9">
        <v>1</v>
      </c>
      <c r="C180" s="9">
        <v>662</v>
      </c>
    </row>
    <row r="181" spans="1:3">
      <c r="A181" t="s">
        <v>567</v>
      </c>
      <c r="B181" s="9">
        <v>1</v>
      </c>
      <c r="C181" s="9">
        <v>637</v>
      </c>
    </row>
    <row r="182" spans="1:3">
      <c r="A182" t="s">
        <v>522</v>
      </c>
      <c r="B182" s="9">
        <v>1</v>
      </c>
      <c r="C182" s="9">
        <v>632</v>
      </c>
    </row>
    <row r="183" spans="1:3">
      <c r="A183" t="s">
        <v>209</v>
      </c>
      <c r="B183" s="9">
        <v>1</v>
      </c>
      <c r="C183" s="9">
        <v>610</v>
      </c>
    </row>
    <row r="184" spans="1:3">
      <c r="A184" t="s">
        <v>163</v>
      </c>
      <c r="B184" s="9">
        <v>10</v>
      </c>
      <c r="C184" s="9">
        <v>600</v>
      </c>
    </row>
    <row r="185" spans="1:3">
      <c r="A185" t="s">
        <v>93</v>
      </c>
      <c r="B185" s="9">
        <v>3</v>
      </c>
      <c r="C185" s="9">
        <v>587</v>
      </c>
    </row>
    <row r="186" spans="1:3">
      <c r="A186" t="s">
        <v>606</v>
      </c>
      <c r="B186" s="9">
        <v>5</v>
      </c>
      <c r="C186" s="9">
        <v>582</v>
      </c>
    </row>
    <row r="187" spans="1:3">
      <c r="A187" t="s">
        <v>51</v>
      </c>
      <c r="B187" s="9">
        <v>5</v>
      </c>
      <c r="C187" s="9">
        <v>561</v>
      </c>
    </row>
    <row r="188" spans="1:3">
      <c r="A188" t="s">
        <v>639</v>
      </c>
      <c r="B188" s="9">
        <v>6</v>
      </c>
      <c r="C188" s="9">
        <v>556</v>
      </c>
    </row>
    <row r="189" spans="1:3">
      <c r="A189" t="s">
        <v>186</v>
      </c>
      <c r="B189" s="9">
        <v>7</v>
      </c>
      <c r="C189" s="9">
        <v>529</v>
      </c>
    </row>
    <row r="190" spans="1:3">
      <c r="A190" t="s">
        <v>123</v>
      </c>
      <c r="B190" s="9">
        <v>3</v>
      </c>
      <c r="C190" s="9">
        <v>517</v>
      </c>
    </row>
    <row r="191" spans="1:3">
      <c r="A191" t="s">
        <v>583</v>
      </c>
      <c r="B191" s="9">
        <v>1</v>
      </c>
      <c r="C191" s="9">
        <v>504</v>
      </c>
    </row>
    <row r="192" spans="1:3">
      <c r="A192" t="s">
        <v>828</v>
      </c>
      <c r="B192" s="9">
        <v>2</v>
      </c>
      <c r="C192" s="9">
        <v>497</v>
      </c>
    </row>
    <row r="193" spans="1:3">
      <c r="A193" t="s">
        <v>342</v>
      </c>
      <c r="B193" s="9">
        <v>1</v>
      </c>
      <c r="C193" s="9">
        <v>490</v>
      </c>
    </row>
    <row r="194" spans="1:3">
      <c r="A194" t="s">
        <v>379</v>
      </c>
      <c r="B194" s="9">
        <v>1</v>
      </c>
      <c r="C194" s="9">
        <v>482</v>
      </c>
    </row>
    <row r="195" spans="1:3">
      <c r="A195" t="s">
        <v>526</v>
      </c>
      <c r="B195" s="9">
        <v>4</v>
      </c>
      <c r="C195" s="9">
        <v>478</v>
      </c>
    </row>
    <row r="196" spans="1:3">
      <c r="A196" t="s">
        <v>518</v>
      </c>
      <c r="B196" s="9">
        <v>2</v>
      </c>
      <c r="C196" s="9">
        <v>477</v>
      </c>
    </row>
    <row r="197" spans="1:3">
      <c r="A197" t="s">
        <v>85</v>
      </c>
      <c r="B197" s="9">
        <v>3</v>
      </c>
      <c r="C197" s="9">
        <v>471</v>
      </c>
    </row>
    <row r="198" spans="1:3">
      <c r="A198" t="s">
        <v>723</v>
      </c>
      <c r="B198" s="9">
        <v>4</v>
      </c>
      <c r="C198" s="9">
        <v>468</v>
      </c>
    </row>
    <row r="199" spans="1:3">
      <c r="A199" t="s">
        <v>707</v>
      </c>
      <c r="B199" s="9">
        <v>1</v>
      </c>
      <c r="C199" s="9">
        <v>465</v>
      </c>
    </row>
    <row r="200" spans="1:3">
      <c r="A200" t="s">
        <v>848</v>
      </c>
      <c r="B200" s="9">
        <v>2</v>
      </c>
      <c r="C200" s="9">
        <v>465</v>
      </c>
    </row>
    <row r="201" spans="1:3">
      <c r="A201" t="s">
        <v>442</v>
      </c>
      <c r="B201" s="9">
        <v>5</v>
      </c>
      <c r="C201" s="9">
        <v>459</v>
      </c>
    </row>
    <row r="202" spans="1:3">
      <c r="A202" t="s">
        <v>76</v>
      </c>
      <c r="B202" s="9">
        <v>3</v>
      </c>
      <c r="C202" s="9">
        <v>439</v>
      </c>
    </row>
    <row r="203" spans="1:3">
      <c r="A203" t="s">
        <v>230</v>
      </c>
      <c r="B203" s="9">
        <v>4</v>
      </c>
      <c r="C203" s="9">
        <v>425</v>
      </c>
    </row>
    <row r="204" spans="1:3">
      <c r="A204" t="s">
        <v>393</v>
      </c>
      <c r="B204" s="9">
        <v>4</v>
      </c>
      <c r="C204" s="9">
        <v>420</v>
      </c>
    </row>
    <row r="205" spans="1:3">
      <c r="A205" t="s">
        <v>316</v>
      </c>
      <c r="B205" s="9">
        <v>1</v>
      </c>
      <c r="C205" s="9">
        <v>416</v>
      </c>
    </row>
    <row r="206" spans="1:3">
      <c r="A206" t="s">
        <v>694</v>
      </c>
      <c r="B206" s="9">
        <v>5</v>
      </c>
      <c r="C206" s="9">
        <v>404</v>
      </c>
    </row>
    <row r="207" spans="1:3">
      <c r="A207" t="s">
        <v>541</v>
      </c>
      <c r="B207" s="9">
        <v>1</v>
      </c>
      <c r="C207" s="9">
        <v>391</v>
      </c>
    </row>
    <row r="208" spans="1:3">
      <c r="A208" t="s">
        <v>715</v>
      </c>
      <c r="B208" s="9">
        <v>1</v>
      </c>
      <c r="C208" s="9">
        <v>388</v>
      </c>
    </row>
    <row r="209" spans="1:3">
      <c r="A209" t="s">
        <v>906</v>
      </c>
      <c r="B209" s="9">
        <v>2</v>
      </c>
      <c r="C209" s="9">
        <v>387</v>
      </c>
    </row>
    <row r="210" spans="1:3">
      <c r="A210" t="s">
        <v>345</v>
      </c>
      <c r="B210" s="9">
        <v>2</v>
      </c>
      <c r="C210" s="9">
        <v>384</v>
      </c>
    </row>
    <row r="211" spans="1:3">
      <c r="A211" t="s">
        <v>903</v>
      </c>
      <c r="B211" s="9">
        <v>4</v>
      </c>
      <c r="C211" s="9">
        <v>381</v>
      </c>
    </row>
    <row r="212" spans="1:3">
      <c r="A212" t="s">
        <v>385</v>
      </c>
      <c r="B212" s="9">
        <v>1</v>
      </c>
      <c r="C212" s="9">
        <v>373</v>
      </c>
    </row>
    <row r="213" spans="1:3">
      <c r="A213" t="s">
        <v>328</v>
      </c>
      <c r="B213" s="9">
        <v>3</v>
      </c>
      <c r="C213" s="9">
        <v>369</v>
      </c>
    </row>
    <row r="214" spans="1:3">
      <c r="A214" t="s">
        <v>508</v>
      </c>
      <c r="B214" s="9">
        <v>4</v>
      </c>
      <c r="C214" s="9">
        <v>367</v>
      </c>
    </row>
    <row r="215" spans="1:3">
      <c r="A215" t="s">
        <v>248</v>
      </c>
      <c r="B215" s="9">
        <v>1</v>
      </c>
      <c r="C215" s="9">
        <v>352</v>
      </c>
    </row>
    <row r="216" spans="1:3">
      <c r="A216" t="s">
        <v>314</v>
      </c>
      <c r="B216" s="9">
        <v>2</v>
      </c>
      <c r="C216" s="9">
        <v>351</v>
      </c>
    </row>
    <row r="217" spans="1:3">
      <c r="A217" t="s">
        <v>575</v>
      </c>
      <c r="B217" s="9">
        <v>1</v>
      </c>
      <c r="C217" s="9">
        <v>345</v>
      </c>
    </row>
    <row r="218" spans="1:3">
      <c r="A218" t="s">
        <v>617</v>
      </c>
      <c r="B218" s="9">
        <v>1</v>
      </c>
      <c r="C218" s="9">
        <v>336</v>
      </c>
    </row>
    <row r="219" spans="1:3">
      <c r="A219" t="s">
        <v>775</v>
      </c>
      <c r="B219" s="9">
        <v>3</v>
      </c>
      <c r="C219" s="9">
        <v>325</v>
      </c>
    </row>
    <row r="220" spans="1:3">
      <c r="A220" t="s">
        <v>832</v>
      </c>
      <c r="B220" s="9">
        <v>3</v>
      </c>
      <c r="C220" s="9">
        <v>315</v>
      </c>
    </row>
    <row r="221" spans="1:3">
      <c r="A221" t="s">
        <v>935</v>
      </c>
      <c r="B221" s="9">
        <v>2</v>
      </c>
      <c r="C221" s="9">
        <v>309</v>
      </c>
    </row>
    <row r="222" spans="1:3">
      <c r="A222" t="s">
        <v>68</v>
      </c>
      <c r="B222" s="9">
        <v>5</v>
      </c>
      <c r="C222" s="9">
        <v>307</v>
      </c>
    </row>
    <row r="223" spans="1:3">
      <c r="A223" t="s">
        <v>942</v>
      </c>
      <c r="B223" s="9">
        <v>4</v>
      </c>
      <c r="C223" s="9">
        <v>295</v>
      </c>
    </row>
    <row r="224" spans="1:3">
      <c r="A224" t="s">
        <v>913</v>
      </c>
      <c r="B224" s="9">
        <v>3</v>
      </c>
      <c r="C224" s="9">
        <v>291</v>
      </c>
    </row>
    <row r="225" spans="1:3">
      <c r="A225" t="s">
        <v>219</v>
      </c>
      <c r="B225" s="9">
        <v>5</v>
      </c>
      <c r="C225" s="9">
        <v>285</v>
      </c>
    </row>
    <row r="226" spans="1:3">
      <c r="A226" t="s">
        <v>678</v>
      </c>
      <c r="B226" s="9">
        <v>1</v>
      </c>
      <c r="C226" s="9">
        <v>282</v>
      </c>
    </row>
    <row r="227" spans="1:3">
      <c r="A227" t="s">
        <v>1020</v>
      </c>
      <c r="B227" s="9">
        <v>4</v>
      </c>
      <c r="C227" s="9">
        <v>280</v>
      </c>
    </row>
    <row r="228" spans="1:3">
      <c r="A228" t="s">
        <v>758</v>
      </c>
      <c r="B228" s="9">
        <v>1</v>
      </c>
      <c r="C228" s="9">
        <v>277</v>
      </c>
    </row>
    <row r="229" spans="1:3">
      <c r="A229" t="s">
        <v>499</v>
      </c>
      <c r="B229" s="9">
        <v>1</v>
      </c>
      <c r="C229" s="9">
        <v>276</v>
      </c>
    </row>
    <row r="230" spans="1:3">
      <c r="A230" t="s">
        <v>547</v>
      </c>
      <c r="B230" s="9">
        <v>5</v>
      </c>
      <c r="C230" s="9">
        <v>265</v>
      </c>
    </row>
    <row r="231" spans="1:3">
      <c r="A231" t="s">
        <v>115</v>
      </c>
      <c r="B231" s="9">
        <v>2</v>
      </c>
      <c r="C231" s="9">
        <v>265</v>
      </c>
    </row>
    <row r="232" spans="1:3">
      <c r="A232" t="s">
        <v>594</v>
      </c>
      <c r="B232" s="9">
        <v>1</v>
      </c>
      <c r="C232" s="9">
        <v>263</v>
      </c>
    </row>
    <row r="233" spans="1:3">
      <c r="A233" t="s">
        <v>534</v>
      </c>
      <c r="B233" s="9">
        <v>1</v>
      </c>
      <c r="C233" s="9">
        <v>259</v>
      </c>
    </row>
    <row r="234" spans="1:3">
      <c r="A234" t="s">
        <v>300</v>
      </c>
      <c r="B234" s="9">
        <v>4</v>
      </c>
      <c r="C234" s="9">
        <v>251</v>
      </c>
    </row>
    <row r="235" spans="1:3">
      <c r="A235" t="s">
        <v>675</v>
      </c>
      <c r="B235" s="9">
        <v>1</v>
      </c>
      <c r="C235" s="9">
        <v>248</v>
      </c>
    </row>
    <row r="236" spans="1:3">
      <c r="A236" t="s">
        <v>766</v>
      </c>
      <c r="B236" s="9">
        <v>1</v>
      </c>
      <c r="C236" s="9">
        <v>244</v>
      </c>
    </row>
    <row r="237" spans="1:3">
      <c r="A237" t="s">
        <v>35</v>
      </c>
      <c r="B237" s="9">
        <v>3</v>
      </c>
      <c r="C237" s="9">
        <v>237</v>
      </c>
    </row>
    <row r="238" spans="1:3">
      <c r="A238" t="s">
        <v>590</v>
      </c>
      <c r="B238" s="9">
        <v>3</v>
      </c>
      <c r="C238" s="9">
        <v>234</v>
      </c>
    </row>
    <row r="239" spans="1:3">
      <c r="A239" t="s">
        <v>293</v>
      </c>
      <c r="B239" s="9">
        <v>2</v>
      </c>
      <c r="C239" s="9">
        <v>228</v>
      </c>
    </row>
    <row r="240" spans="1:3">
      <c r="A240" t="s">
        <v>930</v>
      </c>
      <c r="B240" s="9">
        <v>4</v>
      </c>
      <c r="C240" s="9">
        <v>220</v>
      </c>
    </row>
    <row r="241" spans="1:3">
      <c r="A241" t="s">
        <v>177</v>
      </c>
      <c r="B241" s="9">
        <v>2</v>
      </c>
      <c r="C241" s="9">
        <v>220</v>
      </c>
    </row>
    <row r="242" spans="1:3">
      <c r="A242" t="s">
        <v>528</v>
      </c>
      <c r="B242" s="9">
        <v>2</v>
      </c>
      <c r="C242" s="9">
        <v>207</v>
      </c>
    </row>
    <row r="243" spans="1:3">
      <c r="A243" t="s">
        <v>180</v>
      </c>
      <c r="B243" s="9">
        <v>2</v>
      </c>
      <c r="C243" s="9">
        <v>203</v>
      </c>
    </row>
    <row r="244" spans="1:3">
      <c r="A244" t="s">
        <v>667</v>
      </c>
      <c r="B244" s="9">
        <v>2</v>
      </c>
      <c r="C244" s="9">
        <v>203</v>
      </c>
    </row>
    <row r="245" spans="1:3">
      <c r="A245" t="s">
        <v>918</v>
      </c>
      <c r="B245" s="9">
        <v>1</v>
      </c>
      <c r="C245" s="9">
        <v>196</v>
      </c>
    </row>
    <row r="246" spans="1:3">
      <c r="A246" t="s">
        <v>884</v>
      </c>
      <c r="B246" s="9">
        <v>1</v>
      </c>
      <c r="C246" s="9">
        <v>193</v>
      </c>
    </row>
    <row r="247" spans="1:3">
      <c r="A247" t="s">
        <v>339</v>
      </c>
      <c r="B247" s="9">
        <v>3</v>
      </c>
      <c r="C247" s="9">
        <v>193</v>
      </c>
    </row>
    <row r="248" spans="1:3">
      <c r="A248" t="s">
        <v>310</v>
      </c>
      <c r="B248" s="9">
        <v>1</v>
      </c>
      <c r="C248" s="9">
        <v>193</v>
      </c>
    </row>
    <row r="249" spans="1:3">
      <c r="A249" t="s">
        <v>643</v>
      </c>
      <c r="B249" s="9">
        <v>1</v>
      </c>
      <c r="C249" s="9">
        <v>189</v>
      </c>
    </row>
    <row r="250" spans="1:3">
      <c r="A250" t="s">
        <v>510</v>
      </c>
      <c r="B250" s="9">
        <v>3</v>
      </c>
      <c r="C250" s="9">
        <v>188</v>
      </c>
    </row>
    <row r="251" spans="1:3">
      <c r="A251" t="s">
        <v>282</v>
      </c>
      <c r="B251" s="9">
        <v>3</v>
      </c>
      <c r="C251" s="9">
        <v>180</v>
      </c>
    </row>
    <row r="252" spans="1:3">
      <c r="A252" t="s">
        <v>737</v>
      </c>
      <c r="B252" s="9">
        <v>1</v>
      </c>
      <c r="C252" s="9">
        <v>179</v>
      </c>
    </row>
    <row r="253" spans="1:3">
      <c r="A253" t="s">
        <v>817</v>
      </c>
      <c r="B253" s="9">
        <v>1</v>
      </c>
      <c r="C253" s="9">
        <v>177</v>
      </c>
    </row>
    <row r="254" spans="1:3">
      <c r="A254" t="s">
        <v>285</v>
      </c>
      <c r="B254" s="9">
        <v>4</v>
      </c>
      <c r="C254" s="9">
        <v>174</v>
      </c>
    </row>
    <row r="255" spans="1:3">
      <c r="A255" t="s">
        <v>129</v>
      </c>
      <c r="B255" s="9">
        <v>2</v>
      </c>
      <c r="C255" s="9">
        <v>172</v>
      </c>
    </row>
    <row r="256" spans="1:3">
      <c r="A256" t="s">
        <v>267</v>
      </c>
      <c r="B256" s="9">
        <v>1</v>
      </c>
      <c r="C256" s="9">
        <v>171</v>
      </c>
    </row>
    <row r="257" spans="1:3">
      <c r="A257" t="s">
        <v>260</v>
      </c>
      <c r="B257" s="9">
        <v>2</v>
      </c>
      <c r="C257" s="9">
        <v>170</v>
      </c>
    </row>
    <row r="258" spans="1:3">
      <c r="A258" t="s">
        <v>822</v>
      </c>
      <c r="B258" s="9">
        <v>1</v>
      </c>
      <c r="C258" s="9">
        <v>169</v>
      </c>
    </row>
    <row r="259" spans="1:3">
      <c r="A259" t="s">
        <v>265</v>
      </c>
      <c r="B259" s="9">
        <v>1</v>
      </c>
      <c r="C259" s="9">
        <v>167</v>
      </c>
    </row>
    <row r="260" spans="1:3">
      <c r="A260" t="s">
        <v>645</v>
      </c>
      <c r="B260" s="9">
        <v>4</v>
      </c>
      <c r="C260" s="9">
        <v>166</v>
      </c>
    </row>
    <row r="261" spans="1:3">
      <c r="A261" t="s">
        <v>197</v>
      </c>
      <c r="B261" s="9">
        <v>1</v>
      </c>
      <c r="C261" s="9">
        <v>166</v>
      </c>
    </row>
    <row r="262" spans="1:3">
      <c r="A262" t="s">
        <v>312</v>
      </c>
      <c r="B262" s="9">
        <v>1</v>
      </c>
      <c r="C262" s="9">
        <v>158</v>
      </c>
    </row>
    <row r="263" spans="1:3">
      <c r="A263" t="s">
        <v>731</v>
      </c>
      <c r="B263" s="9">
        <v>1</v>
      </c>
      <c r="C263" s="9">
        <v>152</v>
      </c>
    </row>
    <row r="264" spans="1:3">
      <c r="A264" t="s">
        <v>830</v>
      </c>
      <c r="B264" s="9">
        <v>1</v>
      </c>
      <c r="C264" s="9">
        <v>152</v>
      </c>
    </row>
    <row r="265" spans="1:3">
      <c r="A265" t="s">
        <v>512</v>
      </c>
      <c r="B265" s="9">
        <v>4</v>
      </c>
      <c r="C265" s="9">
        <v>149</v>
      </c>
    </row>
    <row r="266" spans="1:3">
      <c r="A266" t="s">
        <v>784</v>
      </c>
      <c r="B266" s="9">
        <v>1</v>
      </c>
      <c r="C266" s="9">
        <v>148</v>
      </c>
    </row>
    <row r="267" spans="1:3">
      <c r="A267" t="s">
        <v>449</v>
      </c>
      <c r="B267" s="9">
        <v>1</v>
      </c>
      <c r="C267" s="9">
        <v>148</v>
      </c>
    </row>
    <row r="268" spans="1:3">
      <c r="A268" t="s">
        <v>793</v>
      </c>
      <c r="B268" s="9">
        <v>2</v>
      </c>
      <c r="C268" s="9">
        <v>147</v>
      </c>
    </row>
    <row r="269" spans="1:3">
      <c r="A269" t="s">
        <v>586</v>
      </c>
      <c r="B269" s="9">
        <v>3</v>
      </c>
      <c r="C269" s="9">
        <v>145</v>
      </c>
    </row>
    <row r="270" spans="1:3">
      <c r="A270" t="s">
        <v>437</v>
      </c>
      <c r="B270" s="9">
        <v>1</v>
      </c>
      <c r="C270" s="9">
        <v>139</v>
      </c>
    </row>
    <row r="271" spans="1:3">
      <c r="A271" t="s">
        <v>466</v>
      </c>
      <c r="B271" s="9">
        <v>1</v>
      </c>
      <c r="C271" s="9">
        <v>137</v>
      </c>
    </row>
    <row r="272" spans="1:3">
      <c r="A272" t="s">
        <v>241</v>
      </c>
      <c r="B272" s="9">
        <v>1</v>
      </c>
      <c r="C272" s="9">
        <v>134</v>
      </c>
    </row>
    <row r="273" spans="1:3">
      <c r="A273" t="s">
        <v>375</v>
      </c>
      <c r="B273" s="9">
        <v>1</v>
      </c>
      <c r="C273" s="9">
        <v>133</v>
      </c>
    </row>
    <row r="274" spans="1:3">
      <c r="A274" t="s">
        <v>354</v>
      </c>
      <c r="B274" s="9">
        <v>1</v>
      </c>
      <c r="C274" s="9">
        <v>131</v>
      </c>
    </row>
    <row r="275" spans="1:3">
      <c r="A275" t="s">
        <v>334</v>
      </c>
      <c r="B275" s="9">
        <v>4</v>
      </c>
      <c r="C275" s="9">
        <v>130</v>
      </c>
    </row>
    <row r="276" spans="1:3">
      <c r="A276" t="s">
        <v>532</v>
      </c>
      <c r="B276" s="9">
        <v>1</v>
      </c>
      <c r="C276" s="9">
        <v>126</v>
      </c>
    </row>
    <row r="277" spans="1:3">
      <c r="A277" t="s">
        <v>279</v>
      </c>
      <c r="B277" s="9">
        <v>4</v>
      </c>
      <c r="C277" s="9">
        <v>124</v>
      </c>
    </row>
    <row r="278" spans="1:3">
      <c r="A278" t="s">
        <v>691</v>
      </c>
      <c r="B278" s="9">
        <v>1</v>
      </c>
      <c r="C278" s="9">
        <v>121</v>
      </c>
    </row>
    <row r="279" spans="1:3">
      <c r="A279" t="s">
        <v>553</v>
      </c>
      <c r="B279" s="9">
        <v>1</v>
      </c>
      <c r="C279" s="9">
        <v>119</v>
      </c>
    </row>
    <row r="280" spans="1:3">
      <c r="A280" t="s">
        <v>663</v>
      </c>
      <c r="B280" s="9">
        <v>1</v>
      </c>
      <c r="C280" s="9">
        <v>118</v>
      </c>
    </row>
    <row r="281" spans="1:3">
      <c r="A281" t="s">
        <v>875</v>
      </c>
      <c r="B281" s="9">
        <v>1</v>
      </c>
      <c r="C281" s="9">
        <v>115</v>
      </c>
    </row>
    <row r="282" spans="1:3">
      <c r="A282" t="s">
        <v>815</v>
      </c>
      <c r="B282" s="9">
        <v>3</v>
      </c>
      <c r="C282" s="9">
        <v>114</v>
      </c>
    </row>
    <row r="283" spans="1:3">
      <c r="A283" t="s">
        <v>686</v>
      </c>
      <c r="B283" s="9">
        <v>1</v>
      </c>
      <c r="C283" s="9">
        <v>108</v>
      </c>
    </row>
    <row r="284" spans="1:3">
      <c r="A284" t="s">
        <v>377</v>
      </c>
      <c r="B284" s="9">
        <v>3</v>
      </c>
      <c r="C284" s="9">
        <v>105</v>
      </c>
    </row>
    <row r="285" spans="1:3">
      <c r="A285" t="s">
        <v>805</v>
      </c>
      <c r="B285" s="9">
        <v>1</v>
      </c>
      <c r="C285" s="9">
        <v>105</v>
      </c>
    </row>
    <row r="286" spans="1:3">
      <c r="A286" t="s">
        <v>752</v>
      </c>
      <c r="B286" s="9">
        <v>1</v>
      </c>
      <c r="C286" s="9">
        <v>103</v>
      </c>
    </row>
    <row r="287" spans="1:3">
      <c r="A287" t="s">
        <v>749</v>
      </c>
      <c r="B287" s="9">
        <v>1</v>
      </c>
      <c r="C287" s="9">
        <v>102</v>
      </c>
    </row>
    <row r="288" spans="1:3">
      <c r="A288" t="s">
        <v>562</v>
      </c>
      <c r="B288" s="9">
        <v>1</v>
      </c>
      <c r="C288" s="9">
        <v>101</v>
      </c>
    </row>
    <row r="289" spans="1:3">
      <c r="A289" t="s">
        <v>772</v>
      </c>
      <c r="B289" s="9">
        <v>1</v>
      </c>
      <c r="C289" s="9">
        <v>100</v>
      </c>
    </row>
    <row r="290" spans="1:3">
      <c r="A290" t="s">
        <v>360</v>
      </c>
      <c r="B290" s="9">
        <v>3</v>
      </c>
      <c r="C290" s="9">
        <v>96</v>
      </c>
    </row>
    <row r="291" spans="1:3">
      <c r="A291" t="s">
        <v>612</v>
      </c>
      <c r="B291" s="9">
        <v>1</v>
      </c>
      <c r="C291" s="9">
        <v>94</v>
      </c>
    </row>
    <row r="292" spans="1:3">
      <c r="A292" t="s">
        <v>937</v>
      </c>
      <c r="B292" s="9">
        <v>1</v>
      </c>
      <c r="C292" s="9">
        <v>87</v>
      </c>
    </row>
    <row r="293" spans="1:3">
      <c r="A293" t="s">
        <v>658</v>
      </c>
      <c r="B293" s="9">
        <v>1</v>
      </c>
      <c r="C293" s="9">
        <v>86</v>
      </c>
    </row>
    <row r="294" spans="1:3">
      <c r="A294" t="s">
        <v>608</v>
      </c>
      <c r="B294" s="9">
        <v>1</v>
      </c>
      <c r="C294" s="9">
        <v>86</v>
      </c>
    </row>
    <row r="295" spans="1:3">
      <c r="A295" t="s">
        <v>647</v>
      </c>
      <c r="B295" s="9">
        <v>1</v>
      </c>
      <c r="C295" s="9">
        <v>85</v>
      </c>
    </row>
    <row r="296" spans="1:3">
      <c r="A296" t="s">
        <v>761</v>
      </c>
      <c r="B296" s="9">
        <v>1</v>
      </c>
      <c r="C296" s="9">
        <v>80</v>
      </c>
    </row>
    <row r="297" spans="1:3">
      <c r="A297" t="s">
        <v>908</v>
      </c>
      <c r="B297" s="9">
        <v>1</v>
      </c>
      <c r="C297" s="9">
        <v>79</v>
      </c>
    </row>
    <row r="298" spans="1:3">
      <c r="A298" t="s">
        <v>733</v>
      </c>
      <c r="B298" s="9">
        <v>1</v>
      </c>
      <c r="C298" s="9">
        <v>78</v>
      </c>
    </row>
    <row r="299" spans="1:3">
      <c r="A299" t="s">
        <v>232</v>
      </c>
      <c r="B299" s="9">
        <v>1</v>
      </c>
      <c r="C299" s="9">
        <v>76</v>
      </c>
    </row>
    <row r="300" spans="1:3">
      <c r="A300" t="s">
        <v>304</v>
      </c>
      <c r="B300" s="9">
        <v>2</v>
      </c>
      <c r="C300" s="9">
        <v>74</v>
      </c>
    </row>
    <row r="301" spans="1:3">
      <c r="A301" t="s">
        <v>799</v>
      </c>
      <c r="B301" s="9">
        <v>1</v>
      </c>
      <c r="C301" s="9">
        <v>73</v>
      </c>
    </row>
    <row r="302" spans="1:3">
      <c r="A302" t="s">
        <v>911</v>
      </c>
      <c r="B302" s="9">
        <v>1</v>
      </c>
      <c r="C302" s="9">
        <v>71</v>
      </c>
    </row>
    <row r="303" spans="1:3">
      <c r="A303" t="s">
        <v>801</v>
      </c>
      <c r="B303" s="9">
        <v>1</v>
      </c>
      <c r="C303" s="9">
        <v>71</v>
      </c>
    </row>
    <row r="304" spans="1:3">
      <c r="A304" t="s">
        <v>809</v>
      </c>
      <c r="B304" s="9">
        <v>1</v>
      </c>
      <c r="C304" s="9">
        <v>61</v>
      </c>
    </row>
    <row r="305" spans="1:3">
      <c r="A305" t="s">
        <v>431</v>
      </c>
      <c r="B305" s="9">
        <v>1</v>
      </c>
      <c r="C305" s="9">
        <v>58</v>
      </c>
    </row>
    <row r="306" spans="1:3">
      <c r="A306" t="s">
        <v>789</v>
      </c>
      <c r="B306" s="9">
        <v>1</v>
      </c>
      <c r="C306" s="9">
        <v>57</v>
      </c>
    </row>
    <row r="307" spans="1:3">
      <c r="A307" t="s">
        <v>118</v>
      </c>
      <c r="B307" s="9">
        <v>2</v>
      </c>
      <c r="C307" s="9">
        <v>55</v>
      </c>
    </row>
    <row r="308" spans="1:3">
      <c r="A308" t="s">
        <v>857</v>
      </c>
      <c r="B308" s="9">
        <v>1</v>
      </c>
      <c r="C308" s="9">
        <v>53</v>
      </c>
    </row>
    <row r="309" spans="1:3">
      <c r="A309" t="s">
        <v>778</v>
      </c>
      <c r="B309" s="9">
        <v>1</v>
      </c>
      <c r="C309" s="9">
        <v>52</v>
      </c>
    </row>
    <row r="310" spans="1:3">
      <c r="A310" t="s">
        <v>925</v>
      </c>
      <c r="B310" s="9">
        <v>1</v>
      </c>
      <c r="C310" s="9">
        <v>50</v>
      </c>
    </row>
    <row r="311" spans="1:3">
      <c r="A311" t="s">
        <v>456</v>
      </c>
      <c r="B311" s="9">
        <v>1</v>
      </c>
      <c r="C311" s="9">
        <v>50</v>
      </c>
    </row>
    <row r="312" spans="1:3">
      <c r="A312" t="s">
        <v>331</v>
      </c>
      <c r="B312" s="9">
        <v>1</v>
      </c>
      <c r="C312" s="9">
        <v>48</v>
      </c>
    </row>
    <row r="313" spans="1:3">
      <c r="A313" t="s">
        <v>458</v>
      </c>
      <c r="B313" s="9">
        <v>1</v>
      </c>
      <c r="C313" s="9">
        <v>47</v>
      </c>
    </row>
    <row r="314" spans="1:3">
      <c r="A314" t="s">
        <v>157</v>
      </c>
      <c r="B314" s="9">
        <v>2</v>
      </c>
      <c r="C314" s="9">
        <v>47</v>
      </c>
    </row>
    <row r="315" spans="1:3">
      <c r="A315" t="s">
        <v>490</v>
      </c>
      <c r="B315" s="9">
        <v>1</v>
      </c>
      <c r="C315" s="9">
        <v>42</v>
      </c>
    </row>
    <row r="316" spans="1:3">
      <c r="A316" t="s">
        <v>746</v>
      </c>
      <c r="B316" s="9">
        <v>1</v>
      </c>
      <c r="C316" s="9">
        <v>40</v>
      </c>
    </row>
    <row r="317" spans="1:3">
      <c r="A317" t="s">
        <v>454</v>
      </c>
      <c r="B317" s="9">
        <v>1</v>
      </c>
      <c r="C317" s="9">
        <v>38</v>
      </c>
    </row>
    <row r="318" spans="1:3">
      <c r="A318" t="s">
        <v>557</v>
      </c>
      <c r="B318" s="9">
        <v>1</v>
      </c>
      <c r="C318" s="9">
        <v>34</v>
      </c>
    </row>
    <row r="319" spans="1:3">
      <c r="A319" t="s">
        <v>366</v>
      </c>
      <c r="B319" s="9">
        <v>3</v>
      </c>
      <c r="C319" s="9">
        <v>34</v>
      </c>
    </row>
    <row r="320" spans="1:3">
      <c r="A320" t="s">
        <v>254</v>
      </c>
      <c r="B320" s="9">
        <v>1</v>
      </c>
      <c r="C320" s="9">
        <v>31</v>
      </c>
    </row>
    <row r="321" spans="1:3">
      <c r="A321" t="s">
        <v>298</v>
      </c>
      <c r="B321" s="9">
        <v>1</v>
      </c>
      <c r="C321" s="9">
        <v>31</v>
      </c>
    </row>
    <row r="322" spans="1:3">
      <c r="A322" t="s">
        <v>369</v>
      </c>
      <c r="B322" s="9">
        <v>1</v>
      </c>
      <c r="C322" s="9">
        <v>31</v>
      </c>
    </row>
    <row r="323" spans="1:3">
      <c r="A323" t="s">
        <v>325</v>
      </c>
      <c r="B323" s="9">
        <v>1</v>
      </c>
      <c r="C323" s="9">
        <v>30</v>
      </c>
    </row>
    <row r="324" spans="1:3">
      <c r="A324" t="s">
        <v>735</v>
      </c>
      <c r="B324" s="9">
        <v>1</v>
      </c>
      <c r="C324" s="9">
        <v>30</v>
      </c>
    </row>
    <row r="325" spans="1:3">
      <c r="A325" t="s">
        <v>217</v>
      </c>
      <c r="B325" s="9">
        <v>1</v>
      </c>
      <c r="C325" s="9">
        <v>27</v>
      </c>
    </row>
    <row r="326" spans="1:3">
      <c r="A326" t="s">
        <v>697</v>
      </c>
      <c r="B326" s="9">
        <v>1</v>
      </c>
      <c r="C326" s="9">
        <v>24</v>
      </c>
    </row>
    <row r="327" spans="1:3">
      <c r="A327" t="s">
        <v>603</v>
      </c>
      <c r="B327" s="9">
        <v>1</v>
      </c>
      <c r="C327" s="9">
        <v>22</v>
      </c>
    </row>
    <row r="328" spans="1:3">
      <c r="A328" t="s">
        <v>863</v>
      </c>
      <c r="B328" s="9">
        <v>1</v>
      </c>
      <c r="C328" s="9">
        <v>17</v>
      </c>
    </row>
    <row r="329" spans="1:3">
      <c r="A329" t="s">
        <v>357</v>
      </c>
      <c r="B329" s="9">
        <v>1</v>
      </c>
      <c r="C329" s="9">
        <v>16</v>
      </c>
    </row>
    <row r="330" spans="1:3">
      <c r="A330" t="s">
        <v>524</v>
      </c>
      <c r="B330" s="9">
        <v>1</v>
      </c>
      <c r="C330" s="9">
        <v>16</v>
      </c>
    </row>
    <row r="331" spans="1:3">
      <c r="A331" t="s">
        <v>588</v>
      </c>
      <c r="B331" s="9">
        <v>1</v>
      </c>
      <c r="C331" s="9">
        <v>16</v>
      </c>
    </row>
    <row r="332" spans="1:3">
      <c r="A332" t="s">
        <v>475</v>
      </c>
      <c r="B332" s="9">
        <v>1</v>
      </c>
      <c r="C332" s="9">
        <v>15</v>
      </c>
    </row>
    <row r="333" spans="1:3">
      <c r="A333" t="s">
        <v>896</v>
      </c>
      <c r="B333" s="9">
        <v>1</v>
      </c>
      <c r="C333" s="9">
        <v>13</v>
      </c>
    </row>
    <row r="334" spans="1:3">
      <c r="A334" t="s">
        <v>485</v>
      </c>
      <c r="B334" s="9">
        <v>1</v>
      </c>
      <c r="C334" s="9">
        <v>12</v>
      </c>
    </row>
    <row r="335" spans="1:3">
      <c r="A335" t="s">
        <v>381</v>
      </c>
      <c r="B335" s="9">
        <v>1</v>
      </c>
      <c r="C335" s="9">
        <v>11</v>
      </c>
    </row>
    <row r="336" spans="1:3">
      <c r="A336" t="s">
        <v>1092</v>
      </c>
      <c r="B336" s="9">
        <v>1500</v>
      </c>
      <c r="C336" s="9">
        <v>431502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73C7C-58B3-43FB-AF3D-665188EBF5C3}">
  <dimension ref="A1:O15"/>
  <sheetViews>
    <sheetView topLeftCell="J1" workbookViewId="0">
      <selection activeCell="N5" sqref="N5"/>
    </sheetView>
  </sheetViews>
  <sheetFormatPr defaultRowHeight="15"/>
  <cols>
    <col min="1" max="1" width="14.85546875" bestFit="1" customWidth="1"/>
    <col min="2" max="2" width="12" bestFit="1" customWidth="1"/>
    <col min="3" max="3" width="10.42578125" bestFit="1" customWidth="1"/>
    <col min="5" max="5" width="11.42578125" bestFit="1" customWidth="1"/>
    <col min="7" max="7" width="10.7109375" customWidth="1"/>
    <col min="9" max="9" width="17.85546875" customWidth="1"/>
    <col min="10" max="10" width="17.28515625" customWidth="1"/>
    <col min="12" max="12" width="13.42578125" customWidth="1"/>
    <col min="13" max="13" width="14.85546875" customWidth="1"/>
    <col min="14" max="14" width="11" customWidth="1"/>
  </cols>
  <sheetData>
    <row r="1" spans="1:15">
      <c r="A1" s="13" t="s">
        <v>1119</v>
      </c>
      <c r="B1" s="13" t="s">
        <v>1073</v>
      </c>
      <c r="G1" t="s">
        <v>1078</v>
      </c>
      <c r="H1" s="15" t="s">
        <v>1076</v>
      </c>
      <c r="I1" s="15" t="s">
        <v>1077</v>
      </c>
      <c r="J1" s="15" t="s">
        <v>1075</v>
      </c>
      <c r="L1" s="22" t="s">
        <v>1121</v>
      </c>
      <c r="M1" s="22"/>
      <c r="N1" s="22"/>
      <c r="O1" s="22"/>
    </row>
    <row r="2" spans="1:15">
      <c r="A2" s="13" t="s">
        <v>1078</v>
      </c>
      <c r="B2" t="s">
        <v>1076</v>
      </c>
      <c r="C2" t="s">
        <v>1077</v>
      </c>
      <c r="D2" t="s">
        <v>1075</v>
      </c>
      <c r="E2" t="s">
        <v>1092</v>
      </c>
      <c r="G2" s="14" t="s">
        <v>1080</v>
      </c>
      <c r="H2">
        <f>SUMIFS(Sales_target[Target], Sales_target[Month of Order Date], $G2, Sales_target[Category], H$1)</f>
        <v>12000</v>
      </c>
      <c r="I2">
        <f>SUMIFS(Sales_target[Target], Sales_target[Month of Order Date], $G2, Sales_target[Category], I$1)</f>
        <v>9000</v>
      </c>
      <c r="J2">
        <f>SUMIFS(Sales_target[Target], Sales_target[Month of Order Date], $G2, Sales_target[Category], J$1)</f>
        <v>10400</v>
      </c>
      <c r="L2" t="s">
        <v>1078</v>
      </c>
      <c r="M2" s="12" t="s">
        <v>1076</v>
      </c>
      <c r="N2" s="12" t="s">
        <v>1077</v>
      </c>
      <c r="O2" s="12" t="s">
        <v>1075</v>
      </c>
    </row>
    <row r="3" spans="1:15">
      <c r="A3" t="s">
        <v>1080</v>
      </c>
      <c r="B3" s="9">
        <v>13478</v>
      </c>
      <c r="C3" s="9">
        <v>11127</v>
      </c>
      <c r="D3" s="9">
        <v>8121</v>
      </c>
      <c r="E3" s="9">
        <v>32726</v>
      </c>
      <c r="G3" s="14" t="s">
        <v>1084</v>
      </c>
      <c r="H3">
        <f>SUMIFS(Sales_target[Target], Sales_target[Month of Order Date], $G3, Sales_target[Category], H$1)</f>
        <v>14000</v>
      </c>
      <c r="I3">
        <f>SUMIFS(Sales_target[Target], Sales_target[Month of Order Date], $G3, Sales_target[Category], I$1)</f>
        <v>9000</v>
      </c>
      <c r="J3">
        <f>SUMIFS(Sales_target[Target], Sales_target[Month of Order Date], $G3, Sales_target[Category], J$1)</f>
        <v>10900</v>
      </c>
      <c r="L3" s="14" t="s">
        <v>1080</v>
      </c>
      <c r="M3" s="12">
        <f>(B3-H2)/H2</f>
        <v>0.12316666666666666</v>
      </c>
      <c r="N3" s="12">
        <f>(C3-I2)/I2</f>
        <v>0.23633333333333334</v>
      </c>
      <c r="O3" s="12">
        <f>(D3-J2)/J2</f>
        <v>-0.21913461538461537</v>
      </c>
    </row>
    <row r="4" spans="1:15">
      <c r="A4" t="s">
        <v>1084</v>
      </c>
      <c r="B4" s="9">
        <v>11822</v>
      </c>
      <c r="C4" s="9">
        <v>9539</v>
      </c>
      <c r="D4" s="9">
        <v>9538</v>
      </c>
      <c r="E4" s="9">
        <v>30899</v>
      </c>
      <c r="G4" s="14" t="s">
        <v>1088</v>
      </c>
      <c r="H4">
        <f>SUMIFS(Sales_target[Target], Sales_target[Month of Order Date], $G4, Sales_target[Category], H$1)</f>
        <v>16000</v>
      </c>
      <c r="I4">
        <f>SUMIFS(Sales_target[Target], Sales_target[Month of Order Date], $G4, Sales_target[Category], I$1)</f>
        <v>9000</v>
      </c>
      <c r="J4">
        <f>SUMIFS(Sales_target[Target], Sales_target[Month of Order Date], $G4, Sales_target[Category], J$1)</f>
        <v>11400</v>
      </c>
      <c r="L4" s="14" t="s">
        <v>1084</v>
      </c>
      <c r="M4" s="12">
        <f t="shared" ref="M4:M14" si="0">(B4-H3)/H3</f>
        <v>-0.15557142857142858</v>
      </c>
      <c r="N4" s="12">
        <f t="shared" ref="N4:N14" si="1">(C4-I3)/I3</f>
        <v>5.9888888888888887E-2</v>
      </c>
      <c r="O4" s="12">
        <f t="shared" ref="O4:O14" si="2">(D4-J3)/J3</f>
        <v>-0.12495412844036698</v>
      </c>
    </row>
    <row r="5" spans="1:15">
      <c r="A5" t="s">
        <v>1088</v>
      </c>
      <c r="B5" s="9">
        <v>9545</v>
      </c>
      <c r="C5" s="9">
        <v>18560</v>
      </c>
      <c r="D5" s="9">
        <v>9474</v>
      </c>
      <c r="E5" s="9">
        <v>37579</v>
      </c>
      <c r="G5" s="14" t="s">
        <v>1083</v>
      </c>
      <c r="H5">
        <f>SUMIFS(Sales_target[Target], Sales_target[Month of Order Date], $G5, Sales_target[Category], H$1)</f>
        <v>14000</v>
      </c>
      <c r="I5">
        <f>SUMIFS(Sales_target[Target], Sales_target[Month of Order Date], $G5, Sales_target[Category], I$1)</f>
        <v>9000</v>
      </c>
      <c r="J5">
        <f>SUMIFS(Sales_target[Target], Sales_target[Month of Order Date], $G5, Sales_target[Category], J$1)</f>
        <v>10800</v>
      </c>
      <c r="L5" s="14" t="s">
        <v>1088</v>
      </c>
      <c r="M5" s="12">
        <f t="shared" si="0"/>
        <v>-0.4034375</v>
      </c>
      <c r="N5" s="12">
        <f t="shared" si="1"/>
        <v>1.0622222222222222</v>
      </c>
      <c r="O5" s="12">
        <f t="shared" si="2"/>
        <v>-0.16894736842105262</v>
      </c>
    </row>
    <row r="6" spans="1:15">
      <c r="A6" t="s">
        <v>1083</v>
      </c>
      <c r="B6" s="9">
        <v>2981</v>
      </c>
      <c r="C6" s="9">
        <v>6502</v>
      </c>
      <c r="D6" s="9">
        <v>3483</v>
      </c>
      <c r="E6" s="9">
        <v>12966</v>
      </c>
      <c r="G6" s="14" t="s">
        <v>1082</v>
      </c>
      <c r="H6">
        <f>SUMIFS(Sales_target[Target], Sales_target[Month of Order Date], $G6, Sales_target[Category], H$1)</f>
        <v>12000</v>
      </c>
      <c r="I6">
        <f>SUMIFS(Sales_target[Target], Sales_target[Month of Order Date], $G6, Sales_target[Category], I$1)</f>
        <v>9000</v>
      </c>
      <c r="J6">
        <f>SUMIFS(Sales_target[Target], Sales_target[Month of Order Date], $G6, Sales_target[Category], J$1)</f>
        <v>10600</v>
      </c>
      <c r="L6" s="14" t="s">
        <v>1083</v>
      </c>
      <c r="M6" s="12">
        <f t="shared" si="0"/>
        <v>-0.78707142857142853</v>
      </c>
      <c r="N6" s="12">
        <f t="shared" si="1"/>
        <v>-0.27755555555555556</v>
      </c>
      <c r="O6" s="12">
        <f t="shared" si="2"/>
        <v>-0.67749999999999999</v>
      </c>
    </row>
    <row r="7" spans="1:15">
      <c r="A7" t="s">
        <v>1082</v>
      </c>
      <c r="B7" s="9">
        <v>8782</v>
      </c>
      <c r="C7" s="9">
        <v>9344</v>
      </c>
      <c r="D7" s="9">
        <v>5532</v>
      </c>
      <c r="E7" s="9">
        <v>23658</v>
      </c>
      <c r="G7" s="14" t="s">
        <v>1081</v>
      </c>
      <c r="H7">
        <f>SUMIFS(Sales_target[Target], Sales_target[Month of Order Date], $G7, Sales_target[Category], H$1)</f>
        <v>12000</v>
      </c>
      <c r="I7">
        <f>SUMIFS(Sales_target[Target], Sales_target[Month of Order Date], $G7, Sales_target[Category], I$1)</f>
        <v>9000</v>
      </c>
      <c r="J7">
        <f>SUMIFS(Sales_target[Target], Sales_target[Month of Order Date], $G7, Sales_target[Category], J$1)</f>
        <v>10500</v>
      </c>
      <c r="L7" s="14" t="s">
        <v>1082</v>
      </c>
      <c r="M7" s="12">
        <f t="shared" si="0"/>
        <v>-0.26816666666666666</v>
      </c>
      <c r="N7" s="12">
        <f t="shared" si="1"/>
        <v>3.822222222222222E-2</v>
      </c>
      <c r="O7" s="12">
        <f t="shared" si="2"/>
        <v>-0.47811320754716979</v>
      </c>
    </row>
    <row r="8" spans="1:15">
      <c r="A8" t="s">
        <v>1081</v>
      </c>
      <c r="B8" s="9">
        <v>9518</v>
      </c>
      <c r="C8" s="9">
        <v>12807</v>
      </c>
      <c r="D8" s="9">
        <v>6220</v>
      </c>
      <c r="E8" s="9">
        <v>28545</v>
      </c>
      <c r="G8" s="14" t="s">
        <v>1087</v>
      </c>
      <c r="H8">
        <f>SUMIFS(Sales_target[Target], Sales_target[Month of Order Date], $G8, Sales_target[Category], H$1)</f>
        <v>16000</v>
      </c>
      <c r="I8">
        <f>SUMIFS(Sales_target[Target], Sales_target[Month of Order Date], $G8, Sales_target[Category], I$1)</f>
        <v>9000</v>
      </c>
      <c r="J8">
        <f>SUMIFS(Sales_target[Target], Sales_target[Month of Order Date], $G8, Sales_target[Category], J$1)</f>
        <v>11300</v>
      </c>
      <c r="L8" s="14" t="s">
        <v>1081</v>
      </c>
      <c r="M8" s="12">
        <f t="shared" si="0"/>
        <v>-0.20683333333333334</v>
      </c>
      <c r="N8" s="12">
        <f t="shared" si="1"/>
        <v>0.42299999999999999</v>
      </c>
      <c r="O8" s="12">
        <f t="shared" si="2"/>
        <v>-0.4076190476190476</v>
      </c>
    </row>
    <row r="9" spans="1:15">
      <c r="A9" t="s">
        <v>1087</v>
      </c>
      <c r="B9" s="9">
        <v>16270</v>
      </c>
      <c r="C9" s="9">
        <v>16651</v>
      </c>
      <c r="D9" s="9">
        <v>15165</v>
      </c>
      <c r="E9" s="9">
        <v>48086</v>
      </c>
      <c r="G9" s="14" t="s">
        <v>1086</v>
      </c>
      <c r="H9">
        <f>SUMIFS(Sales_target[Target], Sales_target[Month of Order Date], $G9, Sales_target[Category], H$1)</f>
        <v>16000</v>
      </c>
      <c r="I9">
        <f>SUMIFS(Sales_target[Target], Sales_target[Month of Order Date], $G9, Sales_target[Category], I$1)</f>
        <v>9000</v>
      </c>
      <c r="J9">
        <f>SUMIFS(Sales_target[Target], Sales_target[Month of Order Date], $G9, Sales_target[Category], J$1)</f>
        <v>11100</v>
      </c>
      <c r="L9" s="14" t="s">
        <v>1087</v>
      </c>
      <c r="M9" s="12">
        <f t="shared" si="0"/>
        <v>1.6875000000000001E-2</v>
      </c>
      <c r="N9" s="12">
        <f t="shared" si="1"/>
        <v>0.85011111111111115</v>
      </c>
      <c r="O9" s="12">
        <f t="shared" si="2"/>
        <v>0.34203539823008849</v>
      </c>
    </row>
    <row r="10" spans="1:15">
      <c r="A10" t="s">
        <v>1086</v>
      </c>
      <c r="B10" s="9">
        <v>11488</v>
      </c>
      <c r="C10" s="9">
        <v>13361</v>
      </c>
      <c r="D10" s="9">
        <v>6766</v>
      </c>
      <c r="E10" s="9">
        <v>31615</v>
      </c>
      <c r="G10" s="14" t="s">
        <v>1085</v>
      </c>
      <c r="H10">
        <f>SUMIFS(Sales_target[Target], Sales_target[Month of Order Date], $G10, Sales_target[Category], H$1)</f>
        <v>14000</v>
      </c>
      <c r="I10">
        <f>SUMIFS(Sales_target[Target], Sales_target[Month of Order Date], $G10, Sales_target[Category], I$1)</f>
        <v>9000</v>
      </c>
      <c r="J10">
        <f>SUMIFS(Sales_target[Target], Sales_target[Month of Order Date], $G10, Sales_target[Category], J$1)</f>
        <v>11000</v>
      </c>
      <c r="L10" s="14" t="s">
        <v>1086</v>
      </c>
      <c r="M10" s="12">
        <f t="shared" si="0"/>
        <v>-0.28199999999999997</v>
      </c>
      <c r="N10" s="12">
        <f t="shared" si="1"/>
        <v>0.48455555555555557</v>
      </c>
      <c r="O10" s="12">
        <f t="shared" si="2"/>
        <v>-0.39045045045045046</v>
      </c>
    </row>
    <row r="11" spans="1:15">
      <c r="A11" t="s">
        <v>1085</v>
      </c>
      <c r="B11" s="9">
        <v>10717</v>
      </c>
      <c r="C11" s="9">
        <v>7207</v>
      </c>
      <c r="D11" s="9">
        <v>8704</v>
      </c>
      <c r="E11" s="9">
        <v>26628</v>
      </c>
      <c r="G11" s="14" t="s">
        <v>1090</v>
      </c>
      <c r="H11">
        <f>SUMIFS(Sales_target[Target], Sales_target[Month of Order Date], $G11, Sales_target[Category], H$1)</f>
        <v>16000</v>
      </c>
      <c r="I11">
        <f>SUMIFS(Sales_target[Target], Sales_target[Month of Order Date], $G11, Sales_target[Category], I$1)</f>
        <v>16000</v>
      </c>
      <c r="J11">
        <f>SUMIFS(Sales_target[Target], Sales_target[Month of Order Date], $G11, Sales_target[Category], J$1)</f>
        <v>11600</v>
      </c>
      <c r="L11" s="14" t="s">
        <v>1085</v>
      </c>
      <c r="M11" s="12">
        <f t="shared" si="0"/>
        <v>-0.23449999999999999</v>
      </c>
      <c r="N11" s="12">
        <f t="shared" si="1"/>
        <v>-0.19922222222222222</v>
      </c>
      <c r="O11" s="12">
        <f t="shared" si="2"/>
        <v>-0.20872727272727273</v>
      </c>
    </row>
    <row r="12" spans="1:15">
      <c r="A12" t="s">
        <v>1090</v>
      </c>
      <c r="B12" s="9">
        <v>9569</v>
      </c>
      <c r="C12" s="9">
        <v>12593</v>
      </c>
      <c r="D12" s="9">
        <v>16262</v>
      </c>
      <c r="E12" s="9">
        <v>38424</v>
      </c>
      <c r="G12" s="14" t="s">
        <v>1089</v>
      </c>
      <c r="H12">
        <f>SUMIFS(Sales_target[Target], Sales_target[Month of Order Date], $G12, Sales_target[Category], H$1)</f>
        <v>16000</v>
      </c>
      <c r="I12">
        <f>SUMIFS(Sales_target[Target], Sales_target[Month of Order Date], $G12, Sales_target[Category], I$1)</f>
        <v>16000</v>
      </c>
      <c r="J12">
        <f>SUMIFS(Sales_target[Target], Sales_target[Month of Order Date], $G12, Sales_target[Category], J$1)</f>
        <v>11500</v>
      </c>
      <c r="L12" s="14" t="s">
        <v>1090</v>
      </c>
      <c r="M12" s="12">
        <f t="shared" si="0"/>
        <v>-0.4019375</v>
      </c>
      <c r="N12" s="12">
        <f t="shared" si="1"/>
        <v>-0.2129375</v>
      </c>
      <c r="O12" s="12">
        <f t="shared" si="2"/>
        <v>0.40189655172413791</v>
      </c>
    </row>
    <row r="13" spans="1:15">
      <c r="A13" t="s">
        <v>1089</v>
      </c>
      <c r="B13" s="9">
        <v>13466</v>
      </c>
      <c r="C13" s="9">
        <v>26716</v>
      </c>
      <c r="D13" s="9">
        <v>21257</v>
      </c>
      <c r="E13" s="9">
        <v>61439</v>
      </c>
      <c r="G13" s="14" t="s">
        <v>1091</v>
      </c>
      <c r="H13">
        <f>SUMIFS(Sales_target[Target], Sales_target[Month of Order Date], $G13, Sales_target[Category], H$1)</f>
        <v>16000</v>
      </c>
      <c r="I13">
        <f>SUMIFS(Sales_target[Target], Sales_target[Month of Order Date], $G13, Sales_target[Category], I$1)</f>
        <v>16000</v>
      </c>
      <c r="J13">
        <f>SUMIFS(Sales_target[Target], Sales_target[Month of Order Date], $G13, Sales_target[Category], J$1)</f>
        <v>11800</v>
      </c>
      <c r="L13" s="14" t="s">
        <v>1089</v>
      </c>
      <c r="M13" s="12">
        <f t="shared" si="0"/>
        <v>-0.15837499999999999</v>
      </c>
      <c r="N13" s="12">
        <f t="shared" si="1"/>
        <v>0.66974999999999996</v>
      </c>
      <c r="O13" s="12">
        <f t="shared" si="2"/>
        <v>0.84843478260869565</v>
      </c>
    </row>
    <row r="14" spans="1:15">
      <c r="A14" t="s">
        <v>1091</v>
      </c>
      <c r="B14" s="9">
        <v>21418</v>
      </c>
      <c r="C14" s="9">
        <v>20860</v>
      </c>
      <c r="D14" s="9">
        <v>16659</v>
      </c>
      <c r="E14" s="9">
        <v>58937</v>
      </c>
      <c r="L14" s="14" t="s">
        <v>1091</v>
      </c>
      <c r="M14" s="12">
        <f t="shared" si="0"/>
        <v>0.33862500000000001</v>
      </c>
      <c r="N14" s="12">
        <f t="shared" si="1"/>
        <v>0.30375000000000002</v>
      </c>
      <c r="O14" s="12">
        <f t="shared" si="2"/>
        <v>0.41177966101694913</v>
      </c>
    </row>
    <row r="15" spans="1:15">
      <c r="A15" t="s">
        <v>1092</v>
      </c>
      <c r="B15" s="9">
        <v>139054</v>
      </c>
      <c r="C15" s="9">
        <v>165267</v>
      </c>
      <c r="D15" s="9">
        <v>127181</v>
      </c>
      <c r="E15" s="9">
        <v>431502</v>
      </c>
    </row>
  </sheetData>
  <mergeCells count="1">
    <mergeCell ref="L1:O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9E09-5396-4565-964F-60E482AF76D7}">
  <dimension ref="A1:H42"/>
  <sheetViews>
    <sheetView topLeftCell="A11" workbookViewId="0">
      <selection activeCell="K31" sqref="K31"/>
    </sheetView>
  </sheetViews>
  <sheetFormatPr defaultRowHeight="15"/>
  <cols>
    <col min="1" max="2" width="16" bestFit="1" customWidth="1"/>
    <col min="3" max="3" width="12.5703125" bestFit="1" customWidth="1"/>
    <col min="4" max="4" width="14.85546875" style="12" bestFit="1" customWidth="1"/>
    <col min="5" max="5" width="14.85546875" customWidth="1"/>
    <col min="7" max="7" width="16" customWidth="1"/>
    <col min="8" max="8" width="17" customWidth="1"/>
  </cols>
  <sheetData>
    <row r="1" spans="1:8">
      <c r="A1" s="13" t="s">
        <v>1073</v>
      </c>
      <c r="B1" t="s">
        <v>1079</v>
      </c>
      <c r="C1" t="s">
        <v>1119</v>
      </c>
      <c r="D1" s="12" t="s">
        <v>1122</v>
      </c>
    </row>
    <row r="2" spans="1:8">
      <c r="A2" t="s">
        <v>1076</v>
      </c>
      <c r="B2" s="9">
        <v>11163</v>
      </c>
      <c r="C2" s="9">
        <v>139054</v>
      </c>
      <c r="D2" s="12">
        <f>B2/C2</f>
        <v>8.0278165317071062E-2</v>
      </c>
    </row>
    <row r="3" spans="1:8">
      <c r="A3" t="s">
        <v>1077</v>
      </c>
      <c r="B3" s="9">
        <v>10494</v>
      </c>
      <c r="C3" s="9">
        <v>165267</v>
      </c>
      <c r="D3" s="12">
        <f t="shared" ref="D3:D5" si="0">B3/C3</f>
        <v>6.3497249904699668E-2</v>
      </c>
    </row>
    <row r="4" spans="1:8">
      <c r="A4" t="s">
        <v>1075</v>
      </c>
      <c r="B4" s="9">
        <v>2298</v>
      </c>
      <c r="C4" s="9">
        <v>127181</v>
      </c>
      <c r="D4" s="12">
        <f t="shared" si="0"/>
        <v>1.8068736682366075E-2</v>
      </c>
    </row>
    <row r="5" spans="1:8">
      <c r="A5" t="s">
        <v>1092</v>
      </c>
      <c r="B5" s="9">
        <v>23955</v>
      </c>
      <c r="C5" s="9">
        <v>431502</v>
      </c>
      <c r="D5" s="12">
        <f t="shared" si="0"/>
        <v>5.5515385791954613E-2</v>
      </c>
    </row>
    <row r="7" spans="1:8">
      <c r="A7" s="13" t="s">
        <v>1073</v>
      </c>
      <c r="B7" s="13" t="s">
        <v>1096</v>
      </c>
      <c r="C7" t="s">
        <v>1079</v>
      </c>
      <c r="D7" t="s">
        <v>1119</v>
      </c>
      <c r="E7" s="12" t="s">
        <v>1098</v>
      </c>
      <c r="G7" t="s">
        <v>1096</v>
      </c>
      <c r="H7" t="s">
        <v>1098</v>
      </c>
    </row>
    <row r="8" spans="1:8">
      <c r="A8" t="s">
        <v>1076</v>
      </c>
      <c r="B8" t="s">
        <v>1103</v>
      </c>
      <c r="C8" s="9">
        <v>2098</v>
      </c>
      <c r="D8" s="9">
        <v>14608</v>
      </c>
      <c r="E8" s="12">
        <f>C8/D8</f>
        <v>0.14361993428258488</v>
      </c>
      <c r="G8" t="s">
        <v>1113</v>
      </c>
      <c r="H8" s="12">
        <v>-0.1774</v>
      </c>
    </row>
    <row r="9" spans="1:8">
      <c r="B9" t="s">
        <v>1109</v>
      </c>
      <c r="C9" s="9">
        <v>181</v>
      </c>
      <c r="D9" s="9">
        <v>3361</v>
      </c>
      <c r="E9" s="12">
        <f t="shared" ref="E9:G17" si="1">C9/D9</f>
        <v>5.3853019934543292E-2</v>
      </c>
      <c r="G9" t="s">
        <v>1104</v>
      </c>
      <c r="H9" s="12">
        <v>-3.1600000000000003E-2</v>
      </c>
    </row>
    <row r="10" spans="1:8">
      <c r="B10" t="s">
        <v>1112</v>
      </c>
      <c r="C10" s="9">
        <v>260</v>
      </c>
      <c r="D10" s="9">
        <v>2106</v>
      </c>
      <c r="E10" s="12">
        <f t="shared" si="1"/>
        <v>0.12345679012345678</v>
      </c>
      <c r="G10" t="s">
        <v>1106</v>
      </c>
      <c r="H10" s="12">
        <v>6.6E-3</v>
      </c>
    </row>
    <row r="11" spans="1:8">
      <c r="B11" t="s">
        <v>1106</v>
      </c>
      <c r="C11" s="9">
        <v>352</v>
      </c>
      <c r="D11" s="9">
        <v>53511</v>
      </c>
      <c r="E11" s="12">
        <f t="shared" si="1"/>
        <v>6.5780867485189963E-3</v>
      </c>
      <c r="G11" t="s">
        <v>1108</v>
      </c>
      <c r="H11" s="12">
        <v>1.6899999999999998E-2</v>
      </c>
    </row>
    <row r="12" spans="1:8">
      <c r="B12" t="s">
        <v>1111</v>
      </c>
      <c r="C12" s="9">
        <v>1131</v>
      </c>
      <c r="D12" s="9">
        <v>7555</v>
      </c>
      <c r="E12" s="12">
        <f t="shared" si="1"/>
        <v>0.14970218398411647</v>
      </c>
      <c r="G12" t="s">
        <v>1105</v>
      </c>
      <c r="H12" s="12">
        <v>4.7899999999999998E-2</v>
      </c>
    </row>
    <row r="13" spans="1:8">
      <c r="B13" t="s">
        <v>1117</v>
      </c>
      <c r="C13" s="9">
        <v>235</v>
      </c>
      <c r="D13" s="9">
        <v>1946</v>
      </c>
      <c r="E13" s="12">
        <f t="shared" si="1"/>
        <v>0.12076053442959918</v>
      </c>
      <c r="G13" t="s">
        <v>1109</v>
      </c>
      <c r="H13" s="12">
        <v>5.3900000000000003E-2</v>
      </c>
    </row>
    <row r="14" spans="1:8">
      <c r="B14" t="s">
        <v>1102</v>
      </c>
      <c r="C14" s="9">
        <v>2559</v>
      </c>
      <c r="D14" s="9">
        <v>18546</v>
      </c>
      <c r="E14" s="12">
        <f t="shared" si="1"/>
        <v>0.13798123584600452</v>
      </c>
      <c r="G14" t="s">
        <v>1116</v>
      </c>
      <c r="H14" s="12">
        <v>6.2600000000000003E-2</v>
      </c>
    </row>
    <row r="15" spans="1:8">
      <c r="B15" t="s">
        <v>1107</v>
      </c>
      <c r="C15" s="9">
        <v>2847</v>
      </c>
      <c r="D15" s="9">
        <v>30039</v>
      </c>
      <c r="E15" s="12">
        <f t="shared" si="1"/>
        <v>9.4776790172775391E-2</v>
      </c>
      <c r="G15" t="s">
        <v>1101</v>
      </c>
      <c r="H15" s="12">
        <v>8.5999999999999993E-2</v>
      </c>
    </row>
    <row r="16" spans="1:8">
      <c r="B16" t="s">
        <v>1110</v>
      </c>
      <c r="C16" s="9">
        <v>1500</v>
      </c>
      <c r="D16" s="9">
        <v>7382</v>
      </c>
      <c r="E16" s="12">
        <f t="shared" si="1"/>
        <v>0.2031969655919805</v>
      </c>
      <c r="G16" t="s">
        <v>1107</v>
      </c>
      <c r="H16" s="12">
        <v>9.4799999999999995E-2</v>
      </c>
    </row>
    <row r="17" spans="1:8">
      <c r="A17" t="s">
        <v>1123</v>
      </c>
      <c r="C17" s="9">
        <v>11163</v>
      </c>
      <c r="D17" s="9">
        <v>139054</v>
      </c>
      <c r="E17" s="12">
        <f t="shared" si="1"/>
        <v>8.0278165317071062E-2</v>
      </c>
      <c r="G17" t="s">
        <v>1114</v>
      </c>
      <c r="H17" s="12">
        <v>0.1024</v>
      </c>
    </row>
    <row r="18" spans="1:8">
      <c r="A18" t="s">
        <v>1077</v>
      </c>
      <c r="B18" t="s">
        <v>1115</v>
      </c>
      <c r="C18" s="9">
        <v>3559</v>
      </c>
      <c r="D18" s="9">
        <v>21728</v>
      </c>
      <c r="E18" s="12">
        <f>C18/D18</f>
        <v>0.16379786450662739</v>
      </c>
      <c r="G18" t="s">
        <v>1117</v>
      </c>
      <c r="H18" s="12">
        <v>0.1208</v>
      </c>
    </row>
    <row r="19" spans="1:8">
      <c r="B19" t="s">
        <v>1104</v>
      </c>
      <c r="C19" s="9">
        <v>-1236</v>
      </c>
      <c r="D19" s="9">
        <v>39168</v>
      </c>
      <c r="E19" s="12">
        <f>C19/D19</f>
        <v>-3.1556372549019607E-2</v>
      </c>
      <c r="G19" t="s">
        <v>1112</v>
      </c>
      <c r="H19" s="12">
        <v>0.1235</v>
      </c>
    </row>
    <row r="20" spans="1:8">
      <c r="B20" t="s">
        <v>1105</v>
      </c>
      <c r="C20" s="9">
        <v>2207</v>
      </c>
      <c r="D20" s="9">
        <v>46119</v>
      </c>
      <c r="E20" s="12">
        <f>C20/D20</f>
        <v>4.7854463453240528E-2</v>
      </c>
      <c r="G20" t="s">
        <v>1102</v>
      </c>
      <c r="H20" s="12">
        <v>0.13800000000000001</v>
      </c>
    </row>
    <row r="21" spans="1:8">
      <c r="B21" t="s">
        <v>1114</v>
      </c>
      <c r="C21" s="9">
        <v>5964</v>
      </c>
      <c r="D21" s="9">
        <v>58252</v>
      </c>
      <c r="E21" s="12">
        <f>C21/D21</f>
        <v>0.10238275080683926</v>
      </c>
      <c r="G21" t="s">
        <v>1103</v>
      </c>
      <c r="H21" s="12">
        <v>0.14360000000000001</v>
      </c>
    </row>
    <row r="22" spans="1:8">
      <c r="A22" t="s">
        <v>1124</v>
      </c>
      <c r="C22" s="9">
        <v>10494</v>
      </c>
      <c r="D22" s="9">
        <v>165267</v>
      </c>
      <c r="E22" s="12">
        <f>C22/D22</f>
        <v>6.3497249904699668E-2</v>
      </c>
      <c r="G22" t="s">
        <v>1111</v>
      </c>
      <c r="H22" s="12">
        <v>0.1497</v>
      </c>
    </row>
    <row r="23" spans="1:8">
      <c r="A23" t="s">
        <v>1075</v>
      </c>
      <c r="B23" t="s">
        <v>1101</v>
      </c>
      <c r="C23" s="9">
        <v>4888</v>
      </c>
      <c r="D23" s="9">
        <v>56861</v>
      </c>
      <c r="E23" s="12">
        <f>C23/D23</f>
        <v>8.5964017516399635E-2</v>
      </c>
      <c r="G23" t="s">
        <v>1115</v>
      </c>
      <c r="H23" s="12">
        <v>0.1638</v>
      </c>
    </row>
    <row r="24" spans="1:8">
      <c r="B24" t="s">
        <v>1108</v>
      </c>
      <c r="C24" s="9">
        <v>577</v>
      </c>
      <c r="D24" s="9">
        <v>34222</v>
      </c>
      <c r="E24" s="12">
        <f>C24/D24</f>
        <v>1.6860499094149963E-2</v>
      </c>
      <c r="G24" t="s">
        <v>1110</v>
      </c>
      <c r="H24" s="12">
        <v>0.20319999999999999</v>
      </c>
    </row>
    <row r="25" spans="1:8">
      <c r="B25" t="s">
        <v>1116</v>
      </c>
      <c r="C25" s="9">
        <v>844</v>
      </c>
      <c r="D25" s="9">
        <v>13484</v>
      </c>
      <c r="E25" s="12">
        <f>C25/D25</f>
        <v>6.2592702462177394E-2</v>
      </c>
    </row>
    <row r="26" spans="1:8">
      <c r="B26" t="s">
        <v>1113</v>
      </c>
      <c r="C26" s="9">
        <v>-4011</v>
      </c>
      <c r="D26" s="9">
        <v>22614</v>
      </c>
      <c r="E26" s="12">
        <f>C26/D26</f>
        <v>-0.17736800212257894</v>
      </c>
    </row>
    <row r="27" spans="1:8">
      <c r="A27" t="s">
        <v>1125</v>
      </c>
      <c r="C27" s="9">
        <v>2298</v>
      </c>
      <c r="D27" s="9">
        <v>127181</v>
      </c>
      <c r="E27" s="12">
        <f>C27/D27</f>
        <v>1.8068736682366075E-2</v>
      </c>
    </row>
    <row r="28" spans="1:8">
      <c r="A28" t="s">
        <v>1092</v>
      </c>
      <c r="C28" s="9">
        <v>23955</v>
      </c>
      <c r="D28" s="9">
        <v>431502</v>
      </c>
      <c r="E28" s="12">
        <f>C28/D28</f>
        <v>5.5515385791954613E-2</v>
      </c>
    </row>
    <row r="29" spans="1:8">
      <c r="D29"/>
    </row>
    <row r="30" spans="1:8">
      <c r="D30"/>
    </row>
    <row r="31" spans="1:8">
      <c r="D31"/>
    </row>
    <row r="32" spans="1:8">
      <c r="D32"/>
    </row>
    <row r="33" spans="4:4">
      <c r="D33"/>
    </row>
    <row r="34" spans="4:4">
      <c r="D34"/>
    </row>
    <row r="35" spans="4:4">
      <c r="D35"/>
    </row>
    <row r="36" spans="4:4">
      <c r="D36"/>
    </row>
    <row r="37" spans="4:4">
      <c r="D37"/>
    </row>
    <row r="38" spans="4:4">
      <c r="D38"/>
    </row>
    <row r="39" spans="4:4">
      <c r="D39"/>
    </row>
    <row r="40" spans="4:4">
      <c r="D40"/>
    </row>
    <row r="41" spans="4:4">
      <c r="D41"/>
    </row>
    <row r="42" spans="4:4">
      <c r="D42"/>
    </row>
  </sheetData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2026-06-22T06:04:27Z</dcterms:created>
  <dcterms:modified xsi:type="dcterms:W3CDTF">2026-07-06T02:18:07Z</dcterms:modified>
  <cp:category/>
  <cp:contentStatus/>
</cp:coreProperties>
</file>